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Work - WPI HBF Housing Supply\"/>
    </mc:Choice>
  </mc:AlternateContent>
  <xr:revisionPtr revIDLastSave="0" documentId="13_ncr:1_{C809B60A-94D3-4F26-8147-F945516D0088}" xr6:coauthVersionLast="47" xr6:coauthVersionMax="47" xr10:uidLastSave="{00000000-0000-0000-0000-000000000000}"/>
  <bookViews>
    <workbookView xWindow="-120" yWindow="-120" windowWidth="29040" windowHeight="15720" xr2:uid="{DBBF60C4-6CD0-450E-A3D3-5696FEF97411}"/>
  </bookViews>
  <sheets>
    <sheet name="DATASHEET" sheetId="2" r:id="rId1"/>
    <sheet name="House building" sheetId="1" r:id="rId2"/>
    <sheet name="Nominal house prices" sheetId="3" r:id="rId3"/>
    <sheet name="Nominal construction costs" sheetId="4" r:id="rId4"/>
    <sheet name="Transactions" sheetId="5" r:id="rId5"/>
    <sheet name="Private housing stock" sheetId="6" r:id="rId6"/>
    <sheet name="Interest rate" sheetId="7" r:id="rId7"/>
    <sheet name="House price (income) deflator" sheetId="9" r:id="rId8"/>
    <sheet name="Construction cost deflator" sheetId="10" r:id="rId9"/>
  </sheets>
  <definedNames>
    <definedName name="_xlnm._FilterDatabase" localSheetId="6" hidden="1">'Interest rate'!$S$7:$U$17355</definedName>
    <definedName name="_xlnm._FilterDatabase" localSheetId="3" hidden="1">'Nominal construction costs'!$L$7:$O$111</definedName>
    <definedName name="_xlnm._FilterDatabase" localSheetId="2" hidden="1">'Nominal house prices'!$L$7:$O$577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2" l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8" i="2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8" i="10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8" i="9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9" i="7"/>
  <c r="J9" i="7"/>
  <c r="H10" i="7"/>
  <c r="J10" i="7"/>
  <c r="H11" i="7"/>
  <c r="J11" i="7" s="1"/>
  <c r="H12" i="7"/>
  <c r="J12" i="7" s="1"/>
  <c r="H13" i="7"/>
  <c r="J13" i="7" s="1"/>
  <c r="H14" i="7"/>
  <c r="J14" i="7" s="1"/>
  <c r="H15" i="7"/>
  <c r="J15" i="7" s="1"/>
  <c r="H16" i="7"/>
  <c r="J16" i="7"/>
  <c r="H17" i="7"/>
  <c r="J17" i="7" s="1"/>
  <c r="H18" i="7"/>
  <c r="J18" i="7" s="1"/>
  <c r="H19" i="7"/>
  <c r="J19" i="7" s="1"/>
  <c r="H20" i="7"/>
  <c r="J20" i="7" s="1"/>
  <c r="H21" i="7"/>
  <c r="J21" i="7"/>
  <c r="H22" i="7"/>
  <c r="J22" i="7" s="1"/>
  <c r="H23" i="7"/>
  <c r="J23" i="7" s="1"/>
  <c r="H24" i="7"/>
  <c r="J24" i="7"/>
  <c r="H25" i="7"/>
  <c r="J25" i="7" s="1"/>
  <c r="H26" i="7"/>
  <c r="J26" i="7"/>
  <c r="H27" i="7"/>
  <c r="J27" i="7" s="1"/>
  <c r="H28" i="7"/>
  <c r="J28" i="7" s="1"/>
  <c r="H29" i="7"/>
  <c r="J29" i="7"/>
  <c r="H30" i="7"/>
  <c r="J30" i="7" s="1"/>
  <c r="H31" i="7"/>
  <c r="J31" i="7" s="1"/>
  <c r="H32" i="7"/>
  <c r="J32" i="7"/>
  <c r="H33" i="7"/>
  <c r="J33" i="7"/>
  <c r="H34" i="7"/>
  <c r="J34" i="7"/>
  <c r="H35" i="7"/>
  <c r="J35" i="7" s="1"/>
  <c r="H36" i="7"/>
  <c r="J36" i="7" s="1"/>
  <c r="H37" i="7"/>
  <c r="J37" i="7" s="1"/>
  <c r="H38" i="7"/>
  <c r="J38" i="7" s="1"/>
  <c r="H39" i="7"/>
  <c r="J39" i="7" s="1"/>
  <c r="H40" i="7"/>
  <c r="J40" i="7"/>
  <c r="H41" i="7"/>
  <c r="J41" i="7"/>
  <c r="H42" i="7"/>
  <c r="J42" i="7"/>
  <c r="H43" i="7"/>
  <c r="J43" i="7" s="1"/>
  <c r="H44" i="7"/>
  <c r="J44" i="7" s="1"/>
  <c r="H45" i="7"/>
  <c r="J45" i="7"/>
  <c r="H46" i="7"/>
  <c r="J46" i="7" s="1"/>
  <c r="H47" i="7"/>
  <c r="J47" i="7" s="1"/>
  <c r="H48" i="7"/>
  <c r="J48" i="7"/>
  <c r="H49" i="7"/>
  <c r="J49" i="7"/>
  <c r="H50" i="7"/>
  <c r="J50" i="7"/>
  <c r="H51" i="7"/>
  <c r="J51" i="7" s="1"/>
  <c r="H52" i="7"/>
  <c r="J52" i="7" s="1"/>
  <c r="H53" i="7"/>
  <c r="J53" i="7"/>
  <c r="H54" i="7"/>
  <c r="J54" i="7" s="1"/>
  <c r="H55" i="7"/>
  <c r="J55" i="7" s="1"/>
  <c r="H56" i="7"/>
  <c r="J56" i="7"/>
  <c r="H57" i="7"/>
  <c r="J57" i="7"/>
  <c r="H58" i="7"/>
  <c r="J58" i="7"/>
  <c r="H59" i="7"/>
  <c r="J59" i="7" s="1"/>
  <c r="H60" i="7"/>
  <c r="J60" i="7" s="1"/>
  <c r="H61" i="7"/>
  <c r="J61" i="7"/>
  <c r="H62" i="7"/>
  <c r="J62" i="7" s="1"/>
  <c r="H63" i="7"/>
  <c r="J63" i="7" s="1"/>
  <c r="H64" i="7"/>
  <c r="J64" i="7"/>
  <c r="H65" i="7"/>
  <c r="J65" i="7"/>
  <c r="H66" i="7"/>
  <c r="J66" i="7"/>
  <c r="H67" i="7"/>
  <c r="J67" i="7" s="1"/>
  <c r="H68" i="7"/>
  <c r="J68" i="7" s="1"/>
  <c r="H69" i="7"/>
  <c r="J69" i="7"/>
  <c r="H70" i="7"/>
  <c r="J70" i="7" s="1"/>
  <c r="H71" i="7"/>
  <c r="J71" i="7" s="1"/>
  <c r="H72" i="7"/>
  <c r="J72" i="7"/>
  <c r="H73" i="7"/>
  <c r="J73" i="7"/>
  <c r="H74" i="7"/>
  <c r="J74" i="7"/>
  <c r="H75" i="7"/>
  <c r="J75" i="7" s="1"/>
  <c r="H76" i="7"/>
  <c r="J76" i="7" s="1"/>
  <c r="H77" i="7"/>
  <c r="J77" i="7"/>
  <c r="H78" i="7"/>
  <c r="J78" i="7" s="1"/>
  <c r="H79" i="7"/>
  <c r="J79" i="7" s="1"/>
  <c r="H80" i="7"/>
  <c r="J80" i="7"/>
  <c r="H81" i="7"/>
  <c r="J81" i="7"/>
  <c r="H82" i="7"/>
  <c r="J82" i="7"/>
  <c r="H83" i="7"/>
  <c r="J83" i="7" s="1"/>
  <c r="H84" i="7"/>
  <c r="J84" i="7" s="1"/>
  <c r="H85" i="7"/>
  <c r="J85" i="7"/>
  <c r="H86" i="7"/>
  <c r="J86" i="7" s="1"/>
  <c r="H87" i="7"/>
  <c r="J87" i="7" s="1"/>
  <c r="H88" i="7"/>
  <c r="J88" i="7"/>
  <c r="H89" i="7"/>
  <c r="J89" i="7"/>
  <c r="H90" i="7"/>
  <c r="J90" i="7"/>
  <c r="H91" i="7"/>
  <c r="J91" i="7" s="1"/>
  <c r="H92" i="7"/>
  <c r="J92" i="7" s="1"/>
  <c r="H93" i="7"/>
  <c r="J93" i="7"/>
  <c r="H94" i="7"/>
  <c r="J94" i="7" s="1"/>
  <c r="H95" i="7"/>
  <c r="J95" i="7" s="1"/>
  <c r="H96" i="7"/>
  <c r="J96" i="7"/>
  <c r="H97" i="7"/>
  <c r="J97" i="7"/>
  <c r="H98" i="7"/>
  <c r="J98" i="7"/>
  <c r="H99" i="7"/>
  <c r="J99" i="7" s="1"/>
  <c r="H100" i="7"/>
  <c r="J100" i="7" s="1"/>
  <c r="H101" i="7"/>
  <c r="J101" i="7"/>
  <c r="H102" i="7"/>
  <c r="J102" i="7" s="1"/>
  <c r="H103" i="7"/>
  <c r="J103" i="7" s="1"/>
  <c r="H104" i="7"/>
  <c r="J104" i="7"/>
  <c r="H105" i="7"/>
  <c r="J105" i="7"/>
  <c r="H106" i="7"/>
  <c r="J106" i="7"/>
  <c r="H107" i="7"/>
  <c r="J107" i="7" s="1"/>
  <c r="H108" i="7"/>
  <c r="J108" i="7" s="1"/>
  <c r="H109" i="7"/>
  <c r="J109" i="7"/>
  <c r="H110" i="7"/>
  <c r="J110" i="7" s="1"/>
  <c r="H111" i="7"/>
  <c r="J111" i="7" s="1"/>
  <c r="H112" i="7"/>
  <c r="J112" i="7"/>
  <c r="H113" i="7"/>
  <c r="J113" i="7"/>
  <c r="H114" i="7"/>
  <c r="J114" i="7"/>
  <c r="H115" i="7"/>
  <c r="J115" i="7" s="1"/>
  <c r="H116" i="7"/>
  <c r="J116" i="7" s="1"/>
  <c r="H117" i="7"/>
  <c r="J117" i="7"/>
  <c r="H118" i="7"/>
  <c r="J118" i="7" s="1"/>
  <c r="H119" i="7"/>
  <c r="J119" i="7" s="1"/>
  <c r="H120" i="7"/>
  <c r="J120" i="7"/>
  <c r="H121" i="7"/>
  <c r="J121" i="7"/>
  <c r="H122" i="7"/>
  <c r="J122" i="7"/>
  <c r="H123" i="7"/>
  <c r="J123" i="7" s="1"/>
  <c r="H124" i="7"/>
  <c r="J124" i="7" s="1"/>
  <c r="H125" i="7"/>
  <c r="J125" i="7"/>
  <c r="H126" i="7"/>
  <c r="J126" i="7" s="1"/>
  <c r="H127" i="7"/>
  <c r="J127" i="7" s="1"/>
  <c r="H128" i="7"/>
  <c r="J128" i="7"/>
  <c r="H129" i="7"/>
  <c r="J129" i="7"/>
  <c r="H130" i="7"/>
  <c r="J130" i="7"/>
  <c r="H131" i="7"/>
  <c r="J131" i="7" s="1"/>
  <c r="H132" i="7"/>
  <c r="J132" i="7" s="1"/>
  <c r="H133" i="7"/>
  <c r="J133" i="7"/>
  <c r="H134" i="7"/>
  <c r="J134" i="7" s="1"/>
  <c r="H135" i="7"/>
  <c r="J135" i="7" s="1"/>
  <c r="H136" i="7"/>
  <c r="J136" i="7"/>
  <c r="H137" i="7"/>
  <c r="J137" i="7"/>
  <c r="H138" i="7"/>
  <c r="J138" i="7"/>
  <c r="H139" i="7"/>
  <c r="J139" i="7" s="1"/>
  <c r="H140" i="7"/>
  <c r="J140" i="7" s="1"/>
  <c r="H141" i="7"/>
  <c r="J141" i="7"/>
  <c r="H142" i="7"/>
  <c r="J142" i="7" s="1"/>
  <c r="H143" i="7"/>
  <c r="J143" i="7" s="1"/>
  <c r="H144" i="7"/>
  <c r="J144" i="7"/>
  <c r="H145" i="7"/>
  <c r="J145" i="7"/>
  <c r="H146" i="7"/>
  <c r="J146" i="7"/>
  <c r="H147" i="7"/>
  <c r="J147" i="7" s="1"/>
  <c r="H148" i="7"/>
  <c r="J148" i="7" s="1"/>
  <c r="H149" i="7"/>
  <c r="J149" i="7"/>
  <c r="H150" i="7"/>
  <c r="J150" i="7" s="1"/>
  <c r="H151" i="7"/>
  <c r="J151" i="7" s="1"/>
  <c r="H152" i="7"/>
  <c r="J152" i="7" s="1"/>
  <c r="H153" i="7"/>
  <c r="J153" i="7" s="1"/>
  <c r="H154" i="7"/>
  <c r="J154" i="7" s="1"/>
  <c r="H155" i="7"/>
  <c r="J155" i="7" s="1"/>
  <c r="H156" i="7"/>
  <c r="J156" i="7" s="1"/>
  <c r="H157" i="7"/>
  <c r="J157" i="7" s="1"/>
  <c r="H158" i="7"/>
  <c r="J158" i="7" s="1"/>
  <c r="H159" i="7"/>
  <c r="J159" i="7"/>
  <c r="H160" i="7"/>
  <c r="J160" i="7"/>
  <c r="H161" i="7"/>
  <c r="J161" i="7"/>
  <c r="H162" i="7"/>
  <c r="J162" i="7"/>
  <c r="H163" i="7"/>
  <c r="J163" i="7" s="1"/>
  <c r="H164" i="7"/>
  <c r="J164" i="7" s="1"/>
  <c r="H165" i="7"/>
  <c r="J165" i="7"/>
  <c r="H166" i="7"/>
  <c r="J166" i="7" s="1"/>
  <c r="H167" i="7"/>
  <c r="J167" i="7"/>
  <c r="H168" i="7"/>
  <c r="J168" i="7" s="1"/>
  <c r="H169" i="7"/>
  <c r="J169" i="7"/>
  <c r="H170" i="7"/>
  <c r="J170" i="7"/>
  <c r="H171" i="7"/>
  <c r="J171" i="7" s="1"/>
  <c r="H172" i="7"/>
  <c r="J172" i="7" s="1"/>
  <c r="H173" i="7"/>
  <c r="J173" i="7"/>
  <c r="H174" i="7"/>
  <c r="J174" i="7" s="1"/>
  <c r="H175" i="7"/>
  <c r="J175" i="7"/>
  <c r="H176" i="7"/>
  <c r="J176" i="7"/>
  <c r="H177" i="7"/>
  <c r="J177" i="7" s="1"/>
  <c r="H178" i="7"/>
  <c r="J178" i="7" s="1"/>
  <c r="H179" i="7"/>
  <c r="J179" i="7" s="1"/>
  <c r="H180" i="7"/>
  <c r="J180" i="7" s="1"/>
  <c r="H181" i="7"/>
  <c r="J181" i="7"/>
  <c r="H182" i="7"/>
  <c r="J182" i="7" s="1"/>
  <c r="H183" i="7"/>
  <c r="J183" i="7"/>
  <c r="H8" i="7"/>
  <c r="U16625" i="7"/>
  <c r="U17355" i="7"/>
  <c r="U17264" i="7"/>
  <c r="U17174" i="7"/>
  <c r="U17082" i="7"/>
  <c r="U16990" i="7"/>
  <c r="U16899" i="7"/>
  <c r="U16809" i="7"/>
  <c r="U16717" i="7"/>
  <c r="U16534" i="7"/>
  <c r="U16443" i="7"/>
  <c r="U16351" i="7"/>
  <c r="U16259" i="7"/>
  <c r="U16168" i="7"/>
  <c r="U16078" i="7"/>
  <c r="U15986" i="7"/>
  <c r="U15894" i="7"/>
  <c r="U15803" i="7"/>
  <c r="U15713" i="7"/>
  <c r="U15621" i="7"/>
  <c r="U15529" i="7"/>
  <c r="U15438" i="7"/>
  <c r="U15348" i="7"/>
  <c r="U15256" i="7"/>
  <c r="U15164" i="7"/>
  <c r="U15073" i="7"/>
  <c r="U14982" i="7"/>
  <c r="U14890" i="7"/>
  <c r="U14798" i="7"/>
  <c r="U14707" i="7"/>
  <c r="U14617" i="7"/>
  <c r="U14525" i="7"/>
  <c r="U14433" i="7"/>
  <c r="U14342" i="7"/>
  <c r="U14252" i="7"/>
  <c r="U14160" i="7"/>
  <c r="U14068" i="7"/>
  <c r="U13977" i="7"/>
  <c r="U13887" i="7"/>
  <c r="U13795" i="7"/>
  <c r="U13703" i="7"/>
  <c r="U13612" i="7"/>
  <c r="U13521" i="7"/>
  <c r="U13429" i="7"/>
  <c r="U13337" i="7"/>
  <c r="U13246" i="7"/>
  <c r="U13156" i="7"/>
  <c r="U13064" i="7"/>
  <c r="U12972" i="7"/>
  <c r="U12881" i="7"/>
  <c r="U12791" i="7"/>
  <c r="U12699" i="7"/>
  <c r="U12607" i="7"/>
  <c r="U12516" i="7"/>
  <c r="U12426" i="7"/>
  <c r="U12334" i="7"/>
  <c r="U12242" i="7"/>
  <c r="U12151" i="7"/>
  <c r="U12060" i="7"/>
  <c r="U11968" i="7"/>
  <c r="U11876" i="7"/>
  <c r="U11785" i="7"/>
  <c r="U11695" i="7"/>
  <c r="U11603" i="7"/>
  <c r="U11511" i="7"/>
  <c r="U11420" i="7"/>
  <c r="U11330" i="7"/>
  <c r="U11238" i="7"/>
  <c r="U11146" i="7"/>
  <c r="U11055" i="7"/>
  <c r="U10965" i="7"/>
  <c r="U10873" i="7"/>
  <c r="U10781" i="7"/>
  <c r="U10690" i="7"/>
  <c r="U10599" i="7"/>
  <c r="U10507" i="7"/>
  <c r="U10415" i="7"/>
  <c r="U10324" i="7"/>
  <c r="U10234" i="7"/>
  <c r="U10142" i="7"/>
  <c r="U10050" i="7"/>
  <c r="U9959" i="7"/>
  <c r="U9869" i="7"/>
  <c r="U9777" i="7"/>
  <c r="U9685" i="7"/>
  <c r="U9594" i="7"/>
  <c r="U9504" i="7"/>
  <c r="U9412" i="7"/>
  <c r="U9320" i="7"/>
  <c r="U9229" i="7"/>
  <c r="U9138" i="7"/>
  <c r="U9046" i="7"/>
  <c r="U8954" i="7"/>
  <c r="U8863" i="7"/>
  <c r="U8773" i="7"/>
  <c r="U8681" i="7"/>
  <c r="U8589" i="7"/>
  <c r="U8498" i="7"/>
  <c r="U8408" i="7"/>
  <c r="U8316" i="7"/>
  <c r="U8224" i="7"/>
  <c r="U8133" i="7"/>
  <c r="U8043" i="7"/>
  <c r="U7951" i="7"/>
  <c r="U7859" i="7"/>
  <c r="U7768" i="7"/>
  <c r="U7677" i="7"/>
  <c r="U7585" i="7"/>
  <c r="U7493" i="7"/>
  <c r="U7402" i="7"/>
  <c r="U7312" i="7"/>
  <c r="U7220" i="7"/>
  <c r="U7128" i="7"/>
  <c r="U7037" i="7"/>
  <c r="U6947" i="7"/>
  <c r="U6855" i="7"/>
  <c r="U6763" i="7"/>
  <c r="U6672" i="7"/>
  <c r="U6582" i="7"/>
  <c r="U6490" i="7"/>
  <c r="U6398" i="7"/>
  <c r="U6307" i="7"/>
  <c r="U6216" i="7"/>
  <c r="U6124" i="7"/>
  <c r="U6032" i="7"/>
  <c r="U5941" i="7"/>
  <c r="U5851" i="7"/>
  <c r="U5759" i="7"/>
  <c r="U5667" i="7"/>
  <c r="U5576" i="7"/>
  <c r="U5486" i="7"/>
  <c r="U5394" i="7"/>
  <c r="U5302" i="7"/>
  <c r="U5211" i="7"/>
  <c r="U5121" i="7"/>
  <c r="U5029" i="7"/>
  <c r="U4937" i="7"/>
  <c r="U4846" i="7"/>
  <c r="U4755" i="7"/>
  <c r="U4663" i="7"/>
  <c r="U4571" i="7"/>
  <c r="U4480" i="7"/>
  <c r="U4390" i="7"/>
  <c r="U4298" i="7"/>
  <c r="U4206" i="7"/>
  <c r="U4115" i="7"/>
  <c r="U4025" i="7"/>
  <c r="U3933" i="7"/>
  <c r="U3841" i="7"/>
  <c r="U3750" i="7"/>
  <c r="U3660" i="7"/>
  <c r="U3568" i="7"/>
  <c r="U3476" i="7"/>
  <c r="U3385" i="7"/>
  <c r="U3294" i="7"/>
  <c r="U3202" i="7"/>
  <c r="U3110" i="7"/>
  <c r="U3019" i="7"/>
  <c r="U2929" i="7"/>
  <c r="U2837" i="7"/>
  <c r="U2745" i="7"/>
  <c r="U2654" i="7"/>
  <c r="U2564" i="7"/>
  <c r="U2472" i="7"/>
  <c r="U2380" i="7"/>
  <c r="U2289" i="7"/>
  <c r="U2199" i="7"/>
  <c r="U2107" i="7"/>
  <c r="U2015" i="7"/>
  <c r="U1924" i="7"/>
  <c r="U1833" i="7"/>
  <c r="U1741" i="7"/>
  <c r="U1649" i="7"/>
  <c r="U1558" i="7"/>
  <c r="U1468" i="7"/>
  <c r="U1376" i="7"/>
  <c r="U1284" i="7"/>
  <c r="U1193" i="7"/>
  <c r="U1103" i="7"/>
  <c r="U1011" i="7"/>
  <c r="U919" i="7"/>
  <c r="U828" i="7"/>
  <c r="U738" i="7"/>
  <c r="U646" i="7"/>
  <c r="U554" i="7"/>
  <c r="U463" i="7"/>
  <c r="U372" i="7"/>
  <c r="U280" i="7"/>
  <c r="U188" i="7"/>
  <c r="U97" i="7"/>
  <c r="J8" i="7"/>
  <c r="K157" i="6" l="1"/>
  <c r="X197" i="6"/>
  <c r="X196" i="6"/>
  <c r="X195" i="6"/>
  <c r="X194" i="6"/>
  <c r="X193" i="6"/>
  <c r="Y194" i="6" s="1"/>
  <c r="X192" i="6"/>
  <c r="Y102" i="6"/>
  <c r="H197" i="6"/>
  <c r="K197" i="6" s="1"/>
  <c r="K193" i="6"/>
  <c r="J117" i="6"/>
  <c r="J121" i="6"/>
  <c r="J125" i="6"/>
  <c r="J129" i="6"/>
  <c r="J133" i="6"/>
  <c r="J137" i="6"/>
  <c r="J141" i="6"/>
  <c r="J145" i="6"/>
  <c r="J149" i="6"/>
  <c r="J153" i="6"/>
  <c r="J157" i="6"/>
  <c r="J161" i="6"/>
  <c r="J165" i="6"/>
  <c r="J169" i="6"/>
  <c r="J173" i="6"/>
  <c r="J177" i="6"/>
  <c r="J181" i="6"/>
  <c r="J185" i="6"/>
  <c r="J189" i="6"/>
  <c r="J113" i="6"/>
  <c r="X191" i="6"/>
  <c r="X190" i="6"/>
  <c r="X189" i="6"/>
  <c r="X188" i="6"/>
  <c r="X187" i="6"/>
  <c r="X186" i="6"/>
  <c r="X185" i="6"/>
  <c r="X184" i="6"/>
  <c r="X183" i="6"/>
  <c r="X182" i="6"/>
  <c r="X181" i="6"/>
  <c r="X180" i="6"/>
  <c r="X179" i="6"/>
  <c r="X178" i="6"/>
  <c r="X177" i="6"/>
  <c r="X176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K181" i="6"/>
  <c r="K185" i="6"/>
  <c r="K189" i="6"/>
  <c r="X175" i="6"/>
  <c r="X174" i="6"/>
  <c r="X173" i="6"/>
  <c r="X172" i="6"/>
  <c r="X171" i="6"/>
  <c r="X170" i="6"/>
  <c r="X169" i="6"/>
  <c r="X168" i="6"/>
  <c r="X167" i="6"/>
  <c r="X166" i="6"/>
  <c r="X165" i="6"/>
  <c r="Y166" i="6" s="1"/>
  <c r="X164" i="6"/>
  <c r="X163" i="6"/>
  <c r="X162" i="6"/>
  <c r="X161" i="6"/>
  <c r="Y162" i="6" s="1"/>
  <c r="X160" i="6"/>
  <c r="X159" i="6"/>
  <c r="X158" i="6"/>
  <c r="X157" i="6"/>
  <c r="X156" i="6"/>
  <c r="X155" i="6"/>
  <c r="X154" i="6"/>
  <c r="X153" i="6"/>
  <c r="X152" i="6"/>
  <c r="X151" i="6"/>
  <c r="X150" i="6"/>
  <c r="X149" i="6"/>
  <c r="X148" i="6"/>
  <c r="X147" i="6"/>
  <c r="X146" i="6"/>
  <c r="X145" i="6"/>
  <c r="X144" i="6"/>
  <c r="X143" i="6"/>
  <c r="X142" i="6"/>
  <c r="X141" i="6"/>
  <c r="Y142" i="6" s="1"/>
  <c r="X140" i="6"/>
  <c r="X139" i="6"/>
  <c r="X138" i="6"/>
  <c r="X137" i="6"/>
  <c r="X136" i="6"/>
  <c r="X135" i="6"/>
  <c r="X134" i="6"/>
  <c r="X133" i="6"/>
  <c r="X132" i="6"/>
  <c r="X131" i="6"/>
  <c r="X130" i="6"/>
  <c r="X129" i="6"/>
  <c r="X128" i="6"/>
  <c r="X127" i="6"/>
  <c r="X126" i="6"/>
  <c r="X125" i="6"/>
  <c r="X124" i="6"/>
  <c r="X123" i="6"/>
  <c r="X122" i="6"/>
  <c r="X121" i="6"/>
  <c r="X120" i="6"/>
  <c r="X119" i="6"/>
  <c r="X118" i="6"/>
  <c r="X117" i="6"/>
  <c r="X116" i="6"/>
  <c r="X115" i="6"/>
  <c r="X114" i="6"/>
  <c r="X113" i="6"/>
  <c r="X112" i="6"/>
  <c r="X111" i="6"/>
  <c r="X110" i="6"/>
  <c r="X109" i="6"/>
  <c r="X108" i="6"/>
  <c r="X107" i="6"/>
  <c r="X106" i="6"/>
  <c r="X105" i="6"/>
  <c r="X104" i="6"/>
  <c r="X101" i="6"/>
  <c r="X89" i="6"/>
  <c r="X90" i="6"/>
  <c r="X85" i="6"/>
  <c r="X69" i="6"/>
  <c r="X67" i="6"/>
  <c r="X53" i="6"/>
  <c r="X37" i="6"/>
  <c r="X21" i="6"/>
  <c r="X103" i="6"/>
  <c r="X102" i="6"/>
  <c r="Y103" i="6" s="1"/>
  <c r="X99" i="6"/>
  <c r="X98" i="6"/>
  <c r="X97" i="6"/>
  <c r="Y98" i="6" s="1"/>
  <c r="X96" i="6"/>
  <c r="X95" i="6"/>
  <c r="X94" i="6"/>
  <c r="X93" i="6"/>
  <c r="Y96" i="6" s="1"/>
  <c r="X92" i="6"/>
  <c r="X91" i="6"/>
  <c r="X87" i="6"/>
  <c r="X86" i="6"/>
  <c r="X83" i="6"/>
  <c r="X82" i="6"/>
  <c r="X81" i="6"/>
  <c r="X80" i="6"/>
  <c r="X79" i="6"/>
  <c r="X78" i="6"/>
  <c r="X77" i="6"/>
  <c r="X76" i="6"/>
  <c r="X75" i="6"/>
  <c r="X74" i="6"/>
  <c r="X73" i="6"/>
  <c r="X72" i="6"/>
  <c r="X71" i="6"/>
  <c r="X70" i="6"/>
  <c r="X65" i="6"/>
  <c r="X63" i="6"/>
  <c r="X62" i="6"/>
  <c r="X61" i="6"/>
  <c r="X60" i="6"/>
  <c r="X59" i="6"/>
  <c r="X58" i="6"/>
  <c r="X57" i="6"/>
  <c r="X56" i="6"/>
  <c r="X55" i="6"/>
  <c r="X54" i="6"/>
  <c r="X51" i="6"/>
  <c r="X50" i="6"/>
  <c r="X49" i="6"/>
  <c r="X48" i="6"/>
  <c r="X47" i="6"/>
  <c r="X46" i="6"/>
  <c r="X45" i="6"/>
  <c r="X44" i="6"/>
  <c r="X43" i="6"/>
  <c r="X42" i="6"/>
  <c r="X41" i="6"/>
  <c r="X40" i="6"/>
  <c r="X39" i="6"/>
  <c r="X38" i="6"/>
  <c r="X35" i="6"/>
  <c r="X34" i="6"/>
  <c r="X33" i="6"/>
  <c r="X32" i="6"/>
  <c r="Y33" i="6" s="1"/>
  <c r="X31" i="6"/>
  <c r="X30" i="6"/>
  <c r="X29" i="6"/>
  <c r="X28" i="6"/>
  <c r="X27" i="6"/>
  <c r="X26" i="6"/>
  <c r="X25" i="6"/>
  <c r="X24" i="6"/>
  <c r="X23" i="6"/>
  <c r="X22" i="6"/>
  <c r="X19" i="6"/>
  <c r="X18" i="6"/>
  <c r="X17" i="6"/>
  <c r="X16" i="6"/>
  <c r="X15" i="6"/>
  <c r="X14" i="6"/>
  <c r="X13" i="6"/>
  <c r="X12" i="6"/>
  <c r="X11" i="6"/>
  <c r="X10" i="6"/>
  <c r="X9" i="6"/>
  <c r="X8" i="6"/>
  <c r="K12" i="6"/>
  <c r="K16" i="6"/>
  <c r="K20" i="6"/>
  <c r="K24" i="6"/>
  <c r="K28" i="6"/>
  <c r="K32" i="6"/>
  <c r="K36" i="6"/>
  <c r="K40" i="6"/>
  <c r="K44" i="6"/>
  <c r="K48" i="6"/>
  <c r="K52" i="6"/>
  <c r="K56" i="6"/>
  <c r="K60" i="6"/>
  <c r="K64" i="6"/>
  <c r="K68" i="6"/>
  <c r="K72" i="6"/>
  <c r="K73" i="6"/>
  <c r="K77" i="6"/>
  <c r="K81" i="6"/>
  <c r="K85" i="6"/>
  <c r="K89" i="6"/>
  <c r="K93" i="6"/>
  <c r="K97" i="6"/>
  <c r="K101" i="6"/>
  <c r="K105" i="6"/>
  <c r="K109" i="6"/>
  <c r="K113" i="6"/>
  <c r="K117" i="6"/>
  <c r="K121" i="6"/>
  <c r="K125" i="6"/>
  <c r="K129" i="6"/>
  <c r="K133" i="6"/>
  <c r="K137" i="6"/>
  <c r="K141" i="6"/>
  <c r="K145" i="6"/>
  <c r="K149" i="6"/>
  <c r="K153" i="6"/>
  <c r="K161" i="6"/>
  <c r="K165" i="6"/>
  <c r="K169" i="6"/>
  <c r="K173" i="6"/>
  <c r="K177" i="6"/>
  <c r="K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8" i="6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8" i="5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J165" i="4" s="1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8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10" i="3"/>
  <c r="H9" i="3"/>
  <c r="J9" i="3" s="1"/>
  <c r="H10" i="3"/>
  <c r="J10" i="3" s="1"/>
  <c r="H11" i="3"/>
  <c r="J11" i="3" s="1"/>
  <c r="H12" i="3"/>
  <c r="J12" i="3" s="1"/>
  <c r="H13" i="3"/>
  <c r="J13" i="3" s="1"/>
  <c r="H14" i="3"/>
  <c r="J14" i="3" s="1"/>
  <c r="H15" i="3"/>
  <c r="J15" i="3" s="1"/>
  <c r="H16" i="3"/>
  <c r="J16" i="3" s="1"/>
  <c r="H17" i="3"/>
  <c r="J17" i="3" s="1"/>
  <c r="H18" i="3"/>
  <c r="J18" i="3" s="1"/>
  <c r="H19" i="3"/>
  <c r="J19" i="3" s="1"/>
  <c r="H20" i="3"/>
  <c r="J20" i="3" s="1"/>
  <c r="H21" i="3"/>
  <c r="J21" i="3" s="1"/>
  <c r="H22" i="3"/>
  <c r="J22" i="3" s="1"/>
  <c r="H23" i="3"/>
  <c r="J23" i="3" s="1"/>
  <c r="H24" i="3"/>
  <c r="J24" i="3" s="1"/>
  <c r="H25" i="3"/>
  <c r="J25" i="3" s="1"/>
  <c r="H26" i="3"/>
  <c r="J26" i="3" s="1"/>
  <c r="H27" i="3"/>
  <c r="J27" i="3" s="1"/>
  <c r="H28" i="3"/>
  <c r="J28" i="3" s="1"/>
  <c r="H29" i="3"/>
  <c r="J29" i="3" s="1"/>
  <c r="H30" i="3"/>
  <c r="J30" i="3" s="1"/>
  <c r="H31" i="3"/>
  <c r="J31" i="3" s="1"/>
  <c r="H32" i="3"/>
  <c r="J32" i="3" s="1"/>
  <c r="H33" i="3"/>
  <c r="J33" i="3" s="1"/>
  <c r="H34" i="3"/>
  <c r="J34" i="3" s="1"/>
  <c r="H35" i="3"/>
  <c r="J35" i="3" s="1"/>
  <c r="H36" i="3"/>
  <c r="J36" i="3" s="1"/>
  <c r="H37" i="3"/>
  <c r="J37" i="3" s="1"/>
  <c r="H38" i="3"/>
  <c r="J38" i="3" s="1"/>
  <c r="H39" i="3"/>
  <c r="J39" i="3" s="1"/>
  <c r="H40" i="3"/>
  <c r="J40" i="3" s="1"/>
  <c r="H41" i="3"/>
  <c r="J41" i="3" s="1"/>
  <c r="H42" i="3"/>
  <c r="J42" i="3" s="1"/>
  <c r="H43" i="3"/>
  <c r="J43" i="3" s="1"/>
  <c r="H44" i="3"/>
  <c r="J44" i="3" s="1"/>
  <c r="H45" i="3"/>
  <c r="J45" i="3" s="1"/>
  <c r="H46" i="3"/>
  <c r="J46" i="3" s="1"/>
  <c r="H47" i="3"/>
  <c r="J47" i="3" s="1"/>
  <c r="H48" i="3"/>
  <c r="J48" i="3" s="1"/>
  <c r="H49" i="3"/>
  <c r="J49" i="3" s="1"/>
  <c r="H50" i="3"/>
  <c r="J50" i="3" s="1"/>
  <c r="H51" i="3"/>
  <c r="J51" i="3" s="1"/>
  <c r="H52" i="3"/>
  <c r="J52" i="3" s="1"/>
  <c r="H53" i="3"/>
  <c r="J53" i="3" s="1"/>
  <c r="H54" i="3"/>
  <c r="J54" i="3" s="1"/>
  <c r="H55" i="3"/>
  <c r="J55" i="3" s="1"/>
  <c r="H56" i="3"/>
  <c r="J56" i="3" s="1"/>
  <c r="H57" i="3"/>
  <c r="J57" i="3" s="1"/>
  <c r="H58" i="3"/>
  <c r="J58" i="3" s="1"/>
  <c r="H59" i="3"/>
  <c r="J59" i="3" s="1"/>
  <c r="H60" i="3"/>
  <c r="J60" i="3" s="1"/>
  <c r="H61" i="3"/>
  <c r="J61" i="3" s="1"/>
  <c r="H62" i="3"/>
  <c r="J62" i="3" s="1"/>
  <c r="H63" i="3"/>
  <c r="J63" i="3" s="1"/>
  <c r="H64" i="3"/>
  <c r="J64" i="3" s="1"/>
  <c r="H65" i="3"/>
  <c r="J65" i="3" s="1"/>
  <c r="H66" i="3"/>
  <c r="J66" i="3" s="1"/>
  <c r="H67" i="3"/>
  <c r="J67" i="3" s="1"/>
  <c r="H68" i="3"/>
  <c r="J68" i="3" s="1"/>
  <c r="H69" i="3"/>
  <c r="J69" i="3" s="1"/>
  <c r="H70" i="3"/>
  <c r="J70" i="3" s="1"/>
  <c r="H71" i="3"/>
  <c r="J71" i="3" s="1"/>
  <c r="H72" i="3"/>
  <c r="J72" i="3" s="1"/>
  <c r="H73" i="3"/>
  <c r="J73" i="3" s="1"/>
  <c r="H74" i="3"/>
  <c r="J74" i="3" s="1"/>
  <c r="H75" i="3"/>
  <c r="J75" i="3" s="1"/>
  <c r="H76" i="3"/>
  <c r="J76" i="3" s="1"/>
  <c r="H77" i="3"/>
  <c r="J77" i="3" s="1"/>
  <c r="H78" i="3"/>
  <c r="J78" i="3" s="1"/>
  <c r="H79" i="3"/>
  <c r="J79" i="3" s="1"/>
  <c r="H80" i="3"/>
  <c r="J80" i="3" s="1"/>
  <c r="H81" i="3"/>
  <c r="J81" i="3" s="1"/>
  <c r="H82" i="3"/>
  <c r="J82" i="3" s="1"/>
  <c r="H83" i="3"/>
  <c r="J83" i="3" s="1"/>
  <c r="H84" i="3"/>
  <c r="J84" i="3" s="1"/>
  <c r="H85" i="3"/>
  <c r="J85" i="3" s="1"/>
  <c r="H86" i="3"/>
  <c r="J86" i="3" s="1"/>
  <c r="H87" i="3"/>
  <c r="J87" i="3" s="1"/>
  <c r="H88" i="3"/>
  <c r="J88" i="3" s="1"/>
  <c r="H89" i="3"/>
  <c r="J89" i="3" s="1"/>
  <c r="H90" i="3"/>
  <c r="J90" i="3" s="1"/>
  <c r="H91" i="3"/>
  <c r="J91" i="3" s="1"/>
  <c r="H92" i="3"/>
  <c r="J92" i="3" s="1"/>
  <c r="H93" i="3"/>
  <c r="J93" i="3" s="1"/>
  <c r="H94" i="3"/>
  <c r="J94" i="3" s="1"/>
  <c r="H95" i="3"/>
  <c r="J95" i="3" s="1"/>
  <c r="H96" i="3"/>
  <c r="J96" i="3" s="1"/>
  <c r="H97" i="3"/>
  <c r="J97" i="3" s="1"/>
  <c r="H98" i="3"/>
  <c r="J98" i="3" s="1"/>
  <c r="H99" i="3"/>
  <c r="J99" i="3" s="1"/>
  <c r="H100" i="3"/>
  <c r="J100" i="3" s="1"/>
  <c r="H101" i="3"/>
  <c r="J101" i="3" s="1"/>
  <c r="H102" i="3"/>
  <c r="J102" i="3" s="1"/>
  <c r="H103" i="3"/>
  <c r="J103" i="3" s="1"/>
  <c r="H104" i="3"/>
  <c r="J104" i="3" s="1"/>
  <c r="H105" i="3"/>
  <c r="J105" i="3" s="1"/>
  <c r="H106" i="3"/>
  <c r="J106" i="3" s="1"/>
  <c r="H107" i="3"/>
  <c r="J107" i="3" s="1"/>
  <c r="H108" i="3"/>
  <c r="J108" i="3" s="1"/>
  <c r="H109" i="3"/>
  <c r="J109" i="3" s="1"/>
  <c r="H110" i="3"/>
  <c r="J110" i="3" s="1"/>
  <c r="H111" i="3"/>
  <c r="J111" i="3" s="1"/>
  <c r="H112" i="3"/>
  <c r="J112" i="3" s="1"/>
  <c r="H113" i="3"/>
  <c r="J113" i="3" s="1"/>
  <c r="H114" i="3"/>
  <c r="J114" i="3" s="1"/>
  <c r="H115" i="3"/>
  <c r="J115" i="3" s="1"/>
  <c r="H116" i="3"/>
  <c r="J116" i="3" s="1"/>
  <c r="H117" i="3"/>
  <c r="J117" i="3" s="1"/>
  <c r="H118" i="3"/>
  <c r="J118" i="3" s="1"/>
  <c r="H119" i="3"/>
  <c r="J119" i="3" s="1"/>
  <c r="H120" i="3"/>
  <c r="J120" i="3" s="1"/>
  <c r="H121" i="3"/>
  <c r="J121" i="3" s="1"/>
  <c r="H122" i="3"/>
  <c r="J122" i="3" s="1"/>
  <c r="H123" i="3"/>
  <c r="J123" i="3" s="1"/>
  <c r="H124" i="3"/>
  <c r="J124" i="3" s="1"/>
  <c r="H125" i="3"/>
  <c r="J125" i="3" s="1"/>
  <c r="H126" i="3"/>
  <c r="J126" i="3" s="1"/>
  <c r="H127" i="3"/>
  <c r="J127" i="3" s="1"/>
  <c r="H128" i="3"/>
  <c r="J128" i="3" s="1"/>
  <c r="H129" i="3"/>
  <c r="J129" i="3" s="1"/>
  <c r="H130" i="3"/>
  <c r="J130" i="3" s="1"/>
  <c r="H131" i="3"/>
  <c r="J131" i="3" s="1"/>
  <c r="H132" i="3"/>
  <c r="J132" i="3" s="1"/>
  <c r="H133" i="3"/>
  <c r="J133" i="3" s="1"/>
  <c r="H134" i="3"/>
  <c r="J134" i="3" s="1"/>
  <c r="H135" i="3"/>
  <c r="J135" i="3" s="1"/>
  <c r="H136" i="3"/>
  <c r="J136" i="3" s="1"/>
  <c r="H137" i="3"/>
  <c r="J137" i="3" s="1"/>
  <c r="H138" i="3"/>
  <c r="J138" i="3" s="1"/>
  <c r="H139" i="3"/>
  <c r="J139" i="3" s="1"/>
  <c r="H140" i="3"/>
  <c r="J140" i="3" s="1"/>
  <c r="H141" i="3"/>
  <c r="J141" i="3" s="1"/>
  <c r="H142" i="3"/>
  <c r="J142" i="3" s="1"/>
  <c r="H143" i="3"/>
  <c r="J143" i="3" s="1"/>
  <c r="H144" i="3"/>
  <c r="J144" i="3" s="1"/>
  <c r="H145" i="3"/>
  <c r="J145" i="3" s="1"/>
  <c r="H146" i="3"/>
  <c r="J146" i="3" s="1"/>
  <c r="H147" i="3"/>
  <c r="J147" i="3" s="1"/>
  <c r="H148" i="3"/>
  <c r="J148" i="3" s="1"/>
  <c r="H149" i="3"/>
  <c r="J149" i="3" s="1"/>
  <c r="H150" i="3"/>
  <c r="J150" i="3" s="1"/>
  <c r="H151" i="3"/>
  <c r="J151" i="3" s="1"/>
  <c r="H152" i="3"/>
  <c r="J152" i="3" s="1"/>
  <c r="H153" i="3"/>
  <c r="J153" i="3" s="1"/>
  <c r="H154" i="3"/>
  <c r="J154" i="3" s="1"/>
  <c r="H155" i="3"/>
  <c r="J155" i="3" s="1"/>
  <c r="H156" i="3"/>
  <c r="J156" i="3" s="1"/>
  <c r="H157" i="3"/>
  <c r="J157" i="3" s="1"/>
  <c r="H158" i="3"/>
  <c r="J158" i="3" s="1"/>
  <c r="H159" i="3"/>
  <c r="J159" i="3" s="1"/>
  <c r="H160" i="3"/>
  <c r="J160" i="3" s="1"/>
  <c r="H161" i="3"/>
  <c r="J161" i="3" s="1"/>
  <c r="H162" i="3"/>
  <c r="J162" i="3" s="1"/>
  <c r="H163" i="3"/>
  <c r="J163" i="3" s="1"/>
  <c r="H164" i="3"/>
  <c r="J164" i="3" s="1"/>
  <c r="H165" i="3"/>
  <c r="J165" i="3" s="1"/>
  <c r="H166" i="3"/>
  <c r="J166" i="3" s="1"/>
  <c r="H167" i="3"/>
  <c r="J167" i="3" s="1"/>
  <c r="H168" i="3"/>
  <c r="J168" i="3" s="1"/>
  <c r="H169" i="3"/>
  <c r="J169" i="3" s="1"/>
  <c r="H170" i="3"/>
  <c r="J170" i="3" s="1"/>
  <c r="H171" i="3"/>
  <c r="J171" i="3" s="1"/>
  <c r="H172" i="3"/>
  <c r="J172" i="3" s="1"/>
  <c r="H173" i="3"/>
  <c r="J173" i="3" s="1"/>
  <c r="H174" i="3"/>
  <c r="J174" i="3" s="1"/>
  <c r="H175" i="3"/>
  <c r="J175" i="3" s="1"/>
  <c r="H176" i="3"/>
  <c r="J176" i="3" s="1"/>
  <c r="H177" i="3"/>
  <c r="J177" i="3" s="1"/>
  <c r="H178" i="3"/>
  <c r="J178" i="3" s="1"/>
  <c r="H179" i="3"/>
  <c r="J179" i="3" s="1"/>
  <c r="H180" i="3"/>
  <c r="J180" i="3" s="1"/>
  <c r="H181" i="3"/>
  <c r="J181" i="3" s="1"/>
  <c r="H182" i="3"/>
  <c r="J182" i="3" s="1"/>
  <c r="H183" i="3"/>
  <c r="J183" i="3" s="1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8" i="3"/>
  <c r="J8" i="3" s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8" i="1"/>
  <c r="Y76" i="6" l="1"/>
  <c r="Y19" i="6"/>
  <c r="Y107" i="6"/>
  <c r="Y124" i="6"/>
  <c r="Y171" i="6"/>
  <c r="Y99" i="6"/>
  <c r="Y17" i="6"/>
  <c r="Y31" i="6"/>
  <c r="Y192" i="6"/>
  <c r="Y59" i="6"/>
  <c r="Y79" i="6"/>
  <c r="Y183" i="6"/>
  <c r="Y143" i="6"/>
  <c r="Y11" i="6"/>
  <c r="Y47" i="6"/>
  <c r="Y116" i="6"/>
  <c r="Y132" i="6"/>
  <c r="Y148" i="6"/>
  <c r="Y14" i="6"/>
  <c r="Y119" i="6"/>
  <c r="Y136" i="6"/>
  <c r="Y27" i="6"/>
  <c r="Y63" i="6"/>
  <c r="Y84" i="6"/>
  <c r="Y188" i="6"/>
  <c r="Y83" i="6"/>
  <c r="Y147" i="6"/>
  <c r="Y163" i="6"/>
  <c r="Y152" i="6"/>
  <c r="Y167" i="6"/>
  <c r="Y168" i="6"/>
  <c r="Y170" i="6"/>
  <c r="Y104" i="6"/>
  <c r="Y13" i="6"/>
  <c r="Y43" i="6"/>
  <c r="Y112" i="6"/>
  <c r="Y127" i="6"/>
  <c r="Y160" i="6"/>
  <c r="Y176" i="6"/>
  <c r="Y15" i="6"/>
  <c r="Y100" i="6"/>
  <c r="Y128" i="6"/>
  <c r="Y144" i="6"/>
  <c r="Y18" i="6"/>
  <c r="Y34" i="6"/>
  <c r="Y35" i="6"/>
  <c r="Y106" i="6"/>
  <c r="Y184" i="6"/>
  <c r="Y41" i="6"/>
  <c r="Y88" i="6"/>
  <c r="Y42" i="6"/>
  <c r="Y120" i="6"/>
  <c r="Y80" i="6"/>
  <c r="Y51" i="6"/>
  <c r="Y57" i="6"/>
  <c r="Y122" i="6"/>
  <c r="Y92" i="6"/>
  <c r="Y58" i="6"/>
  <c r="Y123" i="6"/>
  <c r="Y180" i="6"/>
  <c r="Y196" i="6"/>
  <c r="Y61" i="6"/>
  <c r="Y126" i="6"/>
  <c r="Y108" i="6"/>
  <c r="Y140" i="6"/>
  <c r="Y156" i="6"/>
  <c r="Y172" i="6"/>
  <c r="Y78" i="6"/>
  <c r="Y164" i="6"/>
  <c r="Y186" i="6"/>
  <c r="Y187" i="6"/>
  <c r="Y82" i="6"/>
  <c r="Y146" i="6"/>
  <c r="Y190" i="6"/>
  <c r="Y62" i="6"/>
  <c r="Y191" i="6"/>
  <c r="Y86" i="6"/>
  <c r="Y150" i="6"/>
  <c r="Y87" i="6"/>
  <c r="Y130" i="6"/>
  <c r="Y151" i="6"/>
  <c r="Y45" i="6"/>
  <c r="Y110" i="6"/>
  <c r="Y131" i="6"/>
  <c r="Y174" i="6"/>
  <c r="Y25" i="6"/>
  <c r="Y46" i="6"/>
  <c r="Y90" i="6"/>
  <c r="Y111" i="6"/>
  <c r="Y154" i="6"/>
  <c r="Y175" i="6"/>
  <c r="Y26" i="6"/>
  <c r="Y91" i="6"/>
  <c r="Y134" i="6"/>
  <c r="Y155" i="6"/>
  <c r="Y49" i="6"/>
  <c r="Y114" i="6"/>
  <c r="Y135" i="6"/>
  <c r="Y178" i="6"/>
  <c r="Y195" i="6"/>
  <c r="Y29" i="6"/>
  <c r="Y50" i="6"/>
  <c r="Y94" i="6"/>
  <c r="Y115" i="6"/>
  <c r="Y158" i="6"/>
  <c r="Y179" i="6"/>
  <c r="Y9" i="6"/>
  <c r="Y30" i="6"/>
  <c r="Y74" i="6"/>
  <c r="Y95" i="6"/>
  <c r="Y138" i="6"/>
  <c r="Y159" i="6"/>
  <c r="Y10" i="6"/>
  <c r="Y75" i="6"/>
  <c r="Y118" i="6"/>
  <c r="Y139" i="6"/>
  <c r="Y182" i="6"/>
  <c r="X88" i="6"/>
  <c r="X64" i="6"/>
  <c r="X66" i="6"/>
  <c r="X20" i="6"/>
  <c r="X36" i="6"/>
  <c r="X52" i="6"/>
  <c r="X68" i="6"/>
  <c r="X84" i="6"/>
  <c r="X100" i="6"/>
  <c r="Y71" i="6" l="1"/>
  <c r="Y70" i="6"/>
  <c r="Y69" i="6"/>
  <c r="Y67" i="6"/>
  <c r="Y66" i="6"/>
  <c r="Y65" i="6"/>
  <c r="Y54" i="6"/>
  <c r="Y53" i="6"/>
  <c r="Y55" i="6"/>
  <c r="Y39" i="6"/>
  <c r="Y38" i="6"/>
  <c r="Y37" i="6"/>
  <c r="Y23" i="6"/>
  <c r="Y22" i="6"/>
  <c r="Y2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 Walker</author>
  </authors>
  <commentList>
    <comment ref="H197" authorId="0" shapeId="0" xr:uid="{E18A1072-21B3-4A71-BF96-217AC949F335}">
      <text>
        <r>
          <rPr>
            <b/>
            <sz val="9"/>
            <color indexed="81"/>
            <rFont val="Tahoma"/>
            <family val="2"/>
          </rPr>
          <t>Chris Walker:</t>
        </r>
        <r>
          <rPr>
            <sz val="9"/>
            <color indexed="81"/>
            <rFont val="Tahoma"/>
            <family val="2"/>
          </rPr>
          <t xml:space="preserve">
Last year figure plus net additions ex demolition for England minus affordable housing ex demolition
https://www.gov.uk/government/statistics/housing-supply-net-additional-dwellings-england-2021-to-2022
Tab 'Figure_5'</t>
        </r>
      </text>
    </comment>
  </commentList>
</comments>
</file>

<file path=xl/sharedStrings.xml><?xml version="1.0" encoding="utf-8"?>
<sst xmlns="http://schemas.openxmlformats.org/spreadsheetml/2006/main" count="3508" uniqueCount="378">
  <si>
    <t>Q1</t>
  </si>
  <si>
    <t>Q2</t>
  </si>
  <si>
    <t>Q3</t>
  </si>
  <si>
    <t>Q4</t>
  </si>
  <si>
    <t>Cat 1</t>
  </si>
  <si>
    <t>Cat 2</t>
  </si>
  <si>
    <t>Cat 3</t>
  </si>
  <si>
    <t>Updated</t>
  </si>
  <si>
    <t>Previous</t>
  </si>
  <si>
    <t>Difference</t>
  </si>
  <si>
    <t>[Geoff Meen]</t>
  </si>
  <si>
    <t xml:space="preserve">House building, UK: Permanent dwellings started &amp; completed by country [ONS] </t>
  </si>
  <si>
    <t>https://www.ons.gov.uk/peoplepopulationandcommunity/housing/datasets/ukhousebuildingpermanentdwellingsstartedandcompleted</t>
  </si>
  <si>
    <t>Link</t>
  </si>
  <si>
    <t>N/A</t>
  </si>
  <si>
    <t>Table</t>
  </si>
  <si>
    <t>Notes 2</t>
  </si>
  <si>
    <t>Notes 1</t>
  </si>
  <si>
    <t>Cat4</t>
  </si>
  <si>
    <t>1b</t>
  </si>
  <si>
    <t>1c</t>
  </si>
  <si>
    <t>1d</t>
  </si>
  <si>
    <t>..</t>
  </si>
  <si>
    <t>Sum cats 1-4</t>
  </si>
  <si>
    <t>UK House Price Index: data downloads September 2022 - GOV.UK (www.gov.uk)</t>
  </si>
  <si>
    <t>Private enterprise starts GB</t>
  </si>
  <si>
    <t>House Price Index [ONS, Land Registry]</t>
  </si>
  <si>
    <t>Nominal house prices, UK</t>
  </si>
  <si>
    <t>Average price, extract UK data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</si>
  <si>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</si>
  <si>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</si>
  <si>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</si>
  <si>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</si>
  <si>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</si>
  <si>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</si>
  <si>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</si>
  <si>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</si>
  <si>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</si>
  <si>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</si>
  <si>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</si>
  <si>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</si>
  <si>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Raw data download processing..</t>
  </si>
  <si>
    <t>See formula in cells; cat 2 series rebased to match cat 1 series</t>
  </si>
  <si>
    <t>BIS quarterly construction price and cost indices: July to September 2014 - GOV.UK (www.gov.uk)</t>
  </si>
  <si>
    <t>Construction output price indices - Office for National Statistics</t>
  </si>
  <si>
    <t>BIS Quarterly construction price and cost indices: July to September 2014 [BIS]</t>
  </si>
  <si>
    <t>Construction output price indices [ONS]</t>
  </si>
  <si>
    <t>New work tab</t>
  </si>
  <si>
    <t>Table 1 tab</t>
  </si>
  <si>
    <t>Live tables on housing market and house price [DLUHC]</t>
  </si>
  <si>
    <t>Live tables on housing market and house prices - GOV.UK (www.gov.uk)</t>
  </si>
  <si>
    <t>Table 584, England &amp; Wales total</t>
  </si>
  <si>
    <t>Sum cats 1-3</t>
  </si>
  <si>
    <t>Sales, extract England &amp; Wales data</t>
  </si>
  <si>
    <t>Live tables on dwelling stock (including vacants) - GOV.UK (www.gov.uk)</t>
  </si>
  <si>
    <t>Live tables on dwelling stock (including vacants) [DLUHC]</t>
  </si>
  <si>
    <t>Dwelling stock by tenure, GB</t>
  </si>
  <si>
    <t>Starts</t>
  </si>
  <si>
    <t>OOPR stock</t>
  </si>
  <si>
    <t>GB OO stock</t>
  </si>
  <si>
    <t>GBOOPR stock</t>
  </si>
  <si>
    <t>GB PR stock</t>
  </si>
  <si>
    <t>Output price index for new construction, private housing, GB</t>
  </si>
  <si>
    <t>New work output prices, housing, GB</t>
  </si>
  <si>
    <t>Property sales based on Land Registry data, by district, from 1996 (quarterly), England &amp; Wales</t>
  </si>
  <si>
    <t>Property sales based on Land Registry data, England &amp; Wales</t>
  </si>
  <si>
    <t>Dwelling stock by tenure, UK - Office for National Statistics (ons.gov.uk)</t>
  </si>
  <si>
    <t>Dwelling stock by tenure, UK [ONS]</t>
  </si>
  <si>
    <t>Table 2 - owner occupied</t>
  </si>
  <si>
    <t>Table 102 - owner occupied</t>
  </si>
  <si>
    <t>Table 102 - rented privately</t>
  </si>
  <si>
    <t>Table 2 - rented privately</t>
  </si>
  <si>
    <t>Cat 6</t>
  </si>
  <si>
    <t>Cat 5</t>
  </si>
  <si>
    <t>Table 3 - owner occupied</t>
  </si>
  <si>
    <t>Table 3 - rented privately</t>
  </si>
  <si>
    <t>GB:ENG</t>
  </si>
  <si>
    <t>20 Jan 75</t>
  </si>
  <si>
    <t>27 Jan 75</t>
  </si>
  <si>
    <t>10 Feb 75</t>
  </si>
  <si>
    <t>17 Feb 75</t>
  </si>
  <si>
    <t>10 Mar 75</t>
  </si>
  <si>
    <t>24 Mar 75</t>
  </si>
  <si>
    <t>21 Apr 75</t>
  </si>
  <si>
    <t>05 May 75</t>
  </si>
  <si>
    <t>28 Jul 75</t>
  </si>
  <si>
    <t>06 Oct 75</t>
  </si>
  <si>
    <t>17 Nov 75</t>
  </si>
  <si>
    <t>01 Dec 75</t>
  </si>
  <si>
    <t>29 Dec 75</t>
  </si>
  <si>
    <t>05 Jan 76</t>
  </si>
  <si>
    <t>19 Jan 76</t>
  </si>
  <si>
    <t>26 Jan 76</t>
  </si>
  <si>
    <t>02 Feb 76</t>
  </si>
  <si>
    <t>09 Feb 76</t>
  </si>
  <si>
    <t>01 Mar 76</t>
  </si>
  <si>
    <t>08 Mar 76</t>
  </si>
  <si>
    <t>26 Apr 76</t>
  </si>
  <si>
    <t>24 May 76</t>
  </si>
  <si>
    <t>13 Sep 76</t>
  </si>
  <si>
    <t>07 Oct 76</t>
  </si>
  <si>
    <t>22 Nov 76</t>
  </si>
  <si>
    <t>20 Dec 76</t>
  </si>
  <si>
    <t>29 Dec 76</t>
  </si>
  <si>
    <t>10 Jan 77</t>
  </si>
  <si>
    <t>24 Jan 77</t>
  </si>
  <si>
    <t>31 Jan 77</t>
  </si>
  <si>
    <t>03 Feb 77</t>
  </si>
  <si>
    <t>10 Mar 77</t>
  </si>
  <si>
    <t>21 Mar 77</t>
  </si>
  <si>
    <t>31 Mar 77</t>
  </si>
  <si>
    <t>12 Apr 77</t>
  </si>
  <si>
    <t>18 Apr 77</t>
  </si>
  <si>
    <t>25 Apr 77</t>
  </si>
  <si>
    <t>02 May 77</t>
  </si>
  <si>
    <t>16 May 77</t>
  </si>
  <si>
    <t>08 Aug 77</t>
  </si>
  <si>
    <t>15 Aug 77</t>
  </si>
  <si>
    <t>12 Sep 77</t>
  </si>
  <si>
    <t>19 Sep 77</t>
  </si>
  <si>
    <t>10 Oct 77</t>
  </si>
  <si>
    <t>17 Oct 77</t>
  </si>
  <si>
    <t>28 Nov 77</t>
  </si>
  <si>
    <t>09 Jan 78</t>
  </si>
  <si>
    <t>12 Apr 78</t>
  </si>
  <si>
    <t>08 May 78</t>
  </si>
  <si>
    <t>15 May 78</t>
  </si>
  <si>
    <t>08 Jun 78</t>
  </si>
  <si>
    <t>09 Nov 78</t>
  </si>
  <si>
    <t>08 Feb 79</t>
  </si>
  <si>
    <t>01 Mar 79</t>
  </si>
  <si>
    <t>05 Apr 79</t>
  </si>
  <si>
    <t>13 Jun 79</t>
  </si>
  <si>
    <t>15 Nov 79</t>
  </si>
  <si>
    <t>03 Jul 80</t>
  </si>
  <si>
    <t>25 Nov 80</t>
  </si>
  <si>
    <t>11 Mar 81</t>
  </si>
  <si>
    <t>25 Aug 81</t>
  </si>
  <si>
    <t>15 Sep 81</t>
  </si>
  <si>
    <t>12 Oct 81</t>
  </si>
  <si>
    <t>28 Oct 81</t>
  </si>
  <si>
    <t>06 Nov 81</t>
  </si>
  <si>
    <t>09 Nov 81</t>
  </si>
  <si>
    <t>25 Nov 81</t>
  </si>
  <si>
    <t>04 Dec 81</t>
  </si>
  <si>
    <t>18 Jan 82</t>
  </si>
  <si>
    <t>19 Jan 82</t>
  </si>
  <si>
    <t>20 Jan 82</t>
  </si>
  <si>
    <t>21 Jan 82</t>
  </si>
  <si>
    <t>22 Jan 82</t>
  </si>
  <si>
    <t>22 Feb 82</t>
  </si>
  <si>
    <t>25 Feb 82</t>
  </si>
  <si>
    <t>10 Mar 82</t>
  </si>
  <si>
    <t>16 Apr 82</t>
  </si>
  <si>
    <t>19 Apr 82</t>
  </si>
  <si>
    <t>20 Apr 82</t>
  </si>
  <si>
    <t>08 Jun 82</t>
  </si>
  <si>
    <t>09 Jul 82</t>
  </si>
  <si>
    <t>12 Jul 82</t>
  </si>
  <si>
    <t>13 Jul 82</t>
  </si>
  <si>
    <t>21 Jul 82</t>
  </si>
  <si>
    <t>26 Jul 82</t>
  </si>
  <si>
    <t>28 Jul 82</t>
  </si>
  <si>
    <t>29 Jul 82</t>
  </si>
  <si>
    <t>30 Jul 82</t>
  </si>
  <si>
    <t>02 Aug 82</t>
  </si>
  <si>
    <t>04 Aug 82</t>
  </si>
  <si>
    <t>16 Aug 82</t>
  </si>
  <si>
    <t>17 Aug 82</t>
  </si>
  <si>
    <t>24 Aug 82</t>
  </si>
  <si>
    <t>25 Aug 82</t>
  </si>
  <si>
    <t>26 Aug 82</t>
  </si>
  <si>
    <t>27 Aug 82</t>
  </si>
  <si>
    <t>27 Sep 82</t>
  </si>
  <si>
    <t>28 Sep 82</t>
  </si>
  <si>
    <t>29 Sep 82</t>
  </si>
  <si>
    <t>30 Sep 82</t>
  </si>
  <si>
    <t>12 Oct 82</t>
  </si>
  <si>
    <t>01 Nov 82</t>
  </si>
  <si>
    <t>02 Nov 82</t>
  </si>
  <si>
    <t>26 Nov 82</t>
  </si>
  <si>
    <t>12 Jan 83</t>
  </si>
  <si>
    <t>15 Mar 83</t>
  </si>
  <si>
    <t>13 Apr 83</t>
  </si>
  <si>
    <t>14 Apr 83</t>
  </si>
  <si>
    <t>13 Jun 83</t>
  </si>
  <si>
    <t>14 Jun 83</t>
  </si>
  <si>
    <t>09 Aug 83</t>
  </si>
  <si>
    <t>10 Aug 83</t>
  </si>
  <si>
    <t>03 Oct 83</t>
  </si>
  <si>
    <t>07 Mar 84</t>
  </si>
  <si>
    <t>14 Mar 84</t>
  </si>
  <si>
    <t>10 May 84</t>
  </si>
  <si>
    <t>29 Jun 84</t>
  </si>
  <si>
    <t>06 Jul 84</t>
  </si>
  <si>
    <t>11 Jul 84</t>
  </si>
  <si>
    <t>08 Aug 84</t>
  </si>
  <si>
    <t>09 Aug 84</t>
  </si>
  <si>
    <t>16 Aug 84</t>
  </si>
  <si>
    <t>17 Aug 84</t>
  </si>
  <si>
    <t>05 Nov 84</t>
  </si>
  <si>
    <t>19 Nov 84</t>
  </si>
  <si>
    <t>23 Nov 84</t>
  </si>
  <si>
    <t>14 Jan 85</t>
  </si>
  <si>
    <t>28 Jan 85</t>
  </si>
  <si>
    <t>20 Mar 85</t>
  </si>
  <si>
    <t>28 Mar 85</t>
  </si>
  <si>
    <t>19 Apr 85</t>
  </si>
  <si>
    <t>11 Jul 85</t>
  </si>
  <si>
    <t>26 Jul 85</t>
  </si>
  <si>
    <t>15 Jan 86</t>
  </si>
  <si>
    <t>19 Mar 86</t>
  </si>
  <si>
    <t>11 Apr 86</t>
  </si>
  <si>
    <t>18 Apr 86</t>
  </si>
  <si>
    <t>23 May 86</t>
  </si>
  <si>
    <t>15 Oct 86</t>
  </si>
  <si>
    <t>09 Mar 87</t>
  </si>
  <si>
    <t>18 Mar 87</t>
  </si>
  <si>
    <t>28 Apr 87</t>
  </si>
  <si>
    <t>08 May 87</t>
  </si>
  <si>
    <t>06 Aug 87</t>
  </si>
  <si>
    <t>23 Oct 87</t>
  </si>
  <si>
    <t>04 Nov 87</t>
  </si>
  <si>
    <t>03 Dec 87</t>
  </si>
  <si>
    <t>01 Feb 88</t>
  </si>
  <si>
    <t>17 Mar 88</t>
  </si>
  <si>
    <t>08 Apr 88</t>
  </si>
  <si>
    <t>17 May 88</t>
  </si>
  <si>
    <t>03 Jun 88</t>
  </si>
  <si>
    <t>10 Jun 88</t>
  </si>
  <si>
    <t>24 Jun 88</t>
  </si>
  <si>
    <t>07 Jul 88</t>
  </si>
  <si>
    <t>21 Jul 88</t>
  </si>
  <si>
    <t>08 Aug 88</t>
  </si>
  <si>
    <t>25 Aug 88</t>
  </si>
  <si>
    <t>25 Nov 88</t>
  </si>
  <si>
    <t>25 May 89</t>
  </si>
  <si>
    <t>31 Aug 89</t>
  </si>
  <si>
    <t>04 Sep 89</t>
  </si>
  <si>
    <t>08 Sep 89</t>
  </si>
  <si>
    <t>06 Oct 89</t>
  </si>
  <si>
    <t>08 Oct 90</t>
  </si>
  <si>
    <t>13 Feb 91</t>
  </si>
  <si>
    <t>27 Feb 91</t>
  </si>
  <si>
    <t>22 Mar 91</t>
  </si>
  <si>
    <t>12 Apr 91</t>
  </si>
  <si>
    <t>24 May 91</t>
  </si>
  <si>
    <t>12 Jul 91</t>
  </si>
  <si>
    <t>04 Sep 91</t>
  </si>
  <si>
    <t>05 May 92</t>
  </si>
  <si>
    <t>22 Sep 92</t>
  </si>
  <si>
    <t>16 Oct 92</t>
  </si>
  <si>
    <t>13 Nov 92</t>
  </si>
  <si>
    <t>26 Jan 93</t>
  </si>
  <si>
    <t>23 Nov 93</t>
  </si>
  <si>
    <t>08 Feb 94</t>
  </si>
  <si>
    <t>12 Sep 94</t>
  </si>
  <si>
    <t>07 Dec 94</t>
  </si>
  <si>
    <t>02 Feb 95</t>
  </si>
  <si>
    <t>13 Dec 95</t>
  </si>
  <si>
    <t>18 Jan 96</t>
  </si>
  <si>
    <t>08 Mar 96</t>
  </si>
  <si>
    <t>06 Jun 96</t>
  </si>
  <si>
    <t>30 Oct 96</t>
  </si>
  <si>
    <t>06 May 97</t>
  </si>
  <si>
    <t>06 Jun 97</t>
  </si>
  <si>
    <t>10 Jul 97</t>
  </si>
  <si>
    <t>07 Aug 97</t>
  </si>
  <si>
    <t>06 Nov 97</t>
  </si>
  <si>
    <t>04 Jun 98</t>
  </si>
  <si>
    <t>08 Oct 98</t>
  </si>
  <si>
    <t>05 Nov 98</t>
  </si>
  <si>
    <t>10 Dec 98</t>
  </si>
  <si>
    <t>07 Jan 99</t>
  </si>
  <si>
    <t>04 Feb 99</t>
  </si>
  <si>
    <t>08 Apr 99</t>
  </si>
  <si>
    <t>10 Jun 99</t>
  </si>
  <si>
    <t>08 Sep 99</t>
  </si>
  <si>
    <t>04 Nov 99</t>
  </si>
  <si>
    <t>13 Jan 00</t>
  </si>
  <si>
    <t>10 Feb 00</t>
  </si>
  <si>
    <t>08 Feb 01</t>
  </si>
  <si>
    <t>05 Apr 01</t>
  </si>
  <si>
    <t>10 May 01</t>
  </si>
  <si>
    <t>02 Aug 01</t>
  </si>
  <si>
    <t>18 Sep 01</t>
  </si>
  <si>
    <t>04 Oct 01</t>
  </si>
  <si>
    <t>08 Nov 01</t>
  </si>
  <si>
    <t>06 Feb 03</t>
  </si>
  <si>
    <t>10 Jul 03</t>
  </si>
  <si>
    <t>06 Nov 03</t>
  </si>
  <si>
    <t>05 Feb 04</t>
  </si>
  <si>
    <t>06 May 04</t>
  </si>
  <si>
    <t>10 Jun 04</t>
  </si>
  <si>
    <t>05 Aug 04</t>
  </si>
  <si>
    <t>04 Aug 05</t>
  </si>
  <si>
    <t>03 Aug 06</t>
  </si>
  <si>
    <t>09 Nov 06</t>
  </si>
  <si>
    <t>11 Jan 07</t>
  </si>
  <si>
    <t>10 May 07</t>
  </si>
  <si>
    <t>05 Jul 07</t>
  </si>
  <si>
    <t>06 Dec 07</t>
  </si>
  <si>
    <t>07 Feb 08</t>
  </si>
  <si>
    <t>10 Apr 08</t>
  </si>
  <si>
    <t>08 Oct 08</t>
  </si>
  <si>
    <t>06 Nov 08</t>
  </si>
  <si>
    <t>04 Dec 08</t>
  </si>
  <si>
    <t>08 Jan 09</t>
  </si>
  <si>
    <t>05 Feb 09</t>
  </si>
  <si>
    <t>05 Mar 09</t>
  </si>
  <si>
    <t>04 Aug 16</t>
  </si>
  <si>
    <t>02 Nov 17</t>
  </si>
  <si>
    <t>02 Aug 18</t>
  </si>
  <si>
    <t>11 Mar 20</t>
  </si>
  <si>
    <t>19 Mar 20</t>
  </si>
  <si>
    <t>16 Dec 21</t>
  </si>
  <si>
    <t>03 Feb 22</t>
  </si>
  <si>
    <t>17 Mar 22</t>
  </si>
  <si>
    <t>05 May 22</t>
  </si>
  <si>
    <t>16 Jun 22</t>
  </si>
  <si>
    <t>04 Aug 22</t>
  </si>
  <si>
    <t>22 Sep 22</t>
  </si>
  <si>
    <t>03 Nov 22</t>
  </si>
  <si>
    <t>15 Dec 22</t>
  </si>
  <si>
    <t>02 Feb 23</t>
  </si>
  <si>
    <t>23 Mar 23</t>
  </si>
  <si>
    <r>
      <t>2003</t>
    </r>
    <r>
      <rPr>
        <vertAlign val="superscript"/>
        <sz val="11"/>
        <color theme="0" tint="-0.499984740745262"/>
        <rFont val="Calibri"/>
        <family val="2"/>
        <scheme val="minor"/>
      </rPr>
      <t xml:space="preserve"> 5</t>
    </r>
  </si>
  <si>
    <r>
      <t>2004</t>
    </r>
    <r>
      <rPr>
        <vertAlign val="superscript"/>
        <sz val="11"/>
        <color theme="0" tint="-0.499984740745262"/>
        <rFont val="Calibri"/>
        <family val="2"/>
        <scheme val="minor"/>
      </rPr>
      <t xml:space="preserve"> 5</t>
    </r>
  </si>
  <si>
    <r>
      <t>2005</t>
    </r>
    <r>
      <rPr>
        <vertAlign val="superscript"/>
        <sz val="11"/>
        <color theme="0" tint="-0.499984740745262"/>
        <rFont val="Calibri"/>
        <family val="2"/>
        <scheme val="minor"/>
      </rPr>
      <t xml:space="preserve"> 5</t>
    </r>
  </si>
  <si>
    <r>
      <t>2006</t>
    </r>
    <r>
      <rPr>
        <vertAlign val="superscript"/>
        <sz val="11"/>
        <color theme="0" tint="-0.499984740745262"/>
        <rFont val="Calibri"/>
        <family val="2"/>
        <scheme val="minor"/>
      </rPr>
      <t xml:space="preserve"> 5</t>
    </r>
  </si>
  <si>
    <r>
      <t>2007</t>
    </r>
    <r>
      <rPr>
        <vertAlign val="superscript"/>
        <sz val="11"/>
        <color theme="0" tint="-0.499984740745262"/>
        <rFont val="Calibri"/>
        <family val="2"/>
        <scheme val="minor"/>
      </rPr>
      <t xml:space="preserve"> 5</t>
    </r>
  </si>
  <si>
    <r>
      <t>2008</t>
    </r>
    <r>
      <rPr>
        <vertAlign val="superscript"/>
        <sz val="11"/>
        <color theme="0" tint="-0.499984740745262"/>
        <rFont val="Calibri"/>
        <family val="2"/>
        <scheme val="minor"/>
      </rPr>
      <t xml:space="preserve"> 5</t>
    </r>
  </si>
  <si>
    <r>
      <t>2009</t>
    </r>
    <r>
      <rPr>
        <vertAlign val="superscript"/>
        <sz val="11"/>
        <color theme="0" tint="-0.499984740745262"/>
        <rFont val="Calibri"/>
        <family val="2"/>
        <scheme val="minor"/>
      </rPr>
      <t xml:space="preserve"> 5</t>
    </r>
  </si>
  <si>
    <r>
      <t>2010</t>
    </r>
    <r>
      <rPr>
        <vertAlign val="superscript"/>
        <sz val="11"/>
        <color theme="0" tint="-0.499984740745262"/>
        <rFont val="Calibri"/>
        <family val="2"/>
        <scheme val="minor"/>
      </rPr>
      <t xml:space="preserve"> 5</t>
    </r>
  </si>
  <si>
    <r>
      <t>2011</t>
    </r>
    <r>
      <rPr>
        <vertAlign val="superscript"/>
        <sz val="11"/>
        <color theme="0" tint="-0.499984740745262"/>
        <rFont val="Calibri"/>
        <family val="2"/>
        <scheme val="minor"/>
      </rPr>
      <t xml:space="preserve"> 5</t>
    </r>
  </si>
  <si>
    <r>
      <t>2012</t>
    </r>
    <r>
      <rPr>
        <vertAlign val="superscript"/>
        <sz val="11"/>
        <color theme="0" tint="-0.499984740745262"/>
        <rFont val="Calibri"/>
        <family val="2"/>
        <scheme val="minor"/>
      </rPr>
      <t xml:space="preserve"> 5</t>
    </r>
  </si>
  <si>
    <r>
      <t>2013</t>
    </r>
    <r>
      <rPr>
        <vertAlign val="superscript"/>
        <sz val="11"/>
        <color theme="0" tint="-0.499984740745262"/>
        <rFont val="Calibri"/>
        <family val="2"/>
        <scheme val="minor"/>
      </rPr>
      <t xml:space="preserve"> 5</t>
    </r>
  </si>
  <si>
    <r>
      <t xml:space="preserve">2014 </t>
    </r>
    <r>
      <rPr>
        <vertAlign val="superscript"/>
        <sz val="11"/>
        <color theme="0" tint="-0.499984740745262"/>
        <rFont val="Calibri"/>
        <family val="2"/>
        <scheme val="minor"/>
      </rPr>
      <t>5</t>
    </r>
  </si>
  <si>
    <r>
      <t xml:space="preserve">2015 </t>
    </r>
    <r>
      <rPr>
        <vertAlign val="superscript"/>
        <sz val="11"/>
        <color theme="0" tint="-0.499984740745262"/>
        <rFont val="Calibri"/>
        <family val="2"/>
        <scheme val="minor"/>
      </rPr>
      <t>5</t>
    </r>
  </si>
  <si>
    <r>
      <t xml:space="preserve">2016 </t>
    </r>
    <r>
      <rPr>
        <vertAlign val="superscript"/>
        <sz val="11"/>
        <color theme="0" tint="-0.499984740745262"/>
        <rFont val="Calibri"/>
        <family val="2"/>
        <scheme val="minor"/>
      </rPr>
      <t>5</t>
    </r>
  </si>
  <si>
    <r>
      <t xml:space="preserve">2017 </t>
    </r>
    <r>
      <rPr>
        <vertAlign val="superscript"/>
        <sz val="11"/>
        <color theme="0" tint="-0.499984740745262"/>
        <rFont val="Calibri"/>
        <family val="2"/>
        <scheme val="minor"/>
      </rPr>
      <t>5</t>
    </r>
  </si>
  <si>
    <t>Official Bank Rate History [BoE]</t>
  </si>
  <si>
    <t>Bank Rate history and data | Bank of England Database</t>
  </si>
  <si>
    <t>HH &amp; NPISH (S.14 + S.15): Real Households' &amp; NPISH disposable income at chained volume measures (reference year 2019)(1):CP:£m:SA - Office for National Statistics (ons.gov.uk)</t>
  </si>
  <si>
    <t>Cat 1 / Cat 2</t>
  </si>
  <si>
    <t>RPHQ</t>
  </si>
  <si>
    <t>Implied GDP deflator at market prices: SA Index - Office for National Statistics (ons.gov.uk)</t>
  </si>
  <si>
    <t>L8GG</t>
  </si>
  <si>
    <t>HH &amp; NPISH: Disposable income at chained volume measures (ref 2019), constant price, SA [ONS]</t>
  </si>
  <si>
    <t>HH &amp; NPISH: Disposable income, gross, current price, SA [ONS]</t>
  </si>
  <si>
    <t>Implied GDP deflator at market prices, SA [ONS]</t>
  </si>
  <si>
    <t>2019 base year</t>
  </si>
  <si>
    <t>2017? base year</t>
  </si>
  <si>
    <t>NRJR  2019 base year</t>
  </si>
  <si>
    <t>2021 base year</t>
  </si>
  <si>
    <t>2016?? base year</t>
  </si>
  <si>
    <t>England &amp; Wales</t>
  </si>
  <si>
    <t>Great Britain</t>
  </si>
  <si>
    <t>Variable name</t>
  </si>
  <si>
    <t>Variable description</t>
  </si>
  <si>
    <t>Variable geography</t>
  </si>
  <si>
    <t>United Kingdom</t>
  </si>
  <si>
    <t>Nominal house prices, £</t>
  </si>
  <si>
    <t>Nominal construction cost, index</t>
  </si>
  <si>
    <t>Transactions</t>
  </si>
  <si>
    <t>Sales, # homes</t>
  </si>
  <si>
    <t>Private enterprise starts, # homes</t>
  </si>
  <si>
    <t>Private housing stock</t>
  </si>
  <si>
    <t>Owner-occupied + privated rented, # homes</t>
  </si>
  <si>
    <t>Interest rate</t>
  </si>
  <si>
    <t>Construction cost deflator</t>
  </si>
  <si>
    <t>BOE official base rate, %</t>
  </si>
  <si>
    <t>Nominal disposable income / real disposable  income, index</t>
  </si>
  <si>
    <t>GDP deflator, index</t>
  </si>
  <si>
    <t>House price (income) deflator</t>
  </si>
  <si>
    <t>House building</t>
  </si>
  <si>
    <t>Nominal house price</t>
  </si>
  <si>
    <t>Nominal construction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</si>
</sst>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[$-10409]#,##0.00;\(#,##0.00\)"/>
    <numFmt numFmtId="165" formatCode="[$-10409]#,##0;\(#,##0\)"/>
    <numFmt numFmtId="166" formatCode="_-* #,##0_-;\-* #,##0_-;_-* &quot;-&quot;??_-;_-@_-"/>
    <numFmt numFmtId="167" formatCode="[$-10409]#,##0.0;\(#,##0.0\)"/>
    <numFmt numFmtId="168" formatCode="_(* #,##0_);_(* \(#,##0\);_(* &quot;-&quot;??_);_(@_)"/>
    <numFmt numFmtId="169" formatCode="#,##0.0;\-#,##0.0"/>
    <numFmt numFmtId="170" formatCode="0.0"/>
    <numFmt numFmtId="171" formatCode="_-* #,##0.000_-;\-* #,##0.000_-;_-* &quot;-&quot;??_-;_-@_-"/>
    <numFmt numFmtId="172" formatCode="#,##0_);;&quot;- &quot;_);@_)\ "/>
    <numFmt numFmtId="173" formatCode="_(General"/>
    <numFmt numFmtId="174" formatCode="&quot; &quot;#,##0&quot; &quot;;&quot;-&quot;#,##0&quot; &quot;;&quot; -&quot;00&quot; &quot;;&quot; &quot;@&quot; &quot;"/>
    <numFmt numFmtId="175" formatCode="General_)"/>
    <numFmt numFmtId="176" formatCode="&quot; &quot;#,##0.000&quot; &quot;;&quot;-&quot;#,##0.000&quot; &quot;;&quot; -&quot;00.000&quot; &quot;;&quot; &quot;@&quot; &quot;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2"/>
      <color theme="1"/>
      <name val="Arial"/>
      <family val="2"/>
    </font>
    <font>
      <u/>
      <sz val="10"/>
      <color theme="10"/>
      <name val="Arial"/>
      <family val="2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name val="Arial"/>
      <family val="2"/>
    </font>
    <font>
      <u/>
      <sz val="11"/>
      <color theme="10"/>
      <name val="Calibri"/>
      <family val="2"/>
    </font>
    <font>
      <b/>
      <sz val="16"/>
      <name val="Arial"/>
      <family val="2"/>
    </font>
    <font>
      <b/>
      <sz val="14"/>
      <name val="Arial"/>
      <family val="2"/>
    </font>
    <font>
      <u/>
      <sz val="12"/>
      <color theme="10"/>
      <name val="Arial"/>
      <family val="2"/>
    </font>
    <font>
      <u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vertAlign val="superscript"/>
      <sz val="11"/>
      <color theme="0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7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1" fillId="0" borderId="0"/>
    <xf numFmtId="0" fontId="17" fillId="0" borderId="0" applyNumberFormat="0" applyFill="0" applyBorder="0" applyAlignment="0" applyProtection="0">
      <alignment vertical="top"/>
      <protection locked="0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172" fontId="19" fillId="0" borderId="7" applyFill="0" applyBorder="0" applyProtection="0">
      <alignment horizontal="right"/>
    </xf>
    <xf numFmtId="0" fontId="20" fillId="0" borderId="0" applyNumberFormat="0" applyFill="0" applyBorder="0" applyProtection="0">
      <alignment horizontal="center" vertical="center" wrapText="1"/>
    </xf>
    <xf numFmtId="1" fontId="21" fillId="0" borderId="0" applyNumberFormat="0" applyFill="0" applyBorder="0" applyProtection="0">
      <alignment horizontal="right" vertical="top"/>
    </xf>
    <xf numFmtId="173" fontId="19" fillId="0" borderId="0" applyNumberFormat="0" applyFill="0" applyBorder="0" applyProtection="0">
      <alignment horizontal="left"/>
    </xf>
    <xf numFmtId="0" fontId="21" fillId="0" borderId="0" applyNumberFormat="0" applyFill="0" applyBorder="0" applyProtection="0">
      <alignment horizontal="left" vertical="top"/>
    </xf>
    <xf numFmtId="0" fontId="22" fillId="0" borderId="2" applyNumberFormat="0" applyFill="0" applyAlignment="0" applyProtection="0"/>
    <xf numFmtId="0" fontId="23" fillId="0" borderId="3" applyNumberFormat="0" applyFill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8" fillId="0" borderId="0"/>
    <xf numFmtId="0" fontId="2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175" fontId="19" fillId="0" borderId="0" applyNumberFormat="0" applyFill="0" applyBorder="0" applyProtection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2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4" fillId="0" borderId="0"/>
    <xf numFmtId="0" fontId="26" fillId="0" borderId="1" applyNumberFormat="0" applyFill="0" applyAlignment="0" applyProtection="0"/>
    <xf numFmtId="0" fontId="27" fillId="0" borderId="2" applyNumberFormat="0" applyFill="0" applyAlignment="0" applyProtection="0"/>
    <xf numFmtId="0" fontId="28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05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49" fontId="6" fillId="0" borderId="0" xfId="3" applyNumberFormat="1" applyFont="1"/>
    <xf numFmtId="49" fontId="6" fillId="0" borderId="4" xfId="0" applyNumberFormat="1" applyFont="1" applyBorder="1" applyAlignment="1">
      <alignment horizontal="right"/>
    </xf>
    <xf numFmtId="166" fontId="6" fillId="0" borderId="0" xfId="1" applyNumberFormat="1" applyFont="1" applyFill="1" applyBorder="1" applyAlignment="1">
      <alignment horizontal="right" wrapText="1" readingOrder="1"/>
    </xf>
    <xf numFmtId="49" fontId="6" fillId="0" borderId="5" xfId="0" applyNumberFormat="1" applyFont="1" applyBorder="1" applyAlignment="1">
      <alignment horizontal="right"/>
    </xf>
    <xf numFmtId="0" fontId="6" fillId="0" borderId="4" xfId="0" applyFont="1" applyBorder="1"/>
    <xf numFmtId="0" fontId="6" fillId="0" borderId="6" xfId="0" applyFont="1" applyBorder="1"/>
    <xf numFmtId="166" fontId="6" fillId="0" borderId="0" xfId="4" applyNumberFormat="1" applyFont="1" applyBorder="1" applyAlignment="1" applyProtection="1">
      <alignment horizontal="right" wrapText="1" readingOrder="1"/>
      <protection locked="0"/>
    </xf>
    <xf numFmtId="166" fontId="6" fillId="0" borderId="0" xfId="4" applyNumberFormat="1" applyFont="1" applyBorder="1" applyAlignment="1">
      <alignment horizontal="right" wrapText="1"/>
    </xf>
    <xf numFmtId="166" fontId="6" fillId="0" borderId="0" xfId="1" applyNumberFormat="1" applyFont="1" applyBorder="1" applyAlignment="1">
      <alignment horizontal="right" wrapText="1"/>
    </xf>
    <xf numFmtId="165" fontId="0" fillId="0" borderId="0" xfId="0" applyNumberFormat="1"/>
    <xf numFmtId="165" fontId="6" fillId="0" borderId="0" xfId="0" applyNumberFormat="1" applyFont="1" applyAlignment="1">
      <alignment horizontal="right" wrapText="1" readingOrder="1"/>
    </xf>
    <xf numFmtId="166" fontId="6" fillId="0" borderId="0" xfId="0" applyNumberFormat="1" applyFont="1" applyAlignment="1" applyProtection="1">
      <alignment horizontal="right" wrapText="1" readingOrder="1"/>
      <protection locked="0"/>
    </xf>
    <xf numFmtId="3" fontId="6" fillId="0" borderId="0" xfId="5" applyNumberFormat="1" applyFont="1"/>
    <xf numFmtId="3" fontId="6" fillId="0" borderId="0" xfId="5" applyNumberFormat="1" applyFont="1" applyAlignment="1">
      <alignment horizontal="right"/>
    </xf>
    <xf numFmtId="165" fontId="0" fillId="0" borderId="0" xfId="0" applyNumberFormat="1" applyAlignment="1">
      <alignment horizontal="left" vertical="top"/>
    </xf>
    <xf numFmtId="166" fontId="0" fillId="0" borderId="0" xfId="1" applyNumberFormat="1" applyFont="1"/>
    <xf numFmtId="0" fontId="7" fillId="0" borderId="0" xfId="6"/>
    <xf numFmtId="0" fontId="6" fillId="0" borderId="0" xfId="0" applyFont="1"/>
    <xf numFmtId="0" fontId="6" fillId="0" borderId="0" xfId="0" applyFont="1" applyAlignment="1">
      <alignment horizontal="left" vertical="top" wrapText="1"/>
    </xf>
    <xf numFmtId="0" fontId="8" fillId="0" borderId="0" xfId="6" applyFont="1"/>
    <xf numFmtId="165" fontId="6" fillId="0" borderId="0" xfId="0" applyNumberFormat="1" applyFont="1"/>
    <xf numFmtId="168" fontId="5" fillId="0" borderId="0" xfId="1" applyNumberFormat="1" applyFont="1"/>
    <xf numFmtId="0" fontId="6" fillId="0" borderId="5" xfId="0" applyFont="1" applyBorder="1"/>
    <xf numFmtId="168" fontId="5" fillId="0" borderId="0" xfId="1" applyNumberFormat="1" applyFont="1" applyBorder="1"/>
    <xf numFmtId="0" fontId="7" fillId="0" borderId="0" xfId="6" applyAlignment="1">
      <alignment horizontal="left" vertical="top" wrapText="1"/>
    </xf>
    <xf numFmtId="0" fontId="9" fillId="0" borderId="0" xfId="0" applyFont="1"/>
    <xf numFmtId="166" fontId="9" fillId="0" borderId="0" xfId="1" applyNumberFormat="1" applyFont="1"/>
    <xf numFmtId="166" fontId="9" fillId="0" borderId="0" xfId="0" applyNumberFormat="1" applyFont="1"/>
    <xf numFmtId="166" fontId="9" fillId="2" borderId="0" xfId="0" applyNumberFormat="1" applyFont="1" applyFill="1"/>
    <xf numFmtId="170" fontId="0" fillId="0" borderId="0" xfId="0" applyNumberFormat="1"/>
    <xf numFmtId="170" fontId="10" fillId="0" borderId="0" xfId="0" applyNumberFormat="1" applyFont="1"/>
    <xf numFmtId="169" fontId="11" fillId="0" borderId="0" xfId="0" applyNumberFormat="1" applyFont="1"/>
    <xf numFmtId="170" fontId="12" fillId="0" borderId="0" xfId="7" applyNumberFormat="1" applyFont="1" applyFill="1"/>
    <xf numFmtId="170" fontId="12" fillId="0" borderId="0" xfId="7" applyNumberFormat="1" applyFont="1" applyFill="1" applyBorder="1"/>
    <xf numFmtId="0" fontId="6" fillId="0" borderId="8" xfId="0" applyFont="1" applyBorder="1"/>
    <xf numFmtId="170" fontId="9" fillId="0" borderId="0" xfId="0" applyNumberFormat="1" applyFont="1"/>
    <xf numFmtId="2" fontId="9" fillId="0" borderId="0" xfId="0" applyNumberFormat="1" applyFont="1"/>
    <xf numFmtId="2" fontId="9" fillId="2" borderId="0" xfId="0" applyNumberFormat="1" applyFont="1" applyFill="1"/>
    <xf numFmtId="164" fontId="6" fillId="0" borderId="0" xfId="0" applyNumberFormat="1" applyFont="1"/>
    <xf numFmtId="2" fontId="6" fillId="0" borderId="0" xfId="0" applyNumberFormat="1" applyFont="1"/>
    <xf numFmtId="0" fontId="0" fillId="0" borderId="0" xfId="0" applyAlignment="1">
      <alignment vertical="top" wrapText="1"/>
    </xf>
    <xf numFmtId="166" fontId="1" fillId="0" borderId="0" xfId="1" applyNumberFormat="1" applyFont="1"/>
    <xf numFmtId="3" fontId="12" fillId="0" borderId="0" xfId="0" applyNumberFormat="1" applyFont="1"/>
    <xf numFmtId="168" fontId="6" fillId="0" borderId="0" xfId="1" applyNumberFormat="1" applyFont="1" applyFill="1"/>
    <xf numFmtId="166" fontId="6" fillId="0" borderId="4" xfId="1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0" fontId="7" fillId="0" borderId="0" xfId="6" applyFill="1"/>
    <xf numFmtId="166" fontId="1" fillId="0" borderId="0" xfId="1" applyNumberFormat="1" applyFont="1" applyFill="1"/>
    <xf numFmtId="166" fontId="6" fillId="0" borderId="0" xfId="1" applyNumberFormat="1" applyFont="1" applyFill="1" applyBorder="1" applyAlignment="1">
      <alignment horizontal="right" wrapText="1"/>
    </xf>
    <xf numFmtId="3" fontId="12" fillId="2" borderId="0" xfId="0" applyNumberFormat="1" applyFont="1" applyFill="1"/>
    <xf numFmtId="165" fontId="0" fillId="0" borderId="0" xfId="0" applyNumberFormat="1" applyAlignment="1">
      <alignment horizontal="right" vertical="top"/>
    </xf>
    <xf numFmtId="0" fontId="2" fillId="0" borderId="0" xfId="0" applyFont="1"/>
    <xf numFmtId="166" fontId="6" fillId="0" borderId="0" xfId="4" applyNumberFormat="1" applyFont="1" applyFill="1" applyBorder="1" applyAlignment="1">
      <alignment horizontal="right" wrapText="1"/>
    </xf>
    <xf numFmtId="171" fontId="2" fillId="0" borderId="0" xfId="52" applyNumberFormat="1" applyFont="1" applyFill="1" applyBorder="1" applyAlignment="1">
      <alignment horizontal="right"/>
    </xf>
    <xf numFmtId="174" fontId="1" fillId="0" borderId="0" xfId="48" applyNumberFormat="1" applyFont="1" applyFill="1" applyBorder="1" applyAlignment="1">
      <alignment horizontal="right"/>
    </xf>
    <xf numFmtId="166" fontId="2" fillId="0" borderId="0" xfId="4" applyNumberFormat="1" applyFont="1" applyFill="1" applyBorder="1" applyAlignment="1">
      <alignment horizontal="right" wrapText="1"/>
    </xf>
    <xf numFmtId="176" fontId="2" fillId="0" borderId="9" xfId="48" applyNumberFormat="1" applyFont="1" applyFill="1" applyBorder="1" applyAlignment="1">
      <alignment horizontal="right"/>
    </xf>
    <xf numFmtId="0" fontId="2" fillId="0" borderId="0" xfId="0" applyFont="1" applyAlignment="1">
      <alignment horizontal="left" vertical="top" wrapText="1"/>
    </xf>
    <xf numFmtId="165" fontId="2" fillId="0" borderId="9" xfId="0" applyNumberFormat="1" applyFont="1" applyBorder="1"/>
    <xf numFmtId="171" fontId="2" fillId="0" borderId="9" xfId="4" applyNumberFormat="1" applyFont="1" applyBorder="1" applyAlignment="1">
      <alignment horizontal="right" wrapText="1"/>
    </xf>
    <xf numFmtId="168" fontId="0" fillId="2" borderId="0" xfId="1" applyNumberFormat="1" applyFont="1" applyFill="1"/>
    <xf numFmtId="166" fontId="2" fillId="0" borderId="0" xfId="4" applyNumberFormat="1" applyFont="1" applyBorder="1" applyAlignment="1">
      <alignment horizontal="right" wrapText="1"/>
    </xf>
    <xf numFmtId="168" fontId="0" fillId="0" borderId="0" xfId="1" applyNumberFormat="1" applyFont="1"/>
    <xf numFmtId="166" fontId="2" fillId="0" borderId="0" xfId="0" applyNumberFormat="1" applyFont="1" applyAlignment="1" applyProtection="1">
      <alignment horizontal="right" wrapText="1" readingOrder="1"/>
      <protection locked="0"/>
    </xf>
    <xf numFmtId="0" fontId="2" fillId="0" borderId="11" xfId="0" applyFont="1" applyBorder="1" applyAlignment="1">
      <alignment horizontal="right"/>
    </xf>
    <xf numFmtId="166" fontId="2" fillId="0" borderId="10" xfId="4" applyNumberFormat="1" applyFont="1" applyBorder="1" applyAlignment="1">
      <alignment horizontal="right"/>
    </xf>
    <xf numFmtId="165" fontId="2" fillId="0" borderId="0" xfId="0" applyNumberFormat="1" applyFont="1"/>
    <xf numFmtId="3" fontId="13" fillId="0" borderId="0" xfId="9" applyNumberFormat="1" applyFont="1" applyAlignment="1">
      <alignment horizontal="right" wrapText="1" readingOrder="1"/>
    </xf>
    <xf numFmtId="0" fontId="29" fillId="0" borderId="0" xfId="6" applyFont="1"/>
    <xf numFmtId="166" fontId="16" fillId="0" borderId="0" xfId="52" applyNumberFormat="1" applyFont="1" applyFill="1" applyBorder="1" applyAlignment="1">
      <alignment horizontal="right"/>
    </xf>
    <xf numFmtId="2" fontId="0" fillId="0" borderId="0" xfId="0" applyNumberFormat="1"/>
    <xf numFmtId="164" fontId="6" fillId="0" borderId="4" xfId="1" applyNumberFormat="1" applyFont="1" applyBorder="1" applyAlignment="1">
      <alignment horizontal="right"/>
    </xf>
    <xf numFmtId="49" fontId="9" fillId="0" borderId="0" xfId="3" applyNumberFormat="1" applyFont="1"/>
    <xf numFmtId="15" fontId="9" fillId="0" borderId="0" xfId="0" applyNumberFormat="1" applyFont="1"/>
    <xf numFmtId="49" fontId="9" fillId="0" borderId="4" xfId="0" applyNumberFormat="1" applyFont="1" applyBorder="1" applyAlignment="1">
      <alignment horizontal="right"/>
    </xf>
    <xf numFmtId="49" fontId="9" fillId="0" borderId="5" xfId="0" applyNumberFormat="1" applyFont="1" applyBorder="1" applyAlignment="1">
      <alignment horizontal="right"/>
    </xf>
    <xf numFmtId="0" fontId="9" fillId="0" borderId="4" xfId="0" applyFont="1" applyBorder="1"/>
    <xf numFmtId="0" fontId="9" fillId="0" borderId="6" xfId="0" applyFont="1" applyBorder="1"/>
    <xf numFmtId="0" fontId="9" fillId="0" borderId="0" xfId="0" applyFont="1" applyAlignment="1">
      <alignment horizontal="left"/>
    </xf>
    <xf numFmtId="3" fontId="9" fillId="0" borderId="0" xfId="0" applyNumberFormat="1" applyFont="1" applyAlignment="1">
      <alignment horizontal="right"/>
    </xf>
    <xf numFmtId="3" fontId="9" fillId="0" borderId="0" xfId="0" applyNumberFormat="1" applyFont="1"/>
    <xf numFmtId="166" fontId="9" fillId="0" borderId="0" xfId="1" applyNumberFormat="1" applyFont="1" applyAlignment="1">
      <alignment horizontal="right"/>
    </xf>
    <xf numFmtId="9" fontId="9" fillId="0" borderId="0" xfId="2" applyFont="1"/>
    <xf numFmtId="166" fontId="9" fillId="0" borderId="0" xfId="1" applyNumberFormat="1" applyFont="1" applyFill="1" applyAlignment="1">
      <alignment horizontal="right" vertical="top"/>
    </xf>
    <xf numFmtId="3" fontId="9" fillId="3" borderId="0" xfId="0" applyNumberFormat="1" applyFont="1" applyFill="1" applyAlignment="1">
      <alignment horizontal="right"/>
    </xf>
    <xf numFmtId="3" fontId="9" fillId="0" borderId="0" xfId="9" applyNumberFormat="1" applyFont="1" applyAlignment="1">
      <alignment horizontal="right" wrapText="1" readingOrder="1"/>
    </xf>
    <xf numFmtId="168" fontId="9" fillId="0" borderId="0" xfId="1" applyNumberFormat="1" applyFont="1" applyFill="1"/>
    <xf numFmtId="166" fontId="9" fillId="0" borderId="0" xfId="4" applyNumberFormat="1" applyFont="1" applyBorder="1" applyAlignment="1" applyProtection="1">
      <alignment horizontal="right" wrapText="1" readingOrder="1"/>
      <protection locked="0"/>
    </xf>
    <xf numFmtId="166" fontId="9" fillId="0" borderId="0" xfId="4" applyNumberFormat="1" applyFont="1" applyBorder="1" applyAlignment="1">
      <alignment horizontal="right" wrapText="1"/>
    </xf>
    <xf numFmtId="166" fontId="9" fillId="0" borderId="0" xfId="1" applyNumberFormat="1" applyFont="1" applyBorder="1" applyAlignment="1">
      <alignment horizontal="right"/>
    </xf>
    <xf numFmtId="0" fontId="32" fillId="0" borderId="0" xfId="0" applyFont="1"/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164" fontId="32" fillId="0" borderId="0" xfId="0" applyNumberFormat="1" applyFont="1"/>
    <xf numFmtId="165" fontId="32" fillId="0" borderId="0" xfId="0" applyNumberFormat="1" applyFont="1" applyAlignment="1">
      <alignment horizontal="left" vertical="top"/>
    </xf>
    <xf numFmtId="165" fontId="32" fillId="0" borderId="0" xfId="0" applyNumberFormat="1" applyFont="1"/>
    <xf numFmtId="167" fontId="32" fillId="0" borderId="0" xfId="0" applyNumberFormat="1" applyFont="1"/>
    <xf numFmtId="43" fontId="6" fillId="0" borderId="4" xfId="1" applyNumberFormat="1" applyFont="1" applyBorder="1" applyAlignment="1">
      <alignment horizontal="right"/>
    </xf>
    <xf numFmtId="171" fontId="6" fillId="0" borderId="4" xfId="1" applyNumberFormat="1" applyFont="1" applyBorder="1" applyAlignment="1">
      <alignment horizontal="right"/>
    </xf>
    <xf numFmtId="0" fontId="32" fillId="0" borderId="0" xfId="0" applyFont="1" applyAlignment="1">
      <alignment horizontal="center"/>
    </xf>
  </cellXfs>
  <cellStyles count="64">
    <cellStyle name="Comma" xfId="1" builtinId="3"/>
    <cellStyle name="Comma 2" xfId="4" xr:uid="{C7F96B56-351B-4D29-B397-FDAC7A14FF6A}"/>
    <cellStyle name="Comma 2 2" xfId="15" xr:uid="{5A355D0D-B35E-4E82-8FB9-4457A673EA88}"/>
    <cellStyle name="Comma 2 2 2" xfId="29" xr:uid="{FD60DC62-7758-4A10-95EF-F67EE13C1E40}"/>
    <cellStyle name="Comma 2 2 3" xfId="52" xr:uid="{ABFFBB50-5D48-4A78-B587-ECE7DD25C7F2}"/>
    <cellStyle name="Comma 2 2 4" xfId="63" xr:uid="{00B30AAC-D3B9-429D-BD39-2250CAFE4E25}"/>
    <cellStyle name="Comma 2 3" xfId="25" xr:uid="{C3CA224A-3A11-41F1-AEB5-346835E567E2}"/>
    <cellStyle name="Comma 2 3 2" xfId="38" xr:uid="{2121FE89-141C-4596-9999-A60CFFC6665C}"/>
    <cellStyle name="Comma 2 4" xfId="50" xr:uid="{7193DF71-854C-48ED-BF09-01506242354D}"/>
    <cellStyle name="Comma 2 5" xfId="61" xr:uid="{B6C6DF8A-D9E2-43CA-BC8A-F0F7CE877133}"/>
    <cellStyle name="Comma 2 6" xfId="10" xr:uid="{65D58044-FCC7-4B55-A5C7-F2007CEA9E33}"/>
    <cellStyle name="Comma 3" xfId="14" xr:uid="{862A305C-2400-4723-9FF2-14D33F48D35D}"/>
    <cellStyle name="Comma 3 2" xfId="28" xr:uid="{5112AFED-F15D-4AA6-9783-9695B4372989}"/>
    <cellStyle name="Comma 3 3" xfId="32" xr:uid="{92154742-2C93-4A56-8C73-B0388DFC09AC}"/>
    <cellStyle name="Comma 3 4" xfId="51" xr:uid="{40163E69-440B-4492-9317-8E6913383F13}"/>
    <cellStyle name="Comma 3 5" xfId="62" xr:uid="{B2BB29FD-37A7-4AA0-A3AA-3A61FC6DF9A6}"/>
    <cellStyle name="Comma 4" xfId="36" xr:uid="{B90DD3CE-101B-42A8-B96B-5CE835F62298}"/>
    <cellStyle name="Comma 5" xfId="48" xr:uid="{0D9E16E4-6745-4850-B174-FEADFFDCD867}"/>
    <cellStyle name="Comma 6" xfId="34" xr:uid="{0932ED93-9BAA-4BFB-A4A5-2D4B4B230008}"/>
    <cellStyle name="Comma 7" xfId="24" xr:uid="{3F46B49B-6AE2-4E7E-879F-F69A099B7C9F}"/>
    <cellStyle name="Heading 1 2" xfId="54" xr:uid="{2B31EECD-B630-48E2-9B56-7CB274AB9EA0}"/>
    <cellStyle name="Heading 2 2" xfId="55" xr:uid="{A6267AA2-0BB1-422D-A65B-C20D79E809AF}"/>
    <cellStyle name="Heading 2 3" xfId="22" xr:uid="{A643D437-AE86-4D98-B24B-AD8A5B650EFC}"/>
    <cellStyle name="Heading 3 2" xfId="23" xr:uid="{E2C433D0-8EB6-45EC-9D1B-DAE1FDC659B3}"/>
    <cellStyle name="Hyperlink" xfId="6" builtinId="8"/>
    <cellStyle name="Hyperlink 2" xfId="13" xr:uid="{5BDCB16C-A1F9-4FE2-AD5A-786779B1E085}"/>
    <cellStyle name="Hyperlink 2 2" xfId="39" xr:uid="{0EFCD9A0-6AF5-423E-AF88-FD181555AD11}"/>
    <cellStyle name="Hyperlink 2 2 2" xfId="59" xr:uid="{5E1DD9A4-FF94-4307-8216-E44B04282FEF}"/>
    <cellStyle name="Hyperlink 2 3" xfId="58" xr:uid="{9858FECD-7237-48E5-8BAA-B7A38065EBF0}"/>
    <cellStyle name="Hyperlink 3" xfId="8" xr:uid="{469AB921-E6F3-4D7A-88F7-0189CC9DFF84}"/>
    <cellStyle name="Hyperlink 3 2" xfId="40" xr:uid="{EDC4E7CE-0AAE-4296-A7D3-C0953BD80838}"/>
    <cellStyle name="Hyperlink 3 3" xfId="57" xr:uid="{6CF40C09-040D-44AD-89B9-B4ABAB7DA383}"/>
    <cellStyle name="Hyperlink 4" xfId="56" xr:uid="{C5D9CF7B-D51D-436A-9320-539E642A708B}"/>
    <cellStyle name="Normal" xfId="0" builtinId="0"/>
    <cellStyle name="Normal 10" xfId="60" xr:uid="{2B7C72D0-055B-4145-976A-FB406CF19013}"/>
    <cellStyle name="Normal 2" xfId="12" xr:uid="{4C9D7937-98A6-45A3-B4F6-7E64C23FC572}"/>
    <cellStyle name="Normal 2 2" xfId="16" xr:uid="{50184A74-87B1-4075-B239-55EC2FCE113E}"/>
    <cellStyle name="Normal 2 2 2" xfId="33" xr:uid="{5473D678-0F45-4DEC-8BA9-5C6DDB84E6C4}"/>
    <cellStyle name="Normal 2 3" xfId="46" xr:uid="{6A741B18-608E-4BB6-A3BA-0D0690872ACC}"/>
    <cellStyle name="Normal 2 4" xfId="44" xr:uid="{D08B2BDA-E907-47C6-9374-5ADC0BB680FD}"/>
    <cellStyle name="Normal 2 5" xfId="27" xr:uid="{CA6C0812-4372-4635-83EE-C81C2438BB2E}"/>
    <cellStyle name="Normal 3" xfId="5" xr:uid="{8C2FAC9D-6FAA-4BDF-8B8A-92AFDA8F7A5E}"/>
    <cellStyle name="Normal 3 2" xfId="11" xr:uid="{9FA67851-54F3-4102-98F8-2B4FE15DD75B}"/>
    <cellStyle name="Normal 3 2 2" xfId="41" xr:uid="{D7E68F05-7461-4B30-8B34-6EA95B2599EC}"/>
    <cellStyle name="Normal 3 3" xfId="31" xr:uid="{10A7F210-BD9E-447D-878B-2BA2E9F96218}"/>
    <cellStyle name="Normal 4" xfId="9" xr:uid="{3FAA1D17-4370-47F7-B5A0-78911130CEA7}"/>
    <cellStyle name="Normal 5" xfId="3" xr:uid="{0D2F2C2A-A121-4578-B3C5-FE4A95D1ECBA}"/>
    <cellStyle name="Normal 5 2" xfId="42" xr:uid="{A1D57ABC-F5D0-460A-B61F-5E7732BE2194}"/>
    <cellStyle name="Normal 6" xfId="47" xr:uid="{22E95899-9839-41B9-A3F0-2F6316FB3F00}"/>
    <cellStyle name="Normal 7" xfId="26" xr:uid="{AE83CF4B-E2E9-46E4-9E01-7383832409B7}"/>
    <cellStyle name="Normal 8" xfId="53" xr:uid="{C02F79B5-4AD3-4D5D-B278-7CA0747F0E3E}"/>
    <cellStyle name="Percent" xfId="2" builtinId="5"/>
    <cellStyle name="Percent 2" xfId="30" xr:uid="{E98D5F25-8D5E-495D-83BD-8ACB9C4D3319}"/>
    <cellStyle name="Percent 2 2" xfId="49" xr:uid="{011D836F-56BF-48CE-8A6E-CEE8AD98F836}"/>
    <cellStyle name="Percent 2 3" xfId="45" xr:uid="{09BB51FC-4774-4E0C-BD12-98A72E393228}"/>
    <cellStyle name="Percent 3" xfId="37" xr:uid="{274D5EEC-2483-45DC-9803-B9458A72269F}"/>
    <cellStyle name="Percent 3 2" xfId="7" xr:uid="{8D89233F-E361-4AD0-9591-54F545C75AB5}"/>
    <cellStyle name="Percent 4" xfId="43" xr:uid="{9756CBA0-021D-4FCF-886D-0F26DAE09A47}"/>
    <cellStyle name="Percent 5" xfId="35" xr:uid="{C520CA44-0B6A-4BC7-9DE7-BE16FAAE045E}"/>
    <cellStyle name="Table Cells" xfId="17" xr:uid="{EAA68DD8-D474-45C7-98A8-CBD00E79A3CC}"/>
    <cellStyle name="Table Column Headings" xfId="18" xr:uid="{E573F2F8-1A4F-49D5-A1F2-6DDA0789EFCD}"/>
    <cellStyle name="Table Number" xfId="19" xr:uid="{CC223373-3DEF-4D25-A405-97593845265F}"/>
    <cellStyle name="Table Row Headings" xfId="20" xr:uid="{EA73692B-37C1-4C62-9753-622071B4FB8A}"/>
    <cellStyle name="Table Title" xfId="21" xr:uid="{39B3D7DA-3D9D-4681-BDC7-2CE8F5FE58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ns.gov.uk/peoplepopulationandcommunity/housing/datasets/ukhousebuildingpermanentdwellingsstartedandcompleted" TargetMode="External"/><Relationship Id="rId2" Type="http://schemas.openxmlformats.org/officeDocument/2006/relationships/hyperlink" Target="https://www.ons.gov.uk/peoplepopulationandcommunity/housing/datasets/ukhousebuildingpermanentdwellingsstartedandcompleted" TargetMode="External"/><Relationship Id="rId1" Type="http://schemas.openxmlformats.org/officeDocument/2006/relationships/hyperlink" Target="https://www.ons.gov.uk/peoplepopulationandcommunity/housing/datasets/ukhousebuildingpermanentdwellingsstartedandcompleted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statistical-data-sets/uk-house-price-index-data-downloads-september-2022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ons.gov.uk/businessindustryandtrade/constructionindustry/datasets/interimconstructionoutputpriceindices" TargetMode="External"/><Relationship Id="rId1" Type="http://schemas.openxmlformats.org/officeDocument/2006/relationships/hyperlink" Target="https://www.gov.uk/government/statistics/bis-quarterly-construction-price-and-cost-indices-july-to-september-2014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v.uk/government/statistical-data-sets/uk-house-price-index-data-downloads-september-2022" TargetMode="External"/><Relationship Id="rId1" Type="http://schemas.openxmlformats.org/officeDocument/2006/relationships/hyperlink" Target="https://www.gov.uk/government/statistical-data-sets/live-tables-on-housing-market-and-house-prices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ns.gov.uk/peoplepopulationandcommunity/housing/datasets/dwellingstockbytenureuk" TargetMode="External"/><Relationship Id="rId2" Type="http://schemas.openxmlformats.org/officeDocument/2006/relationships/hyperlink" Target="https://www.gov.uk/government/statistical-data-sets/live-tables-on-dwelling-stock-including-vacants" TargetMode="External"/><Relationship Id="rId1" Type="http://schemas.openxmlformats.org/officeDocument/2006/relationships/hyperlink" Target="https://www.gov.uk/government/statistical-data-sets/live-tables-on-dwelling-stock-including-vacants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https://www.ons.gov.uk/peoplepopulationandcommunity/housing/datasets/dwellingstockbytenureuk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bankofengland.co.uk/boeapps/database/Bank-Rate.asp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ns.gov.uk/economy/grossdomesticproductgdp/timeseries/nrjr/ukea?referrer=search&amp;searchTerm=nrjr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ns.gov.uk/economy/grossdomesticproductgdp/timeseries/l8gg/pn2?referrer=search&amp;searchTerm=l8g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14A12-D559-45AF-8967-712E3B8F8A95}">
  <dimension ref="B2:K199"/>
  <sheetViews>
    <sheetView tabSelected="1" zoomScale="75" zoomScaleNormal="75" workbookViewId="0">
      <selection activeCell="I30" sqref="I30"/>
    </sheetView>
  </sheetViews>
  <sheetFormatPr defaultRowHeight="15" x14ac:dyDescent="0.25"/>
  <cols>
    <col min="1" max="1" width="2.7109375" customWidth="1"/>
    <col min="2" max="2" width="8.7109375" customWidth="1"/>
    <col min="3" max="3" width="15.7109375" customWidth="1"/>
    <col min="4" max="11" width="40.7109375" customWidth="1"/>
  </cols>
  <sheetData>
    <row r="2" spans="2:11" s="95" customFormat="1" x14ac:dyDescent="0.25">
      <c r="B2" s="95" t="s">
        <v>358</v>
      </c>
      <c r="D2" s="104" t="s">
        <v>375</v>
      </c>
      <c r="E2" s="104" t="s">
        <v>376</v>
      </c>
      <c r="F2" s="104" t="s">
        <v>377</v>
      </c>
      <c r="G2" s="104" t="s">
        <v>364</v>
      </c>
      <c r="H2" s="104" t="s">
        <v>367</v>
      </c>
      <c r="I2" s="104" t="s">
        <v>369</v>
      </c>
      <c r="J2" s="104" t="s">
        <v>374</v>
      </c>
      <c r="K2" s="104" t="s">
        <v>370</v>
      </c>
    </row>
    <row r="3" spans="2:11" s="95" customFormat="1" x14ac:dyDescent="0.25">
      <c r="B3" s="95" t="s">
        <v>359</v>
      </c>
      <c r="D3" s="104" t="s">
        <v>366</v>
      </c>
      <c r="E3" s="104" t="s">
        <v>362</v>
      </c>
      <c r="F3" s="104" t="s">
        <v>363</v>
      </c>
      <c r="G3" s="104" t="s">
        <v>365</v>
      </c>
      <c r="H3" s="104" t="s">
        <v>368</v>
      </c>
      <c r="I3" s="104" t="s">
        <v>371</v>
      </c>
      <c r="J3" s="104" t="s">
        <v>372</v>
      </c>
      <c r="K3" s="104" t="s">
        <v>373</v>
      </c>
    </row>
    <row r="4" spans="2:11" s="95" customFormat="1" x14ac:dyDescent="0.25">
      <c r="B4" s="95" t="s">
        <v>360</v>
      </c>
      <c r="D4" s="104" t="s">
        <v>357</v>
      </c>
      <c r="E4" s="104" t="s">
        <v>361</v>
      </c>
      <c r="F4" s="104" t="s">
        <v>357</v>
      </c>
      <c r="G4" s="104" t="s">
        <v>356</v>
      </c>
      <c r="H4" s="104" t="s">
        <v>357</v>
      </c>
      <c r="I4" s="104" t="s">
        <v>361</v>
      </c>
      <c r="J4" s="104" t="s">
        <v>361</v>
      </c>
      <c r="K4" s="104" t="s">
        <v>361</v>
      </c>
    </row>
    <row r="5" spans="2:11" s="95" customFormat="1" x14ac:dyDescent="0.25">
      <c r="D5" s="104"/>
      <c r="E5" s="104"/>
      <c r="F5" s="104"/>
      <c r="G5" s="104"/>
      <c r="H5" s="104"/>
      <c r="I5" s="104"/>
      <c r="J5" s="104"/>
      <c r="K5" s="104"/>
    </row>
    <row r="6" spans="2:11" s="95" customFormat="1" x14ac:dyDescent="0.25">
      <c r="D6" s="104"/>
      <c r="E6" s="104"/>
      <c r="F6" s="104"/>
      <c r="G6" s="104"/>
      <c r="H6" s="104"/>
      <c r="I6" s="104"/>
      <c r="J6" s="104"/>
      <c r="K6" s="104"/>
    </row>
    <row r="8" spans="2:11" x14ac:dyDescent="0.25">
      <c r="B8">
        <v>1975</v>
      </c>
      <c r="C8" s="4" t="s">
        <v>0</v>
      </c>
      <c r="D8" s="19">
        <f>'House building'!H8</f>
        <v>28800</v>
      </c>
      <c r="E8" s="19">
        <f>'Nominal house prices'!H8</f>
        <v>9179.4362270000001</v>
      </c>
      <c r="F8" s="75">
        <f>'Nominal construction costs'!H8</f>
        <v>10.3</v>
      </c>
      <c r="G8" s="19">
        <f>Transactions!H8</f>
        <v>193500</v>
      </c>
      <c r="H8" s="19">
        <f>'Private housing stock'!Y8</f>
        <v>13573</v>
      </c>
      <c r="I8" s="75">
        <f>'Interest rate'!H8</f>
        <v>10.783333333333333</v>
      </c>
      <c r="J8" s="75">
        <f>'House price (income) deflator'!H8</f>
        <v>13.222942686800993</v>
      </c>
      <c r="K8" s="75">
        <f>'Construction cost deflator'!H8</f>
        <v>10.9778</v>
      </c>
    </row>
    <row r="9" spans="2:11" x14ac:dyDescent="0.25">
      <c r="C9" s="4" t="s">
        <v>1</v>
      </c>
      <c r="D9" s="19">
        <f>'House building'!H9</f>
        <v>41600</v>
      </c>
      <c r="E9" s="19">
        <f>'Nominal house prices'!H9</f>
        <v>9423.1380740000004</v>
      </c>
      <c r="F9" s="75">
        <f>'Nominal construction costs'!H9</f>
        <v>11.2</v>
      </c>
      <c r="G9" s="19">
        <f>Transactions!H9</f>
        <v>226500</v>
      </c>
      <c r="H9" s="19">
        <f>'Private housing stock'!Y9</f>
        <v>13587.28418230563</v>
      </c>
      <c r="I9" s="75">
        <f>'Interest rate'!H9</f>
        <v>9.9615384615384617</v>
      </c>
      <c r="J9" s="75">
        <f>'House price (income) deflator'!H9</f>
        <v>13.909268861228577</v>
      </c>
      <c r="K9" s="75">
        <f>'Construction cost deflator'!H9</f>
        <v>11.707100000000001</v>
      </c>
    </row>
    <row r="10" spans="2:11" x14ac:dyDescent="0.25">
      <c r="C10" s="4" t="s">
        <v>2</v>
      </c>
      <c r="D10" s="19">
        <f>'House building'!H10</f>
        <v>41400</v>
      </c>
      <c r="E10" s="19">
        <f>'Nominal house prices'!H10</f>
        <v>9707.4568949999993</v>
      </c>
      <c r="F10" s="75">
        <f>'Nominal construction costs'!H10</f>
        <v>11.7</v>
      </c>
      <c r="G10" s="19">
        <f>Transactions!H10</f>
        <v>236250</v>
      </c>
      <c r="H10" s="19">
        <f>'Private housing stock'!Y10</f>
        <v>13607.916890080429</v>
      </c>
      <c r="I10" s="75">
        <f>'Interest rate'!H10</f>
        <v>10.706521739130435</v>
      </c>
      <c r="J10" s="75">
        <f>'House price (income) deflator'!H10</f>
        <v>14.437279582109813</v>
      </c>
      <c r="K10" s="75">
        <f>'Construction cost deflator'!H10</f>
        <v>12.2219</v>
      </c>
    </row>
    <row r="11" spans="2:11" x14ac:dyDescent="0.25">
      <c r="C11" s="4" t="s">
        <v>3</v>
      </c>
      <c r="D11" s="19">
        <f>'House building'!H11</f>
        <v>37400</v>
      </c>
      <c r="E11" s="19">
        <f>'Nominal house prices'!H11</f>
        <v>9808.9993310000009</v>
      </c>
      <c r="F11" s="75">
        <f>'Nominal construction costs'!H11</f>
        <v>11.5</v>
      </c>
      <c r="G11" s="19">
        <f>Transactions!H11</f>
        <v>224250</v>
      </c>
      <c r="H11" s="19">
        <f>'Private housing stock'!Y11</f>
        <v>13628.450402144772</v>
      </c>
      <c r="I11" s="75">
        <f>'Interest rate'!H11</f>
        <v>11.730978260869565</v>
      </c>
      <c r="J11" s="75">
        <f>'House price (income) deflator'!H11</f>
        <v>15.154198244165979</v>
      </c>
      <c r="K11" s="75">
        <f>'Construction cost deflator'!H11</f>
        <v>12.756500000000001</v>
      </c>
    </row>
    <row r="12" spans="2:11" x14ac:dyDescent="0.25">
      <c r="B12">
        <v>1976</v>
      </c>
      <c r="C12" s="4" t="s">
        <v>0</v>
      </c>
      <c r="D12" s="19">
        <f>'House building'!H12</f>
        <v>37200</v>
      </c>
      <c r="E12" s="19">
        <f>'Nominal house prices'!H12</f>
        <v>10012.084199999999</v>
      </c>
      <c r="F12" s="75">
        <f>'Nominal construction costs'!H12</f>
        <v>11.4</v>
      </c>
      <c r="G12" s="19">
        <f>Transactions!H12</f>
        <v>201750</v>
      </c>
      <c r="H12" s="19">
        <f>'Private housing stock'!Y12</f>
        <v>13647</v>
      </c>
      <c r="I12" s="75">
        <f>'Interest rate'!H12</f>
        <v>9.8681318681318686</v>
      </c>
      <c r="J12" s="75">
        <f>'House price (income) deflator'!H12</f>
        <v>15.756414429877777</v>
      </c>
      <c r="K12" s="75">
        <f>'Construction cost deflator'!H12</f>
        <v>13.1829</v>
      </c>
    </row>
    <row r="13" spans="2:11" x14ac:dyDescent="0.25">
      <c r="C13" s="4" t="s">
        <v>1</v>
      </c>
      <c r="D13" s="19">
        <f>'House building'!H13</f>
        <v>46500</v>
      </c>
      <c r="E13" s="19">
        <f>'Nominal house prices'!H13</f>
        <v>10276.09454</v>
      </c>
      <c r="F13" s="75">
        <f>'Nominal construction costs'!H13</f>
        <v>12.4</v>
      </c>
      <c r="G13" s="19">
        <f>Transactions!H13</f>
        <v>222750</v>
      </c>
      <c r="H13" s="19">
        <f>'Private housing stock'!Y13</f>
        <v>13672.024579560155</v>
      </c>
      <c r="I13" s="75">
        <f>'Interest rate'!H13</f>
        <v>10.505494505494505</v>
      </c>
      <c r="J13" s="75">
        <f>'House price (income) deflator'!H13</f>
        <v>16.154808174758301</v>
      </c>
      <c r="K13" s="75">
        <f>'Construction cost deflator'!H13</f>
        <v>13.5525</v>
      </c>
    </row>
    <row r="14" spans="2:11" x14ac:dyDescent="0.25">
      <c r="C14" s="4" t="s">
        <v>2</v>
      </c>
      <c r="D14" s="19">
        <f>'House building'!H14</f>
        <v>42800</v>
      </c>
      <c r="E14" s="19">
        <f>'Nominal house prices'!H14</f>
        <v>10519.79638</v>
      </c>
      <c r="F14" s="75">
        <f>'Nominal construction costs'!H14</f>
        <v>12.8</v>
      </c>
      <c r="G14" s="19">
        <f>Transactions!H14</f>
        <v>237000</v>
      </c>
      <c r="H14" s="19">
        <f>'Private housing stock'!Y14</f>
        <v>13703.30530401035</v>
      </c>
      <c r="I14" s="75">
        <f>'Interest rate'!H14</f>
        <v>11.793478260869565</v>
      </c>
      <c r="J14" s="75">
        <f>'House price (income) deflator'!H14</f>
        <v>16.637217047330267</v>
      </c>
      <c r="K14" s="75">
        <f>'Construction cost deflator'!H14</f>
        <v>13.8741</v>
      </c>
    </row>
    <row r="15" spans="2:11" x14ac:dyDescent="0.25">
      <c r="C15" s="4" t="s">
        <v>3</v>
      </c>
      <c r="D15" s="19">
        <f>'House building'!H15</f>
        <v>28100</v>
      </c>
      <c r="E15" s="19">
        <f>'Nominal house prices'!H15</f>
        <v>10682.264279999999</v>
      </c>
      <c r="F15" s="75">
        <f>'Nominal construction costs'!H15</f>
        <v>12.7</v>
      </c>
      <c r="G15" s="19">
        <f>Transactions!H15</f>
        <v>231000</v>
      </c>
      <c r="H15" s="19">
        <f>'Private housing stock'!Y15</f>
        <v>13732.09702457956</v>
      </c>
      <c r="I15" s="75">
        <f>'Interest rate'!H15</f>
        <v>14.720108695652174</v>
      </c>
      <c r="J15" s="75">
        <f>'House price (income) deflator'!H15</f>
        <v>17.573096347805237</v>
      </c>
      <c r="K15" s="75">
        <f>'Construction cost deflator'!H15</f>
        <v>14.421900000000001</v>
      </c>
    </row>
    <row r="16" spans="2:11" x14ac:dyDescent="0.25">
      <c r="B16">
        <v>1977</v>
      </c>
      <c r="C16" s="4" t="s">
        <v>0</v>
      </c>
      <c r="D16" s="19">
        <f>'House building'!H16</f>
        <v>26200</v>
      </c>
      <c r="E16" s="19">
        <f>'Nominal house prices'!H16</f>
        <v>10763.498229999999</v>
      </c>
      <c r="F16" s="75">
        <f>'Nominal construction costs'!H16</f>
        <v>12.3</v>
      </c>
      <c r="G16" s="19">
        <f>Transactions!H16</f>
        <v>196500</v>
      </c>
      <c r="H16" s="19">
        <f>'Private housing stock'!Y16</f>
        <v>13751</v>
      </c>
      <c r="I16" s="75">
        <f>'Interest rate'!H16</f>
        <v>12.324999999999999</v>
      </c>
      <c r="J16" s="75">
        <f>'House price (income) deflator'!H16</f>
        <v>18.243759357145038</v>
      </c>
      <c r="K16" s="75">
        <f>'Construction cost deflator'!H16</f>
        <v>14.964700000000001</v>
      </c>
    </row>
    <row r="17" spans="2:11" x14ac:dyDescent="0.25">
      <c r="C17" s="4" t="s">
        <v>1</v>
      </c>
      <c r="D17" s="19">
        <f>'House building'!H17</f>
        <v>38100</v>
      </c>
      <c r="E17" s="19">
        <f>'Nominal house prices'!H17</f>
        <v>10925.966130000001</v>
      </c>
      <c r="F17" s="75">
        <f>'Nominal construction costs'!H17</f>
        <v>13.5</v>
      </c>
      <c r="G17" s="19">
        <f>Transactions!H17</f>
        <v>225750</v>
      </c>
      <c r="H17" s="19">
        <f>'Private housing stock'!Y17</f>
        <v>13726.121661721068</v>
      </c>
      <c r="I17" s="75">
        <f>'Interest rate'!H17</f>
        <v>8.4368131868131861</v>
      </c>
      <c r="J17" s="75">
        <f>'House price (income) deflator'!H17</f>
        <v>18.934221096212074</v>
      </c>
      <c r="K17" s="75">
        <f>'Construction cost deflator'!H17</f>
        <v>15.552899999999999</v>
      </c>
    </row>
    <row r="18" spans="2:11" x14ac:dyDescent="0.25">
      <c r="C18" s="4" t="s">
        <v>2</v>
      </c>
      <c r="D18" s="19">
        <f>'House building'!H18</f>
        <v>39100</v>
      </c>
      <c r="E18" s="19">
        <f>'Nominal house prices'!H18</f>
        <v>11250.901919999998</v>
      </c>
      <c r="F18" s="75">
        <f>'Nominal construction costs'!H18</f>
        <v>14.1</v>
      </c>
      <c r="G18" s="19">
        <f>Transactions!H18</f>
        <v>249750</v>
      </c>
      <c r="H18" s="19">
        <f>'Private housing stock'!Y18</f>
        <v>13689.943620178041</v>
      </c>
      <c r="I18" s="75">
        <f>'Interest rate'!H18</f>
        <v>7.2826086956521738</v>
      </c>
      <c r="J18" s="75">
        <f>'House price (income) deflator'!H18</f>
        <v>19.311428376255208</v>
      </c>
      <c r="K18" s="75">
        <f>'Construction cost deflator'!H18</f>
        <v>15.8767</v>
      </c>
    </row>
    <row r="19" spans="2:11" x14ac:dyDescent="0.25">
      <c r="C19" s="4" t="s">
        <v>3</v>
      </c>
      <c r="D19" s="19">
        <f>'House building'!H19</f>
        <v>31400</v>
      </c>
      <c r="E19" s="19">
        <f>'Nominal house prices'!H19</f>
        <v>11596.146210000001</v>
      </c>
      <c r="F19" s="75">
        <f>'Nominal construction costs'!H19</f>
        <v>14.1</v>
      </c>
      <c r="G19" s="19">
        <f>Transactions!H19</f>
        <v>257250</v>
      </c>
      <c r="H19" s="19">
        <f>'Private housing stock'!Y19</f>
        <v>13652.816023738873</v>
      </c>
      <c r="I19" s="75">
        <f>'Interest rate'!H19</f>
        <v>5.875</v>
      </c>
      <c r="J19" s="75">
        <f>'House price (income) deflator'!H19</f>
        <v>19.64779232143508</v>
      </c>
      <c r="K19" s="75">
        <f>'Construction cost deflator'!H19</f>
        <v>16.315999999999999</v>
      </c>
    </row>
    <row r="20" spans="2:11" x14ac:dyDescent="0.25">
      <c r="B20" s="5">
        <v>1978</v>
      </c>
      <c r="C20" s="4" t="s">
        <v>0</v>
      </c>
      <c r="D20" s="19">
        <f>'House building'!H20</f>
        <v>30390</v>
      </c>
      <c r="E20" s="19">
        <f>'Nominal house prices'!H20</f>
        <v>11860.156540000002</v>
      </c>
      <c r="F20" s="75">
        <f>'Nominal construction costs'!H20</f>
        <v>13.6</v>
      </c>
      <c r="G20" s="19">
        <f>Transactions!H20</f>
        <v>248250</v>
      </c>
      <c r="H20" s="19">
        <f>'Private housing stock'!Y20</f>
        <v>13623</v>
      </c>
      <c r="I20" s="75">
        <f>'Interest rate'!H20</f>
        <v>6.5444444444444443</v>
      </c>
      <c r="J20" s="75">
        <f>'House price (income) deflator'!H20</f>
        <v>20.324323533927487</v>
      </c>
      <c r="K20" s="75">
        <f>'Construction cost deflator'!H20</f>
        <v>16.954499999999999</v>
      </c>
    </row>
    <row r="21" spans="2:11" x14ac:dyDescent="0.25">
      <c r="B21" s="5"/>
      <c r="C21" s="4" t="s">
        <v>1</v>
      </c>
      <c r="D21" s="19">
        <f>'House building'!H21</f>
        <v>46510</v>
      </c>
      <c r="E21" s="19">
        <f>'Nominal house prices'!H21</f>
        <v>12428.794180000003</v>
      </c>
      <c r="F21" s="75">
        <f>'Nominal construction costs'!H21</f>
        <v>15.2</v>
      </c>
      <c r="G21" s="19">
        <f>Transactions!H21</f>
        <v>263250</v>
      </c>
      <c r="H21" s="19">
        <f>'Private housing stock'!Y21</f>
        <v>13650.432331066047</v>
      </c>
      <c r="I21" s="75">
        <f>'Interest rate'!H21</f>
        <v>8.5027472527472536</v>
      </c>
      <c r="J21" s="75">
        <f>'House price (income) deflator'!H21</f>
        <v>20.693376500741937</v>
      </c>
      <c r="K21" s="75">
        <f>'Construction cost deflator'!H21</f>
        <v>17.426600000000001</v>
      </c>
    </row>
    <row r="22" spans="2:11" x14ac:dyDescent="0.25">
      <c r="B22" s="5"/>
      <c r="C22" s="4" t="s">
        <v>2</v>
      </c>
      <c r="D22" s="19">
        <f>'House building'!H22</f>
        <v>41310</v>
      </c>
      <c r="E22" s="19">
        <f>'Nominal house prices'!H22</f>
        <v>13302.05913</v>
      </c>
      <c r="F22" s="75">
        <f>'Nominal construction costs'!H22</f>
        <v>16.3</v>
      </c>
      <c r="G22" s="19">
        <f>Transactions!H22</f>
        <v>261750</v>
      </c>
      <c r="H22" s="19">
        <f>'Private housing stock'!Y22</f>
        <v>13692.415803191152</v>
      </c>
      <c r="I22" s="75">
        <f>'Interest rate'!H22</f>
        <v>10</v>
      </c>
      <c r="J22" s="75">
        <f>'House price (income) deflator'!H22</f>
        <v>21.073562773197587</v>
      </c>
      <c r="K22" s="75">
        <f>'Construction cost deflator'!H22</f>
        <v>17.678599999999999</v>
      </c>
    </row>
    <row r="23" spans="2:11" x14ac:dyDescent="0.25">
      <c r="B23" s="5"/>
      <c r="C23" s="4" t="s">
        <v>3</v>
      </c>
      <c r="D23" s="19">
        <f>'House building'!H23</f>
        <v>39100</v>
      </c>
      <c r="E23" s="19">
        <f>'Nominal house prices'!H23</f>
        <v>14236.24955</v>
      </c>
      <c r="F23" s="75">
        <f>'Nominal construction costs'!H23</f>
        <v>16.600000000000001</v>
      </c>
      <c r="G23" s="19">
        <f>Transactions!H23</f>
        <v>250500</v>
      </c>
      <c r="H23" s="19">
        <f>'Private housing stock'!Y23</f>
        <v>13729.705358845591</v>
      </c>
      <c r="I23" s="75">
        <f>'Interest rate'!H23</f>
        <v>11.440217391304348</v>
      </c>
      <c r="J23" s="75">
        <f>'House price (income) deflator'!H23</f>
        <v>21.776319887059607</v>
      </c>
      <c r="K23" s="75">
        <f>'Construction cost deflator'!H23</f>
        <v>18.153400000000001</v>
      </c>
    </row>
    <row r="24" spans="2:11" x14ac:dyDescent="0.25">
      <c r="B24" s="5">
        <v>1979</v>
      </c>
      <c r="C24" s="4" t="s">
        <v>0</v>
      </c>
      <c r="D24" s="19">
        <f>'House building'!H24</f>
        <v>23320</v>
      </c>
      <c r="E24" s="19">
        <f>'Nominal house prices'!H24</f>
        <v>14987.663569999999</v>
      </c>
      <c r="F24" s="75">
        <f>'Nominal construction costs'!H24</f>
        <v>16.2</v>
      </c>
      <c r="G24" s="19">
        <f>Transactions!H24</f>
        <v>229500</v>
      </c>
      <c r="H24" s="19">
        <f>'Private housing stock'!Y24</f>
        <v>13765</v>
      </c>
      <c r="I24" s="75">
        <f>'Interest rate'!H24</f>
        <v>13.022222222222222</v>
      </c>
      <c r="J24" s="75">
        <f>'House price (income) deflator'!H24</f>
        <v>22.495944364206359</v>
      </c>
      <c r="K24" s="75">
        <f>'Construction cost deflator'!H24</f>
        <v>18.828700000000001</v>
      </c>
    </row>
    <row r="25" spans="2:11" x14ac:dyDescent="0.25">
      <c r="B25" s="5"/>
      <c r="C25" s="4" t="s">
        <v>1</v>
      </c>
      <c r="D25" s="19">
        <f>'House building'!H25</f>
        <v>40050</v>
      </c>
      <c r="E25" s="19">
        <f>'Nominal house prices'!H25</f>
        <v>16145.24735</v>
      </c>
      <c r="F25" s="75">
        <f>'Nominal construction costs'!H25</f>
        <v>18.2</v>
      </c>
      <c r="G25" s="19">
        <f>Transactions!H25</f>
        <v>235500</v>
      </c>
      <c r="H25" s="19">
        <f>'Private housing stock'!Y25</f>
        <v>13787.670647871675</v>
      </c>
      <c r="I25" s="75">
        <f>'Interest rate'!H25</f>
        <v>12.43956043956044</v>
      </c>
      <c r="J25" s="75">
        <f>'House price (income) deflator'!H25</f>
        <v>22.975937340187873</v>
      </c>
      <c r="K25" s="75">
        <f>'Construction cost deflator'!H25</f>
        <v>19.282699999999998</v>
      </c>
    </row>
    <row r="26" spans="2:11" x14ac:dyDescent="0.25">
      <c r="B26" s="5"/>
      <c r="C26" s="4" t="s">
        <v>2</v>
      </c>
      <c r="D26" s="19">
        <f>'House building'!H26</f>
        <v>41250</v>
      </c>
      <c r="E26" s="19">
        <f>'Nominal house prices'!H26</f>
        <v>17384.065070000001</v>
      </c>
      <c r="F26" s="75">
        <f>'Nominal construction costs'!H26</f>
        <v>20.100000000000001</v>
      </c>
      <c r="G26" s="19">
        <f>Transactions!H26</f>
        <v>258750</v>
      </c>
      <c r="H26" s="19">
        <f>'Private housing stock'!Y26</f>
        <v>13826.605444066385</v>
      </c>
      <c r="I26" s="75">
        <f>'Interest rate'!H26</f>
        <v>14</v>
      </c>
      <c r="J26" s="75">
        <f>'House price (income) deflator'!H26</f>
        <v>24.540921722864084</v>
      </c>
      <c r="K26" s="75">
        <f>'Construction cost deflator'!H26</f>
        <v>20.747699999999998</v>
      </c>
    </row>
    <row r="27" spans="2:11" x14ac:dyDescent="0.25">
      <c r="B27" s="5"/>
      <c r="C27" s="4" t="s">
        <v>3</v>
      </c>
      <c r="D27" s="19">
        <f>'House building'!H27</f>
        <v>39390</v>
      </c>
      <c r="E27" s="19">
        <f>'Nominal house prices'!H27</f>
        <v>18541.648840000002</v>
      </c>
      <c r="F27" s="75">
        <f>'Nominal construction costs'!H27</f>
        <v>20.6</v>
      </c>
      <c r="G27" s="19">
        <f>Transactions!H27</f>
        <v>255750</v>
      </c>
      <c r="H27" s="19">
        <f>'Private housing stock'!Y27</f>
        <v>13866.706825914867</v>
      </c>
      <c r="I27" s="75">
        <f>'Interest rate'!H27</f>
        <v>15.532608695652174</v>
      </c>
      <c r="J27" s="75">
        <f>'House price (income) deflator'!H27</f>
        <v>25.612205484743143</v>
      </c>
      <c r="K27" s="75">
        <f>'Construction cost deflator'!H27</f>
        <v>21.6294</v>
      </c>
    </row>
    <row r="28" spans="2:11" x14ac:dyDescent="0.25">
      <c r="B28" s="5">
        <v>1980</v>
      </c>
      <c r="C28" s="4" t="s">
        <v>0</v>
      </c>
      <c r="D28" s="19">
        <f>'House building'!H28</f>
        <v>24530</v>
      </c>
      <c r="E28" s="19">
        <f>'Nominal house prices'!H28</f>
        <v>19272.754379999998</v>
      </c>
      <c r="F28" s="75">
        <f>'Nominal construction costs'!H28</f>
        <v>20.100000000000001</v>
      </c>
      <c r="G28" s="19">
        <f>Transactions!H28</f>
        <v>234000</v>
      </c>
      <c r="H28" s="19">
        <f>'Private housing stock'!Y28</f>
        <v>13905</v>
      </c>
      <c r="I28" s="75">
        <f>'Interest rate'!H28</f>
        <v>17</v>
      </c>
      <c r="J28" s="75">
        <f>'House price (income) deflator'!H28</f>
        <v>26.727327068043707</v>
      </c>
      <c r="K28" s="75">
        <f>'Construction cost deflator'!H28</f>
        <v>22.724</v>
      </c>
    </row>
    <row r="29" spans="2:11" x14ac:dyDescent="0.25">
      <c r="B29" s="5"/>
      <c r="C29" s="4" t="s">
        <v>1</v>
      </c>
      <c r="D29" s="19">
        <f>'House building'!H29</f>
        <v>29440</v>
      </c>
      <c r="E29" s="19">
        <f>'Nominal house prices'!H29</f>
        <v>20044.476890000002</v>
      </c>
      <c r="F29" s="75">
        <f>'Nominal construction costs'!H29</f>
        <v>23</v>
      </c>
      <c r="G29" s="19">
        <f>Transactions!H29</f>
        <v>246000</v>
      </c>
      <c r="H29" s="19">
        <f>'Private housing stock'!Y29</f>
        <v>13935.784511784512</v>
      </c>
      <c r="I29" s="75">
        <f>'Interest rate'!H29</f>
        <v>17</v>
      </c>
      <c r="J29" s="75">
        <f>'House price (income) deflator'!H29</f>
        <v>27.671739288861207</v>
      </c>
      <c r="K29" s="75">
        <f>'Construction cost deflator'!H29</f>
        <v>23.7775</v>
      </c>
    </row>
    <row r="30" spans="2:11" x14ac:dyDescent="0.25">
      <c r="B30" s="5"/>
      <c r="C30" s="4" t="s">
        <v>2</v>
      </c>
      <c r="D30" s="19">
        <f>'House building'!H30</f>
        <v>23370</v>
      </c>
      <c r="E30" s="19">
        <f>'Nominal house prices'!H30</f>
        <v>20856.81638</v>
      </c>
      <c r="F30" s="75">
        <f>'Nominal construction costs'!H30</f>
        <v>24.5</v>
      </c>
      <c r="G30" s="19">
        <f>Transactions!H30</f>
        <v>231000</v>
      </c>
      <c r="H30" s="19">
        <f>'Private housing stock'!Y30</f>
        <v>13972.730945821855</v>
      </c>
      <c r="I30" s="75">
        <f>'Interest rate'!H30</f>
        <v>16.021739130434781</v>
      </c>
      <c r="J30" s="75">
        <f>'House price (income) deflator'!H30</f>
        <v>28.323627722358598</v>
      </c>
      <c r="K30" s="75">
        <f>'Construction cost deflator'!H30</f>
        <v>24.671099999999999</v>
      </c>
    </row>
    <row r="31" spans="2:11" x14ac:dyDescent="0.25">
      <c r="B31" s="5"/>
      <c r="C31" s="4" t="s">
        <v>3</v>
      </c>
      <c r="D31" s="19">
        <f>'House building'!H31</f>
        <v>20670</v>
      </c>
      <c r="E31" s="19">
        <f>'Nominal house prices'!H31</f>
        <v>20897.433359999999</v>
      </c>
      <c r="F31" s="75">
        <f>'Nominal construction costs'!H31</f>
        <v>24.5</v>
      </c>
      <c r="G31" s="19">
        <f>Transactions!H31</f>
        <v>239250</v>
      </c>
      <c r="H31" s="19">
        <f>'Private housing stock'!Y31</f>
        <v>14002.059687786961</v>
      </c>
      <c r="I31" s="75">
        <f>'Interest rate'!H31</f>
        <v>15.195652173913043</v>
      </c>
      <c r="J31" s="75">
        <f>'House price (income) deflator'!H31</f>
        <v>29.568831854319928</v>
      </c>
      <c r="K31" s="75">
        <f>'Construction cost deflator'!H31</f>
        <v>25.758199999999999</v>
      </c>
    </row>
    <row r="32" spans="2:11" x14ac:dyDescent="0.25">
      <c r="B32" s="5">
        <v>1981</v>
      </c>
      <c r="C32" s="4" t="s">
        <v>0</v>
      </c>
      <c r="D32" s="19">
        <f>'House building'!H32</f>
        <v>26290</v>
      </c>
      <c r="E32" s="19">
        <f>'Nominal house prices'!H32</f>
        <v>20938.050329999998</v>
      </c>
      <c r="F32" s="75">
        <f>'Nominal construction costs'!H32</f>
        <v>23.1</v>
      </c>
      <c r="G32" s="19">
        <f>Transactions!H32</f>
        <v>216000</v>
      </c>
      <c r="H32" s="19">
        <f>'Private housing stock'!Y32</f>
        <v>14028</v>
      </c>
      <c r="I32" s="75">
        <f>'Interest rate'!H32</f>
        <v>13.533333333333333</v>
      </c>
      <c r="J32" s="75">
        <f>'House price (income) deflator'!H32</f>
        <v>30.442952314626233</v>
      </c>
      <c r="K32" s="75">
        <f>'Construction cost deflator'!H32</f>
        <v>26.4908</v>
      </c>
    </row>
    <row r="33" spans="2:11" x14ac:dyDescent="0.25">
      <c r="B33" s="5"/>
      <c r="C33" s="4" t="s">
        <v>1</v>
      </c>
      <c r="D33" s="19">
        <f>'House building'!H33</f>
        <v>32240</v>
      </c>
      <c r="E33" s="19">
        <f>'Nominal house prices'!H33</f>
        <v>21506.687969999999</v>
      </c>
      <c r="F33" s="75">
        <f>'Nominal construction costs'!H33</f>
        <v>25.3</v>
      </c>
      <c r="G33" s="19">
        <f>Transactions!H33</f>
        <v>246000</v>
      </c>
      <c r="H33" s="19">
        <f>'Private housing stock'!Y33</f>
        <v>14072.756709806306</v>
      </c>
      <c r="I33" s="75">
        <f>'Interest rate'!H33</f>
        <v>12</v>
      </c>
      <c r="J33" s="75">
        <f>'House price (income) deflator'!H33</f>
        <v>31.260892500617661</v>
      </c>
      <c r="K33" s="75">
        <f>'Construction cost deflator'!H33</f>
        <v>26.973299999999998</v>
      </c>
    </row>
    <row r="34" spans="2:11" x14ac:dyDescent="0.25">
      <c r="B34" s="5"/>
      <c r="C34" s="4" t="s">
        <v>2</v>
      </c>
      <c r="D34" s="19">
        <f>'House building'!H34</f>
        <v>32080</v>
      </c>
      <c r="E34" s="19">
        <f>'Nominal house prices'!H34</f>
        <v>21851.932260000001</v>
      </c>
      <c r="F34" s="75">
        <f>'Nominal construction costs'!H34</f>
        <v>25.5</v>
      </c>
      <c r="G34" s="19">
        <f>Transactions!H34</f>
        <v>263250</v>
      </c>
      <c r="H34" s="19">
        <f>'Private housing stock'!Y34</f>
        <v>14127.642838530357</v>
      </c>
      <c r="I34" s="75">
        <f>'Interest rate'!H34</f>
        <v>12.505326086956535</v>
      </c>
      <c r="J34" s="75">
        <f>'House price (income) deflator'!H34</f>
        <v>31.966597860761869</v>
      </c>
      <c r="K34" s="75">
        <f>'Construction cost deflator'!H34</f>
        <v>27.424199999999999</v>
      </c>
    </row>
    <row r="35" spans="2:11" x14ac:dyDescent="0.25">
      <c r="B35" s="5"/>
      <c r="C35" s="4" t="s">
        <v>3</v>
      </c>
      <c r="D35" s="19">
        <f>'House building'!H35</f>
        <v>24520</v>
      </c>
      <c r="E35" s="19">
        <f>'Nominal house prices'!H35</f>
        <v>21425.454030000001</v>
      </c>
      <c r="F35" s="75">
        <f>'Nominal construction costs'!H35</f>
        <v>24.5</v>
      </c>
      <c r="G35" s="19">
        <f>Transactions!H35</f>
        <v>288000</v>
      </c>
      <c r="H35" s="19">
        <f>'Private housing stock'!Y35</f>
        <v>14182.256579518806</v>
      </c>
      <c r="I35" s="75">
        <f>'Interest rate'!H35</f>
        <v>14.599021739130453</v>
      </c>
      <c r="J35" s="75">
        <f>'House price (income) deflator'!H35</f>
        <v>33.05992723977559</v>
      </c>
      <c r="K35" s="75">
        <f>'Construction cost deflator'!H35</f>
        <v>28.261199999999999</v>
      </c>
    </row>
    <row r="36" spans="2:11" x14ac:dyDescent="0.25">
      <c r="B36" s="5">
        <v>1982</v>
      </c>
      <c r="C36" s="4" t="s">
        <v>0</v>
      </c>
      <c r="D36" s="19">
        <f>'House building'!H36</f>
        <v>31770</v>
      </c>
      <c r="E36" s="19">
        <f>'Nominal house prices'!H36</f>
        <v>20897.433359999999</v>
      </c>
      <c r="F36" s="75">
        <f>'Nominal construction costs'!H36</f>
        <v>23.2</v>
      </c>
      <c r="G36" s="19">
        <f>Transactions!H36</f>
        <v>240000</v>
      </c>
      <c r="H36" s="19">
        <f>'Private housing stock'!Y36</f>
        <v>14224</v>
      </c>
      <c r="I36" s="75">
        <f>'Interest rate'!H36</f>
        <v>13.794999999999996</v>
      </c>
      <c r="J36" s="75">
        <f>'House price (income) deflator'!H36</f>
        <v>33.999460807440855</v>
      </c>
      <c r="K36" s="75">
        <f>'Construction cost deflator'!H36</f>
        <v>28.956</v>
      </c>
    </row>
    <row r="37" spans="2:11" x14ac:dyDescent="0.25">
      <c r="B37" s="5"/>
      <c r="C37" s="4" t="s">
        <v>1</v>
      </c>
      <c r="D37" s="19">
        <f>'House building'!H37</f>
        <v>38120</v>
      </c>
      <c r="E37" s="19">
        <f>'Nominal house prices'!H37</f>
        <v>21811.315279999999</v>
      </c>
      <c r="F37" s="75">
        <f>'Nominal construction costs'!H37</f>
        <v>25.2</v>
      </c>
      <c r="G37" s="19">
        <f>Transactions!H37</f>
        <v>276000</v>
      </c>
      <c r="H37" s="19">
        <f>'Private housing stock'!Y37</f>
        <v>14299.777904734699</v>
      </c>
      <c r="I37" s="75">
        <f>'Interest rate'!H37</f>
        <v>13.021978021978034</v>
      </c>
      <c r="J37" s="75">
        <f>'House price (income) deflator'!H37</f>
        <v>34.443781885642352</v>
      </c>
      <c r="K37" s="75">
        <f>'Construction cost deflator'!H37</f>
        <v>29.229700000000001</v>
      </c>
    </row>
    <row r="38" spans="2:11" x14ac:dyDescent="0.25">
      <c r="B38" s="5"/>
      <c r="C38" s="4" t="s">
        <v>2</v>
      </c>
      <c r="D38" s="19">
        <f>'House building'!H38</f>
        <v>38000</v>
      </c>
      <c r="E38" s="19">
        <f>'Nominal house prices'!H38</f>
        <v>22359.64444</v>
      </c>
      <c r="F38" s="75">
        <f>'Nominal construction costs'!H38</f>
        <v>25.3</v>
      </c>
      <c r="G38" s="19">
        <f>Transactions!H38</f>
        <v>318000</v>
      </c>
      <c r="H38" s="19">
        <f>'Private housing stock'!Y38</f>
        <v>14390.701849603656</v>
      </c>
      <c r="I38" s="75">
        <f>'Interest rate'!H38</f>
        <v>11.364239130434783</v>
      </c>
      <c r="J38" s="75">
        <f>'House price (income) deflator'!H38</f>
        <v>34.84013451119592</v>
      </c>
      <c r="K38" s="75">
        <f>'Construction cost deflator'!H38</f>
        <v>29.691800000000001</v>
      </c>
    </row>
    <row r="39" spans="2:11" x14ac:dyDescent="0.25">
      <c r="B39" s="5"/>
      <c r="C39" s="4" t="s">
        <v>3</v>
      </c>
      <c r="D39" s="19">
        <f>'House building'!H39</f>
        <v>32140</v>
      </c>
      <c r="E39" s="19">
        <f>'Nominal house prices'!H39</f>
        <v>22684.580230000003</v>
      </c>
      <c r="F39" s="75">
        <f>'Nominal construction costs'!H39</f>
        <v>24.8</v>
      </c>
      <c r="G39" s="19">
        <f>Transactions!H39</f>
        <v>321750</v>
      </c>
      <c r="H39" s="19">
        <f>'Private housing stock'!Y39</f>
        <v>14481.339570092123</v>
      </c>
      <c r="I39" s="75">
        <f>'Interest rate'!H39</f>
        <v>9.7014130434782597</v>
      </c>
      <c r="J39" s="75">
        <f>'House price (income) deflator'!H39</f>
        <v>35.671708392442078</v>
      </c>
      <c r="K39" s="75">
        <f>'Construction cost deflator'!H39</f>
        <v>30.321100000000001</v>
      </c>
    </row>
    <row r="40" spans="2:11" x14ac:dyDescent="0.25">
      <c r="B40" s="5">
        <v>1983</v>
      </c>
      <c r="C40" s="4" t="s">
        <v>0</v>
      </c>
      <c r="D40" s="19">
        <f>'House building'!H40</f>
        <v>39890</v>
      </c>
      <c r="E40" s="19">
        <f>'Nominal house prices'!H40</f>
        <v>23354.760310000001</v>
      </c>
      <c r="F40" s="75">
        <f>'Nominal construction costs'!H40</f>
        <v>25.6</v>
      </c>
      <c r="G40" s="19">
        <f>Transactions!H40</f>
        <v>302250</v>
      </c>
      <c r="H40" s="19">
        <f>'Private housing stock'!Y40</f>
        <v>14558</v>
      </c>
      <c r="I40" s="75">
        <f>'Interest rate'!H40</f>
        <v>10.794666666666656</v>
      </c>
      <c r="J40" s="75">
        <f>'House price (income) deflator'!H40</f>
        <v>36.393889175897534</v>
      </c>
      <c r="K40" s="75">
        <f>'Construction cost deflator'!H40</f>
        <v>30.856200000000001</v>
      </c>
    </row>
    <row r="41" spans="2:11" x14ac:dyDescent="0.25">
      <c r="B41" s="5"/>
      <c r="C41" s="4" t="s">
        <v>1</v>
      </c>
      <c r="D41" s="19">
        <f>'House building'!H41</f>
        <v>47850</v>
      </c>
      <c r="E41" s="19">
        <f>'Nominal house prices'!H41</f>
        <v>24167.0998</v>
      </c>
      <c r="F41" s="75">
        <f>'Nominal construction costs'!H41</f>
        <v>26.2</v>
      </c>
      <c r="G41" s="19">
        <f>Transactions!H41</f>
        <v>308250</v>
      </c>
      <c r="H41" s="19">
        <f>'Private housing stock'!Y41</f>
        <v>14629.413116691285</v>
      </c>
      <c r="I41" s="75">
        <f>'Interest rate'!H41</f>
        <v>10.03252747252745</v>
      </c>
      <c r="J41" s="75">
        <f>'House price (income) deflator'!H41</f>
        <v>36.432131828141614</v>
      </c>
      <c r="K41" s="75">
        <f>'Construction cost deflator'!H41</f>
        <v>30.934799999999999</v>
      </c>
    </row>
    <row r="42" spans="2:11" x14ac:dyDescent="0.25">
      <c r="B42" s="5"/>
      <c r="C42" s="4" t="s">
        <v>2</v>
      </c>
      <c r="D42" s="19">
        <f>'House building'!H42</f>
        <v>43730</v>
      </c>
      <c r="E42" s="19">
        <f>'Nominal house prices'!H42</f>
        <v>25182.524160000001</v>
      </c>
      <c r="F42" s="75">
        <f>'Nominal construction costs'!H42</f>
        <v>26.9</v>
      </c>
      <c r="G42" s="19">
        <f>Transactions!H42</f>
        <v>323250</v>
      </c>
      <c r="H42" s="19">
        <f>'Private housing stock'!Y42</f>
        <v>14715.076632200886</v>
      </c>
      <c r="I42" s="75">
        <f>'Interest rate'!H42</f>
        <v>9.5586956521738902</v>
      </c>
      <c r="J42" s="75">
        <f>'House price (income) deflator'!H42</f>
        <v>37.314785029181415</v>
      </c>
      <c r="K42" s="75">
        <f>'Construction cost deflator'!H42</f>
        <v>31.375599999999999</v>
      </c>
    </row>
    <row r="43" spans="2:11" x14ac:dyDescent="0.25">
      <c r="B43" s="5"/>
      <c r="C43" s="4" t="s">
        <v>3</v>
      </c>
      <c r="D43" s="19">
        <f>'House building'!H43</f>
        <v>37780</v>
      </c>
      <c r="E43" s="19">
        <f>'Nominal house prices'!H43</f>
        <v>25385.609039999999</v>
      </c>
      <c r="F43" s="75">
        <f>'Nominal construction costs'!H43</f>
        <v>27.3</v>
      </c>
      <c r="G43" s="19">
        <f>Transactions!H43</f>
        <v>318000</v>
      </c>
      <c r="H43" s="19">
        <f>'Private housing stock'!Y43</f>
        <v>14793.364313146234</v>
      </c>
      <c r="I43" s="75">
        <f>'Interest rate'!H43</f>
        <v>9.0708695652173716</v>
      </c>
      <c r="J43" s="75">
        <f>'House price (income) deflator'!H43</f>
        <v>37.618283725068679</v>
      </c>
      <c r="K43" s="75">
        <f>'Construction cost deflator'!H43</f>
        <v>31.945</v>
      </c>
    </row>
    <row r="44" spans="2:11" x14ac:dyDescent="0.25">
      <c r="B44" s="5">
        <v>1984</v>
      </c>
      <c r="C44" s="4" t="s">
        <v>0</v>
      </c>
      <c r="D44" s="19">
        <f>'House building'!H44</f>
        <v>37090</v>
      </c>
      <c r="E44" s="19">
        <f>'Nominal house prices'!H44</f>
        <v>25588.693910000002</v>
      </c>
      <c r="F44" s="75">
        <f>'Nominal construction costs'!H44</f>
        <v>27.8</v>
      </c>
      <c r="G44" s="19">
        <f>Transactions!H44</f>
        <v>318000</v>
      </c>
      <c r="H44" s="19">
        <f>'Private housing stock'!Y44</f>
        <v>14861</v>
      </c>
      <c r="I44" s="75">
        <f>'Interest rate'!H44</f>
        <v>8.9418681318681124</v>
      </c>
      <c r="J44" s="75">
        <f>'House price (income) deflator'!H44</f>
        <v>38.155344153642417</v>
      </c>
      <c r="K44" s="75">
        <f>'Construction cost deflator'!H44</f>
        <v>32.019500000000001</v>
      </c>
    </row>
    <row r="45" spans="2:11" x14ac:dyDescent="0.25">
      <c r="B45" s="5"/>
      <c r="C45" s="4" t="s">
        <v>1</v>
      </c>
      <c r="D45" s="19">
        <f>'House building'!H45</f>
        <v>43670</v>
      </c>
      <c r="E45" s="19">
        <f>'Nominal house prices'!H45</f>
        <v>26401.0334</v>
      </c>
      <c r="F45" s="75">
        <f>'Nominal construction costs'!H45</f>
        <v>28.3</v>
      </c>
      <c r="G45" s="19">
        <f>Transactions!H45</f>
        <v>320250</v>
      </c>
      <c r="H45" s="19">
        <f>'Private housing stock'!Y45</f>
        <v>14928.111559489716</v>
      </c>
      <c r="I45" s="75">
        <f>'Interest rate'!H45</f>
        <v>8.8417582417582246</v>
      </c>
      <c r="J45" s="75">
        <f>'House price (income) deflator'!H45</f>
        <v>38.725851263164692</v>
      </c>
      <c r="K45" s="75">
        <f>'Construction cost deflator'!H45</f>
        <v>33.008000000000003</v>
      </c>
    </row>
    <row r="46" spans="2:11" x14ac:dyDescent="0.25">
      <c r="B46" s="5"/>
      <c r="C46" s="4" t="s">
        <v>2</v>
      </c>
      <c r="D46" s="19">
        <f>'House building'!H46</f>
        <v>40180</v>
      </c>
      <c r="E46" s="19">
        <f>'Nominal house prices'!H46</f>
        <v>27416.457760000001</v>
      </c>
      <c r="F46" s="75">
        <f>'Nominal construction costs'!H46</f>
        <v>28.8</v>
      </c>
      <c r="G46" s="19">
        <f>Transactions!H46</f>
        <v>342000</v>
      </c>
      <c r="H46" s="19">
        <f>'Private housing stock'!Y46</f>
        <v>15007.129133038272</v>
      </c>
      <c r="I46" s="75">
        <f>'Interest rate'!H46</f>
        <v>10.892934782608695</v>
      </c>
      <c r="J46" s="75">
        <f>'House price (income) deflator'!H46</f>
        <v>39.527526105894509</v>
      </c>
      <c r="K46" s="75">
        <f>'Construction cost deflator'!H46</f>
        <v>33.264600000000002</v>
      </c>
    </row>
    <row r="47" spans="2:11" x14ac:dyDescent="0.25">
      <c r="B47" s="5"/>
      <c r="C47" s="4" t="s">
        <v>3</v>
      </c>
      <c r="D47" s="19">
        <f>'House building'!H47</f>
        <v>32700</v>
      </c>
      <c r="E47" s="19">
        <f>'Nominal house prices'!H47</f>
        <v>27822.627499999999</v>
      </c>
      <c r="F47" s="75">
        <f>'Nominal construction costs'!H47</f>
        <v>29.1</v>
      </c>
      <c r="G47" s="19">
        <f>Transactions!H47</f>
        <v>339000</v>
      </c>
      <c r="H47" s="19">
        <f>'Private housing stock'!Y47</f>
        <v>15079.831814631607</v>
      </c>
      <c r="I47" s="75">
        <f>'Interest rate'!H47</f>
        <v>9.9673913043478262</v>
      </c>
      <c r="J47" s="75">
        <f>'House price (income) deflator'!H47</f>
        <v>39.998884530294298</v>
      </c>
      <c r="K47" s="75">
        <f>'Construction cost deflator'!H47</f>
        <v>33.768099999999997</v>
      </c>
    </row>
    <row r="48" spans="2:11" x14ac:dyDescent="0.25">
      <c r="B48" s="5">
        <v>1985</v>
      </c>
      <c r="C48" s="4" t="s">
        <v>0</v>
      </c>
      <c r="D48" s="19">
        <f>'House building'!H48</f>
        <v>33640</v>
      </c>
      <c r="E48" s="19">
        <f>'Nominal house prices'!H48</f>
        <v>27822.627499999999</v>
      </c>
      <c r="F48" s="75">
        <f>'Nominal construction costs'!H48</f>
        <v>29.5</v>
      </c>
      <c r="G48" s="19">
        <f>Transactions!H48</f>
        <v>303000</v>
      </c>
      <c r="H48" s="19">
        <f>'Private housing stock'!Y48</f>
        <v>15139</v>
      </c>
      <c r="I48" s="75">
        <f>'Interest rate'!H48</f>
        <v>12.847333333333344</v>
      </c>
      <c r="J48" s="75">
        <f>'House price (income) deflator'!H48</f>
        <v>40.285472524350396</v>
      </c>
      <c r="K48" s="75">
        <f>'Construction cost deflator'!H48</f>
        <v>33.829700000000003</v>
      </c>
    </row>
    <row r="49" spans="2:11" x14ac:dyDescent="0.25">
      <c r="B49" s="5"/>
      <c r="C49" s="4" t="s">
        <v>1</v>
      </c>
      <c r="D49" s="19">
        <f>'House building'!H49</f>
        <v>45460</v>
      </c>
      <c r="E49" s="19">
        <f>'Nominal house prices'!H49</f>
        <v>28838.051859999996</v>
      </c>
      <c r="F49" s="75">
        <f>'Nominal construction costs'!H49</f>
        <v>29.9</v>
      </c>
      <c r="G49" s="19">
        <f>Transactions!H49</f>
        <v>325500</v>
      </c>
      <c r="H49" s="19">
        <f>'Private housing stock'!Y49</f>
        <v>15193.672248214725</v>
      </c>
      <c r="I49" s="75">
        <f>'Interest rate'!H49</f>
        <v>12.478901098901108</v>
      </c>
      <c r="J49" s="75">
        <f>'House price (income) deflator'!H49</f>
        <v>40.113339092924768</v>
      </c>
      <c r="K49" s="75">
        <f>'Construction cost deflator'!H49</f>
        <v>34.7102</v>
      </c>
    </row>
    <row r="50" spans="2:11" x14ac:dyDescent="0.25">
      <c r="B50" s="5"/>
      <c r="C50" s="4" t="s">
        <v>2</v>
      </c>
      <c r="D50" s="19">
        <f>'House building'!H50</f>
        <v>44650</v>
      </c>
      <c r="E50" s="19">
        <f>'Nominal house prices'!H50</f>
        <v>29447.306479999999</v>
      </c>
      <c r="F50" s="75">
        <f>'Nominal construction costs'!H50</f>
        <v>30.4</v>
      </c>
      <c r="G50" s="19">
        <f>Transactions!H50</f>
        <v>346500</v>
      </c>
      <c r="H50" s="19">
        <f>'Private housing stock'!Y50</f>
        <v>15267.554543215956</v>
      </c>
      <c r="I50" s="75">
        <f>'Interest rate'!H50</f>
        <v>11.570217391304348</v>
      </c>
      <c r="J50" s="75">
        <f>'House price (income) deflator'!H50</f>
        <v>41.541899578911078</v>
      </c>
      <c r="K50" s="75">
        <f>'Construction cost deflator'!H50</f>
        <v>35.213700000000003</v>
      </c>
    </row>
    <row r="51" spans="2:11" x14ac:dyDescent="0.25">
      <c r="B51" s="5"/>
      <c r="C51" s="4" t="s">
        <v>3</v>
      </c>
      <c r="D51" s="19">
        <f>'House building'!H51</f>
        <v>38690</v>
      </c>
      <c r="E51" s="19">
        <f>'Nominal house prices'!H51</f>
        <v>30462.73084</v>
      </c>
      <c r="F51" s="75">
        <f>'Nominal construction costs'!H51</f>
        <v>31</v>
      </c>
      <c r="G51" s="19">
        <f>Transactions!H51</f>
        <v>331500</v>
      </c>
      <c r="H51" s="19">
        <f>'Private housing stock'!Y51</f>
        <v>15340.120413691209</v>
      </c>
      <c r="I51" s="75">
        <f>'Interest rate'!H51</f>
        <v>11.38</v>
      </c>
      <c r="J51" s="75">
        <f>'House price (income) deflator'!H51</f>
        <v>41.961900937570348</v>
      </c>
      <c r="K51" s="75">
        <f>'Construction cost deflator'!H51</f>
        <v>35.910400000000003</v>
      </c>
    </row>
    <row r="52" spans="2:11" x14ac:dyDescent="0.25">
      <c r="B52" s="5">
        <v>1986</v>
      </c>
      <c r="C52" s="4" t="s">
        <v>0</v>
      </c>
      <c r="D52" s="19">
        <f>'House building'!H52</f>
        <v>35890</v>
      </c>
      <c r="E52" s="19">
        <f>'Nominal house prices'!H52</f>
        <v>31071.98546</v>
      </c>
      <c r="F52" s="75">
        <f>'Nominal construction costs'!H52</f>
        <v>31.9</v>
      </c>
      <c r="G52" s="19">
        <f>Transactions!H52</f>
        <v>292500</v>
      </c>
      <c r="H52" s="19">
        <f>'Private housing stock'!Y52</f>
        <v>15403</v>
      </c>
      <c r="I52" s="75">
        <f>'Interest rate'!H52</f>
        <v>12.080000000000004</v>
      </c>
      <c r="J52" s="75">
        <f>'House price (income) deflator'!H52</f>
        <v>42.30237035254482</v>
      </c>
      <c r="K52" s="75">
        <f>'Construction cost deflator'!H52</f>
        <v>35.994900000000001</v>
      </c>
    </row>
    <row r="53" spans="2:11" x14ac:dyDescent="0.25">
      <c r="B53" s="5"/>
      <c r="C53" s="4" t="s">
        <v>1</v>
      </c>
      <c r="D53" s="19">
        <f>'House building'!H53</f>
        <v>50150</v>
      </c>
      <c r="E53" s="19">
        <f>'Nominal house prices'!H53</f>
        <v>32493.579559999998</v>
      </c>
      <c r="F53" s="75">
        <f>'Nominal construction costs'!H53</f>
        <v>32.4</v>
      </c>
      <c r="G53" s="19">
        <f>Transactions!H53</f>
        <v>313500</v>
      </c>
      <c r="H53" s="19">
        <f>'Private housing stock'!Y53</f>
        <v>15458.567395264117</v>
      </c>
      <c r="I53" s="75">
        <f>'Interest rate'!H53</f>
        <v>10.314065934065932</v>
      </c>
      <c r="J53" s="75">
        <f>'House price (income) deflator'!H53</f>
        <v>42.400727109566901</v>
      </c>
      <c r="K53" s="75">
        <f>'Construction cost deflator'!H53</f>
        <v>36.412799999999997</v>
      </c>
    </row>
    <row r="54" spans="2:11" x14ac:dyDescent="0.25">
      <c r="B54" s="5"/>
      <c r="C54" s="4" t="s">
        <v>2</v>
      </c>
      <c r="D54" s="19">
        <f>'House building'!H54</f>
        <v>49990</v>
      </c>
      <c r="E54" s="19">
        <f>'Nominal house prices'!H54</f>
        <v>33915.173669999996</v>
      </c>
      <c r="F54" s="75">
        <f>'Nominal construction costs'!H54</f>
        <v>33.200000000000003</v>
      </c>
      <c r="G54" s="19">
        <f>Transactions!H54</f>
        <v>374250</v>
      </c>
      <c r="H54" s="19">
        <f>'Private housing stock'!Y54</f>
        <v>15536.213114754099</v>
      </c>
      <c r="I54" s="75">
        <f>'Interest rate'!H54</f>
        <v>9.8799999999999972</v>
      </c>
      <c r="J54" s="75">
        <f>'House price (income) deflator'!H54</f>
        <v>43.174732516119889</v>
      </c>
      <c r="K54" s="75">
        <f>'Construction cost deflator'!H54</f>
        <v>36.857300000000002</v>
      </c>
    </row>
    <row r="55" spans="2:11" x14ac:dyDescent="0.25">
      <c r="B55" s="5"/>
      <c r="C55" s="4" t="s">
        <v>3</v>
      </c>
      <c r="D55" s="19">
        <f>'House building'!H55</f>
        <v>39650</v>
      </c>
      <c r="E55" s="19">
        <f>'Nominal house prices'!H55</f>
        <v>34930.598030000001</v>
      </c>
      <c r="F55" s="75">
        <f>'Nominal construction costs'!H55</f>
        <v>33.700000000000003</v>
      </c>
      <c r="G55" s="19">
        <f>Transactions!H55</f>
        <v>370500</v>
      </c>
      <c r="H55" s="19">
        <f>'Private housing stock'!Y55</f>
        <v>15613.611111111111</v>
      </c>
      <c r="I55" s="75">
        <f>'Interest rate'!H55</f>
        <v>10.727826086956519</v>
      </c>
      <c r="J55" s="75">
        <f>'House price (income) deflator'!H55</f>
        <v>44.080198773122831</v>
      </c>
      <c r="K55" s="75">
        <f>'Construction cost deflator'!H55</f>
        <v>37.418900000000001</v>
      </c>
    </row>
    <row r="56" spans="2:11" x14ac:dyDescent="0.25">
      <c r="B56" s="5">
        <v>1987</v>
      </c>
      <c r="C56" s="4" t="s">
        <v>0</v>
      </c>
      <c r="D56" s="19">
        <f>'House building'!H56</f>
        <v>44270</v>
      </c>
      <c r="E56" s="19">
        <f>'Nominal house prices'!H56</f>
        <v>35946.022389999998</v>
      </c>
      <c r="F56" s="75">
        <f>'Nominal construction costs'!H56</f>
        <v>34.6</v>
      </c>
      <c r="G56" s="19">
        <f>Transactions!H56</f>
        <v>321750</v>
      </c>
      <c r="H56" s="19">
        <f>'Private housing stock'!Y56</f>
        <v>15675</v>
      </c>
      <c r="I56" s="75">
        <f>'Interest rate'!H56</f>
        <v>10.674444444444442</v>
      </c>
      <c r="J56" s="75">
        <f>'House price (income) deflator'!H56</f>
        <v>44.71108323432383</v>
      </c>
      <c r="K56" s="75">
        <f>'Construction cost deflator'!H56</f>
        <v>37.869399999999999</v>
      </c>
    </row>
    <row r="57" spans="2:11" x14ac:dyDescent="0.25">
      <c r="B57" s="5"/>
      <c r="C57" s="4" t="s">
        <v>1</v>
      </c>
      <c r="D57" s="19">
        <f>'House building'!H57</f>
        <v>51080</v>
      </c>
      <c r="E57" s="19">
        <f>'Nominal house prices'!H57</f>
        <v>37570.701370000002</v>
      </c>
      <c r="F57" s="75">
        <f>'Nominal construction costs'!H57</f>
        <v>35.4</v>
      </c>
      <c r="G57" s="19">
        <f>Transactions!H57</f>
        <v>329250</v>
      </c>
      <c r="H57" s="19">
        <f>'Private housing stock'!Y57</f>
        <v>15774.055472108561</v>
      </c>
      <c r="I57" s="75">
        <f>'Interest rate'!H57</f>
        <v>9.2316483516483476</v>
      </c>
      <c r="J57" s="75">
        <f>'House price (income) deflator'!H57</f>
        <v>44.858318098720289</v>
      </c>
      <c r="K57" s="75">
        <f>'Construction cost deflator'!H57</f>
        <v>38.5077</v>
      </c>
    </row>
    <row r="58" spans="2:11" x14ac:dyDescent="0.25">
      <c r="B58" s="5"/>
      <c r="C58" s="4" t="s">
        <v>2</v>
      </c>
      <c r="D58" s="19">
        <f>'House building'!H58</f>
        <v>53200</v>
      </c>
      <c r="E58" s="19">
        <f>'Nominal house prices'!H58</f>
        <v>39398.465219999998</v>
      </c>
      <c r="F58" s="75">
        <f>'Nominal construction costs'!H58</f>
        <v>36.4</v>
      </c>
      <c r="G58" s="19">
        <f>Transactions!H58</f>
        <v>400500</v>
      </c>
      <c r="H58" s="19">
        <f>'Private housing stock'!Y58</f>
        <v>15888.348526441187</v>
      </c>
      <c r="I58" s="75">
        <f>'Interest rate'!H58</f>
        <v>9.4886956521739094</v>
      </c>
      <c r="J58" s="75">
        <f>'House price (income) deflator'!H58</f>
        <v>45.432282175976972</v>
      </c>
      <c r="K58" s="75">
        <f>'Construction cost deflator'!H58</f>
        <v>39.152500000000003</v>
      </c>
    </row>
    <row r="59" spans="2:11" x14ac:dyDescent="0.25">
      <c r="B59" s="5"/>
      <c r="C59" s="4" t="s">
        <v>3</v>
      </c>
      <c r="D59" s="19">
        <f>'House building'!H59</f>
        <v>44520</v>
      </c>
      <c r="E59" s="19">
        <f>'Nominal house prices'!H59</f>
        <v>41731.767119999997</v>
      </c>
      <c r="F59" s="75">
        <f>'Nominal construction costs'!H59</f>
        <v>37.5</v>
      </c>
      <c r="G59" s="19">
        <f>Transactions!H59</f>
        <v>401250</v>
      </c>
      <c r="H59" s="19">
        <f>'Private housing stock'!Y59</f>
        <v>16007.385145284094</v>
      </c>
      <c r="I59" s="75">
        <f>'Interest rate'!H59</f>
        <v>9.0267391304347786</v>
      </c>
      <c r="J59" s="75">
        <f>'House price (income) deflator'!H59</f>
        <v>45.487922374819703</v>
      </c>
      <c r="K59" s="75">
        <f>'Construction cost deflator'!H59</f>
        <v>39.565300000000001</v>
      </c>
    </row>
    <row r="60" spans="2:11" x14ac:dyDescent="0.25">
      <c r="B60" s="5">
        <v>1988</v>
      </c>
      <c r="C60" s="4" t="s">
        <v>0</v>
      </c>
      <c r="D60" s="19">
        <f>'House building'!H60</f>
        <v>51200</v>
      </c>
      <c r="E60" s="19">
        <f>'Nominal house prices'!H60</f>
        <v>43482.750350000002</v>
      </c>
      <c r="F60" s="75">
        <f>'Nominal construction costs'!H60</f>
        <v>38.6</v>
      </c>
      <c r="G60" s="19">
        <f>Transactions!H60</f>
        <v>365250</v>
      </c>
      <c r="H60" s="19">
        <f>'Private housing stock'!Y60</f>
        <v>16107</v>
      </c>
      <c r="I60" s="75">
        <f>'Interest rate'!H60</f>
        <v>8.6272527472527436</v>
      </c>
      <c r="J60" s="75">
        <f>'House price (income) deflator'!H60</f>
        <v>46.486187158493102</v>
      </c>
      <c r="K60" s="75">
        <f>'Construction cost deflator'!H60</f>
        <v>39.954999999999998</v>
      </c>
    </row>
    <row r="61" spans="2:11" x14ac:dyDescent="0.25">
      <c r="B61" s="5"/>
      <c r="C61" s="4" t="s">
        <v>1</v>
      </c>
      <c r="D61" s="19">
        <f>'House building'!H61</f>
        <v>61290</v>
      </c>
      <c r="E61" s="19">
        <f>'Nominal house prices'!H61</f>
        <v>46109.225209999997</v>
      </c>
      <c r="F61" s="75">
        <f>'Nominal construction costs'!H61</f>
        <v>40.1</v>
      </c>
      <c r="G61" s="19">
        <f>Transactions!H61</f>
        <v>388500</v>
      </c>
      <c r="H61" s="19">
        <f>'Private housing stock'!Y61</f>
        <v>16199.024998859541</v>
      </c>
      <c r="I61" s="75">
        <f>'Interest rate'!H61</f>
        <v>7.9789010989010958</v>
      </c>
      <c r="J61" s="75">
        <f>'House price (income) deflator'!H61</f>
        <v>47.584957107671244</v>
      </c>
      <c r="K61" s="75">
        <f>'Construction cost deflator'!H61</f>
        <v>40.776400000000002</v>
      </c>
    </row>
    <row r="62" spans="2:11" x14ac:dyDescent="0.25">
      <c r="B62" s="5"/>
      <c r="C62" s="4" t="s">
        <v>2</v>
      </c>
      <c r="D62" s="19">
        <f>'House building'!H62</f>
        <v>55970</v>
      </c>
      <c r="E62" s="19">
        <f>'Nominal house prices'!H62</f>
        <v>52237.66653000001</v>
      </c>
      <c r="F62" s="75">
        <f>'Nominal construction costs'!H62</f>
        <v>42.1</v>
      </c>
      <c r="G62" s="19">
        <f>Transactions!H62</f>
        <v>462000</v>
      </c>
      <c r="H62" s="19">
        <f>'Private housing stock'!Y62</f>
        <v>16309.185393002144</v>
      </c>
      <c r="I62" s="75">
        <f>'Interest rate'!H62</f>
        <v>10.901739130434779</v>
      </c>
      <c r="J62" s="75">
        <f>'House price (income) deflator'!H62</f>
        <v>47.887035654025944</v>
      </c>
      <c r="K62" s="75">
        <f>'Construction cost deflator'!H62</f>
        <v>41.627099999999999</v>
      </c>
    </row>
    <row r="63" spans="2:11" x14ac:dyDescent="0.25">
      <c r="B63" s="5"/>
      <c r="C63" s="4" t="s">
        <v>3</v>
      </c>
      <c r="D63" s="19">
        <f>'House building'!H63</f>
        <v>50750</v>
      </c>
      <c r="E63" s="19">
        <f>'Nominal house prices'!H63</f>
        <v>55447.802459999999</v>
      </c>
      <c r="F63" s="75">
        <f>'Nominal construction costs'!H63</f>
        <v>43.8</v>
      </c>
      <c r="G63" s="19">
        <f>Transactions!H63</f>
        <v>395250</v>
      </c>
      <c r="H63" s="19">
        <f>'Private housing stock'!Y63</f>
        <v>16409.783814606999</v>
      </c>
      <c r="I63" s="75">
        <f>'Interest rate'!H63</f>
        <v>12.282173913043486</v>
      </c>
      <c r="J63" s="75">
        <f>'House price (income) deflator'!H63</f>
        <v>48.233319850007106</v>
      </c>
      <c r="K63" s="75">
        <f>'Construction cost deflator'!H63</f>
        <v>42.632800000000003</v>
      </c>
    </row>
    <row r="64" spans="2:11" x14ac:dyDescent="0.25">
      <c r="B64" s="5">
        <v>1989</v>
      </c>
      <c r="C64" s="4" t="s">
        <v>0</v>
      </c>
      <c r="D64" s="19">
        <f>'House building'!H64</f>
        <v>46690</v>
      </c>
      <c r="E64" s="19">
        <f>'Nominal house prices'!H64</f>
        <v>56615.124619999995</v>
      </c>
      <c r="F64" s="75">
        <f>'Nominal construction costs'!H64</f>
        <v>45.5</v>
      </c>
      <c r="G64" s="19">
        <f>Transactions!H64</f>
        <v>305250</v>
      </c>
      <c r="H64" s="19">
        <f>'Private housing stock'!Y64</f>
        <v>16501</v>
      </c>
      <c r="I64" s="75">
        <f>'Interest rate'!H64</f>
        <v>12.880000000000011</v>
      </c>
      <c r="J64" s="75">
        <f>'House price (income) deflator'!H64</f>
        <v>49.014842320641762</v>
      </c>
      <c r="K64" s="75">
        <f>'Construction cost deflator'!H64</f>
        <v>43.347299999999997</v>
      </c>
    </row>
    <row r="65" spans="2:11" x14ac:dyDescent="0.25">
      <c r="B65" s="5"/>
      <c r="C65" s="4" t="s">
        <v>1</v>
      </c>
      <c r="D65" s="19">
        <f>'House building'!H65</f>
        <v>50010</v>
      </c>
      <c r="E65" s="19">
        <f>'Nominal house prices'!H65</f>
        <v>58657.938390000003</v>
      </c>
      <c r="F65" s="75">
        <f>'Nominal construction costs'!H65</f>
        <v>47.1</v>
      </c>
      <c r="G65" s="19">
        <f>Transactions!H65</f>
        <v>303750</v>
      </c>
      <c r="H65" s="19">
        <f>'Private housing stock'!Y65</f>
        <v>16611.228412913886</v>
      </c>
      <c r="I65" s="75">
        <f>'Interest rate'!H65</f>
        <v>13.233736263736263</v>
      </c>
      <c r="J65" s="75">
        <f>'House price (income) deflator'!H65</f>
        <v>50.257039656778048</v>
      </c>
      <c r="K65" s="75">
        <f>'Construction cost deflator'!H65</f>
        <v>43.999400000000001</v>
      </c>
    </row>
    <row r="66" spans="2:11" x14ac:dyDescent="0.25">
      <c r="B66" s="5"/>
      <c r="C66" s="4" t="s">
        <v>2</v>
      </c>
      <c r="D66" s="19">
        <f>'House building'!H66</f>
        <v>40280</v>
      </c>
      <c r="E66" s="19">
        <f>'Nominal house prices'!H66</f>
        <v>60700.75217</v>
      </c>
      <c r="F66" s="75">
        <f>'Nominal construction costs'!H66</f>
        <v>48.4</v>
      </c>
      <c r="G66" s="19">
        <f>Transactions!H66</f>
        <v>292500</v>
      </c>
      <c r="H66" s="19">
        <f>'Private housing stock'!Y66</f>
        <v>16729.294871038186</v>
      </c>
      <c r="I66" s="75">
        <f>'Interest rate'!H66</f>
        <v>13.759565217391305</v>
      </c>
      <c r="J66" s="75">
        <f>'House price (income) deflator'!H66</f>
        <v>50.682282488342715</v>
      </c>
      <c r="K66" s="75">
        <f>'Construction cost deflator'!H66</f>
        <v>45.210099999999997</v>
      </c>
    </row>
    <row r="67" spans="2:11" x14ac:dyDescent="0.25">
      <c r="B67" s="5"/>
      <c r="C67" s="4" t="s">
        <v>3</v>
      </c>
      <c r="D67" s="19">
        <f>'House building'!H67</f>
        <v>32450</v>
      </c>
      <c r="E67" s="19">
        <f>'Nominal house prices'!H67</f>
        <v>59533.430009999989</v>
      </c>
      <c r="F67" s="75">
        <f>'Nominal construction costs'!H67</f>
        <v>49.7</v>
      </c>
      <c r="G67" s="19">
        <f>Transactions!H67</f>
        <v>283500</v>
      </c>
      <c r="H67" s="19">
        <f>'Private housing stock'!Y67</f>
        <v>16824.390190639202</v>
      </c>
      <c r="I67" s="75">
        <f>'Interest rate'!H67</f>
        <v>14.818586956521763</v>
      </c>
      <c r="J67" s="75">
        <f>'House price (income) deflator'!H67</f>
        <v>51.771362404273802</v>
      </c>
      <c r="K67" s="75">
        <f>'Construction cost deflator'!H67</f>
        <v>46.138800000000003</v>
      </c>
    </row>
    <row r="68" spans="2:11" x14ac:dyDescent="0.25">
      <c r="B68" s="5">
        <v>1990</v>
      </c>
      <c r="C68" s="4" t="s">
        <v>0</v>
      </c>
      <c r="D68" s="19">
        <f>'House building'!H68</f>
        <v>35980</v>
      </c>
      <c r="E68" s="19">
        <f>'Nominal house prices'!H68</f>
        <v>58249.72479</v>
      </c>
      <c r="F68" s="75">
        <f>'Nominal construction costs'!H68</f>
        <v>50.9</v>
      </c>
      <c r="G68" s="19">
        <f>Transactions!H68</f>
        <v>258000</v>
      </c>
      <c r="H68" s="19">
        <f>'Private housing stock'!Y68</f>
        <v>16901</v>
      </c>
      <c r="I68" s="75">
        <f>'Interest rate'!H68</f>
        <v>14.880000000000024</v>
      </c>
      <c r="J68" s="75">
        <f>'House price (income) deflator'!H68</f>
        <v>53.120241174071722</v>
      </c>
      <c r="K68" s="75">
        <f>'Construction cost deflator'!H68</f>
        <v>46.918799999999997</v>
      </c>
    </row>
    <row r="69" spans="2:11" x14ac:dyDescent="0.25">
      <c r="B69" s="5"/>
      <c r="C69" s="4" t="s">
        <v>1</v>
      </c>
      <c r="D69" s="19">
        <f>'House building'!H69</f>
        <v>37390</v>
      </c>
      <c r="E69" s="19">
        <f>'Nominal house prices'!H69</f>
        <v>57726.00099</v>
      </c>
      <c r="F69" s="75">
        <f>'Nominal construction costs'!H69</f>
        <v>51.8</v>
      </c>
      <c r="G69" s="19">
        <f>Transactions!H69</f>
        <v>270000</v>
      </c>
      <c r="H69" s="19">
        <f>'Private housing stock'!Y69</f>
        <v>16985.272747172563</v>
      </c>
      <c r="I69" s="75">
        <f>'Interest rate'!H69</f>
        <v>14.880000000000024</v>
      </c>
      <c r="J69" s="75">
        <f>'House price (income) deflator'!H69</f>
        <v>53.578868126881986</v>
      </c>
      <c r="K69" s="75">
        <f>'Construction cost deflator'!H69</f>
        <v>47.891300000000001</v>
      </c>
    </row>
    <row r="70" spans="2:11" x14ac:dyDescent="0.25">
      <c r="B70" s="5"/>
      <c r="C70" s="4" t="s">
        <v>2</v>
      </c>
      <c r="D70" s="19">
        <f>'House building'!H70</f>
        <v>34350</v>
      </c>
      <c r="E70" s="19">
        <f>'Nominal house prices'!H70</f>
        <v>58773.448590000007</v>
      </c>
      <c r="F70" s="75">
        <f>'Nominal construction costs'!H70</f>
        <v>52.5</v>
      </c>
      <c r="G70" s="19">
        <f>Transactions!H70</f>
        <v>261750</v>
      </c>
      <c r="H70" s="19">
        <f>'Private housing stock'!Y70</f>
        <v>17072.84801167457</v>
      </c>
      <c r="I70" s="75">
        <f>'Interest rate'!H70</f>
        <v>14.880000000000026</v>
      </c>
      <c r="J70" s="75">
        <f>'House price (income) deflator'!H70</f>
        <v>54.560453830210875</v>
      </c>
      <c r="K70" s="75">
        <f>'Construction cost deflator'!H70</f>
        <v>49.366599999999998</v>
      </c>
    </row>
    <row r="71" spans="2:11" x14ac:dyDescent="0.25">
      <c r="B71" s="5"/>
      <c r="C71" s="4" t="s">
        <v>3</v>
      </c>
      <c r="D71" s="19">
        <f>'House building'!H71</f>
        <v>29330</v>
      </c>
      <c r="E71" s="19">
        <f>'Nominal house prices'!H71</f>
        <v>57900.57559</v>
      </c>
      <c r="F71" s="75">
        <f>'Nominal construction costs'!H71</f>
        <v>52.9</v>
      </c>
      <c r="G71" s="19">
        <f>Transactions!H71</f>
        <v>258750</v>
      </c>
      <c r="H71" s="19">
        <f>'Private housing stock'!Y71</f>
        <v>17153.302955125866</v>
      </c>
      <c r="I71" s="75">
        <f>'Interest rate'!H71</f>
        <v>13.956086956521759</v>
      </c>
      <c r="J71" s="75">
        <f>'House price (income) deflator'!H71</f>
        <v>55.599263559262354</v>
      </c>
      <c r="K71" s="75">
        <f>'Construction cost deflator'!H71</f>
        <v>49.666600000000003</v>
      </c>
    </row>
    <row r="72" spans="2:11" x14ac:dyDescent="0.25">
      <c r="B72" s="5">
        <v>1991</v>
      </c>
      <c r="C72" s="4" t="s">
        <v>0</v>
      </c>
      <c r="D72" s="19">
        <f>'House building'!H72</f>
        <v>32010</v>
      </c>
      <c r="E72" s="19">
        <f>'Nominal house prices'!H72</f>
        <v>57085.89411999999</v>
      </c>
      <c r="F72" s="75">
        <f>'Nominal construction costs'!H72</f>
        <v>53</v>
      </c>
      <c r="G72" s="19">
        <f>Transactions!H72</f>
        <v>235500</v>
      </c>
      <c r="H72" s="19">
        <f>'Private housing stock'!Y72</f>
        <v>17222</v>
      </c>
      <c r="I72" s="75">
        <f>'Interest rate'!H72</f>
        <v>13.380000000000015</v>
      </c>
      <c r="J72" s="75">
        <f>'House price (income) deflator'!H72</f>
        <v>56.912753028290872</v>
      </c>
      <c r="K72" s="75">
        <f>'Construction cost deflator'!H72</f>
        <v>50.812199999999997</v>
      </c>
    </row>
    <row r="73" spans="2:11" x14ac:dyDescent="0.25">
      <c r="B73" s="5"/>
      <c r="C73" s="4" t="s">
        <v>1</v>
      </c>
      <c r="D73" s="19">
        <f>'House building'!H73</f>
        <v>38350</v>
      </c>
      <c r="E73" s="19">
        <f>'Nominal house prices'!H73</f>
        <v>56853.127990000001</v>
      </c>
      <c r="F73" s="75">
        <f>'Nominal construction costs'!H73</f>
        <v>52.5</v>
      </c>
      <c r="G73" s="19">
        <f>Transactions!H73</f>
        <v>243000</v>
      </c>
      <c r="H73" s="19">
        <f>'Private housing stock'!Y73</f>
        <v>17145</v>
      </c>
      <c r="I73" s="75">
        <f>'Interest rate'!H73</f>
        <v>11.731648351648353</v>
      </c>
      <c r="J73" s="75">
        <f>'House price (income) deflator'!H73</f>
        <v>58.059920963146773</v>
      </c>
      <c r="K73" s="75">
        <f>'Construction cost deflator'!H73</f>
        <v>51.578699999999998</v>
      </c>
    </row>
    <row r="74" spans="2:11" x14ac:dyDescent="0.25">
      <c r="B74" s="5"/>
      <c r="C74" s="4" t="s">
        <v>2</v>
      </c>
      <c r="D74" s="19">
        <f>'House building'!H74</f>
        <v>36510</v>
      </c>
      <c r="E74" s="19">
        <f>'Nominal house prices'!H74</f>
        <v>57958.767119999997</v>
      </c>
      <c r="F74" s="75">
        <f>'Nominal construction costs'!H74</f>
        <v>52.4</v>
      </c>
      <c r="G74" s="19">
        <f>Transactions!H74</f>
        <v>264750</v>
      </c>
      <c r="H74" s="19">
        <f>'Private housing stock'!Y74</f>
        <v>17223.603323329186</v>
      </c>
      <c r="I74" s="75">
        <f>'Interest rate'!H74</f>
        <v>10.793043478260866</v>
      </c>
      <c r="J74" s="75">
        <f>'House price (income) deflator'!H74</f>
        <v>59.588417776571092</v>
      </c>
      <c r="K74" s="75">
        <f>'Construction cost deflator'!H74</f>
        <v>52.207099999999997</v>
      </c>
    </row>
    <row r="75" spans="2:11" x14ac:dyDescent="0.25">
      <c r="B75" s="5"/>
      <c r="C75" s="4" t="s">
        <v>3</v>
      </c>
      <c r="D75" s="19">
        <f>'House building'!H75</f>
        <v>29740</v>
      </c>
      <c r="E75" s="19">
        <f>'Nominal house prices'!H75</f>
        <v>57435.043319999997</v>
      </c>
      <c r="F75" s="75">
        <f>'Nominal construction costs'!H75</f>
        <v>52.1</v>
      </c>
      <c r="G75" s="19">
        <f>Transactions!H75</f>
        <v>236250</v>
      </c>
      <c r="H75" s="19">
        <f>'Private housing stock'!Y75</f>
        <v>17298.435326842839</v>
      </c>
      <c r="I75" s="75">
        <f>'Interest rate'!H75</f>
        <v>10.379999999999997</v>
      </c>
      <c r="J75" s="75">
        <f>'House price (income) deflator'!H75</f>
        <v>59.650119617224881</v>
      </c>
      <c r="K75" s="75">
        <f>'Construction cost deflator'!H75</f>
        <v>52.892600000000002</v>
      </c>
    </row>
    <row r="76" spans="2:11" x14ac:dyDescent="0.25">
      <c r="B76" s="5">
        <v>1992</v>
      </c>
      <c r="C76" s="4" t="s">
        <v>0</v>
      </c>
      <c r="D76" s="19">
        <f>'House building'!H76</f>
        <v>32040</v>
      </c>
      <c r="E76" s="19">
        <f>'Nominal house prices'!H76</f>
        <v>56503.978790000001</v>
      </c>
      <c r="F76" s="75">
        <f>'Nominal construction costs'!H76</f>
        <v>51.6</v>
      </c>
      <c r="G76" s="19">
        <f>Transactions!H76</f>
        <v>177000</v>
      </c>
      <c r="H76" s="19">
        <f>'Private housing stock'!Y76</f>
        <v>17359.391332991727</v>
      </c>
      <c r="I76" s="75">
        <f>'Interest rate'!H76</f>
        <v>10.379999999999997</v>
      </c>
      <c r="J76" s="75">
        <f>'House price (income) deflator'!H76</f>
        <v>60.505086631696074</v>
      </c>
      <c r="K76" s="75">
        <f>'Construction cost deflator'!H76</f>
        <v>53.4255</v>
      </c>
    </row>
    <row r="77" spans="2:11" x14ac:dyDescent="0.25">
      <c r="B77" s="5"/>
      <c r="C77" s="4" t="s">
        <v>1</v>
      </c>
      <c r="D77" s="19">
        <f>'House building'!H77</f>
        <v>34800</v>
      </c>
      <c r="E77" s="19">
        <f>'Nominal house prices'!H77</f>
        <v>55165.573530000001</v>
      </c>
      <c r="F77" s="75">
        <f>'Nominal construction costs'!H77</f>
        <v>51.1</v>
      </c>
      <c r="G77" s="19">
        <f>Transactions!H77</f>
        <v>198750</v>
      </c>
      <c r="H77" s="19">
        <f>'Private housing stock'!Y77</f>
        <v>17425</v>
      </c>
      <c r="I77" s="75">
        <f>'Interest rate'!H77</f>
        <v>10.066813186813183</v>
      </c>
      <c r="J77" s="75">
        <f>'House price (income) deflator'!H77</f>
        <v>60.681738993880444</v>
      </c>
      <c r="K77" s="75">
        <f>'Construction cost deflator'!H77</f>
        <v>53.718000000000004</v>
      </c>
    </row>
    <row r="78" spans="2:11" x14ac:dyDescent="0.25">
      <c r="B78" s="5"/>
      <c r="C78" s="4" t="s">
        <v>2</v>
      </c>
      <c r="D78" s="19">
        <f>'House building'!H78</f>
        <v>29770</v>
      </c>
      <c r="E78" s="19">
        <f>'Nominal house prices'!H78</f>
        <v>55328.303829999997</v>
      </c>
      <c r="F78" s="75">
        <f>'Nominal construction costs'!H78</f>
        <v>50.7</v>
      </c>
      <c r="G78" s="19">
        <f>Transactions!H78</f>
        <v>275250</v>
      </c>
      <c r="H78" s="19">
        <f>'Private housing stock'!Y78</f>
        <v>17488.135818908122</v>
      </c>
      <c r="I78" s="75">
        <f>'Interest rate'!H78</f>
        <v>9.7821739130434757</v>
      </c>
      <c r="J78" s="75">
        <f>'House price (income) deflator'!H78</f>
        <v>61.595082974800242</v>
      </c>
      <c r="K78" s="75">
        <f>'Construction cost deflator'!H78</f>
        <v>53.547699999999999</v>
      </c>
    </row>
    <row r="79" spans="2:11" x14ac:dyDescent="0.25">
      <c r="B79" s="5"/>
      <c r="C79" s="4" t="s">
        <v>3</v>
      </c>
      <c r="D79" s="19">
        <f>'House building'!H79</f>
        <v>23550</v>
      </c>
      <c r="E79" s="19">
        <f>'Nominal house prices'!H79</f>
        <v>53212.809860000001</v>
      </c>
      <c r="F79" s="75">
        <f>'Nominal construction costs'!H79</f>
        <v>50.2</v>
      </c>
      <c r="G79" s="19">
        <f>Transactions!H79</f>
        <v>201000</v>
      </c>
      <c r="H79" s="19">
        <f>'Private housing stock'!Y79</f>
        <v>17542.145972037284</v>
      </c>
      <c r="I79" s="75">
        <f>'Interest rate'!H79</f>
        <v>7.5104347826086926</v>
      </c>
      <c r="J79" s="75">
        <f>'House price (income) deflator'!H79</f>
        <v>61.781869231107869</v>
      </c>
      <c r="K79" s="75">
        <f>'Construction cost deflator'!H79</f>
        <v>54.103400000000001</v>
      </c>
    </row>
    <row r="80" spans="2:11" x14ac:dyDescent="0.25">
      <c r="B80" s="5">
        <v>1993</v>
      </c>
      <c r="C80" s="4" t="s">
        <v>0</v>
      </c>
      <c r="D80" s="19">
        <f>'House building'!H80</f>
        <v>34910</v>
      </c>
      <c r="E80" s="19">
        <f>'Nominal house prices'!H80</f>
        <v>53484.027039999994</v>
      </c>
      <c r="F80" s="75">
        <f>'Nominal construction costs'!H80</f>
        <v>48.7</v>
      </c>
      <c r="G80" s="19">
        <f>Transactions!H80</f>
        <v>179250</v>
      </c>
      <c r="H80" s="19">
        <f>'Private housing stock'!Y80</f>
        <v>17584.871504660452</v>
      </c>
      <c r="I80" s="75">
        <f>'Interest rate'!H80</f>
        <v>6.1577777777777749</v>
      </c>
      <c r="J80" s="75">
        <f>'House price (income) deflator'!H80</f>
        <v>62.037244674109104</v>
      </c>
      <c r="K80" s="75">
        <f>'Construction cost deflator'!H80</f>
        <v>55.116399999999999</v>
      </c>
    </row>
    <row r="81" spans="2:11" x14ac:dyDescent="0.25">
      <c r="B81" s="5"/>
      <c r="C81" s="4" t="s">
        <v>1</v>
      </c>
      <c r="D81" s="19">
        <f>'House building'!H81</f>
        <v>38690</v>
      </c>
      <c r="E81" s="19">
        <f>'Nominal house prices'!H81</f>
        <v>53917.974520000011</v>
      </c>
      <c r="F81" s="75">
        <f>'Nominal construction costs'!H81</f>
        <v>50.1</v>
      </c>
      <c r="G81" s="19">
        <f>Transactions!H81</f>
        <v>209250</v>
      </c>
      <c r="H81" s="19">
        <f>'Private housing stock'!Y81</f>
        <v>17643</v>
      </c>
      <c r="I81" s="75">
        <f>'Interest rate'!H81</f>
        <v>5.8799999999999963</v>
      </c>
      <c r="J81" s="75">
        <f>'House price (income) deflator'!H81</f>
        <v>68.235080812266887</v>
      </c>
      <c r="K81" s="75">
        <f>'Construction cost deflator'!H81</f>
        <v>54.987200000000001</v>
      </c>
    </row>
    <row r="82" spans="2:11" x14ac:dyDescent="0.25">
      <c r="B82" s="5"/>
      <c r="C82" s="4" t="s">
        <v>2</v>
      </c>
      <c r="D82" s="19">
        <f>'House building'!H82</f>
        <v>36000</v>
      </c>
      <c r="E82" s="19">
        <f>'Nominal house prices'!H82</f>
        <v>55057.086660000001</v>
      </c>
      <c r="F82" s="75">
        <f>'Nominal construction costs'!H82</f>
        <v>50.2</v>
      </c>
      <c r="G82" s="19">
        <f>Transactions!H82</f>
        <v>260250</v>
      </c>
      <c r="H82" s="19">
        <f>'Private housing stock'!Y82</f>
        <v>17707.799091618763</v>
      </c>
      <c r="I82" s="75">
        <f>'Interest rate'!H82</f>
        <v>5.8799999999999963</v>
      </c>
      <c r="J82" s="75">
        <f>'House price (income) deflator'!H82</f>
        <v>59.636069515012579</v>
      </c>
      <c r="K82" s="75">
        <f>'Construction cost deflator'!H82</f>
        <v>55.565100000000001</v>
      </c>
    </row>
    <row r="83" spans="2:11" x14ac:dyDescent="0.25">
      <c r="B83" s="5"/>
      <c r="C83" s="4" t="s">
        <v>3</v>
      </c>
      <c r="D83" s="19">
        <f>'House building'!H83</f>
        <v>31310</v>
      </c>
      <c r="E83" s="19">
        <f>'Nominal house prices'!H83</f>
        <v>54026.461389999989</v>
      </c>
      <c r="F83" s="75">
        <f>'Nominal construction costs'!H83</f>
        <v>51.5</v>
      </c>
      <c r="G83" s="19">
        <f>Transactions!H83</f>
        <v>248250</v>
      </c>
      <c r="H83" s="19">
        <f>'Private housing stock'!Y83</f>
        <v>17768.092896174865</v>
      </c>
      <c r="I83" s="75">
        <f>'Interest rate'!H83</f>
        <v>5.6680434782608664</v>
      </c>
      <c r="J83" s="75">
        <f>'House price (income) deflator'!H83</f>
        <v>64.176358155589995</v>
      </c>
      <c r="K83" s="75">
        <f>'Construction cost deflator'!H83</f>
        <v>55.924199999999999</v>
      </c>
    </row>
    <row r="84" spans="2:11" x14ac:dyDescent="0.25">
      <c r="B84" s="5">
        <v>1994</v>
      </c>
      <c r="C84" s="4" t="s">
        <v>0</v>
      </c>
      <c r="D84" s="19">
        <f>'House building'!H84</f>
        <v>39280</v>
      </c>
      <c r="E84" s="19">
        <f>'Nominal house prices'!H84</f>
        <v>54623.139170000002</v>
      </c>
      <c r="F84" s="75">
        <f>'Nominal construction costs'!H84</f>
        <v>52.3</v>
      </c>
      <c r="G84" s="19">
        <f>Transactions!H84</f>
        <v>224250</v>
      </c>
      <c r="H84" s="19">
        <f>'Private housing stock'!Y84</f>
        <v>17820.531757859626</v>
      </c>
      <c r="I84" s="75">
        <f>'Interest rate'!H84</f>
        <v>5.2355555555555524</v>
      </c>
      <c r="J84" s="75">
        <f>'House price (income) deflator'!H84</f>
        <v>63.883511728535638</v>
      </c>
      <c r="K84" s="75">
        <f>'Construction cost deflator'!H84</f>
        <v>56.262300000000003</v>
      </c>
    </row>
    <row r="85" spans="2:11" x14ac:dyDescent="0.25">
      <c r="B85" s="5"/>
      <c r="C85" s="4" t="s">
        <v>1</v>
      </c>
      <c r="D85" s="19">
        <f>'House building'!H85</f>
        <v>44380</v>
      </c>
      <c r="E85" s="19">
        <f>'Nominal house prices'!H85</f>
        <v>55382.547270000003</v>
      </c>
      <c r="F85" s="75">
        <f>'Nominal construction costs'!H85</f>
        <v>53.7</v>
      </c>
      <c r="G85" s="19">
        <f>Transactions!H85</f>
        <v>234000</v>
      </c>
      <c r="H85" s="19">
        <f>'Private housing stock'!Y85</f>
        <v>17879</v>
      </c>
      <c r="I85" s="75">
        <f>'Interest rate'!H85</f>
        <v>5.1299999999999963</v>
      </c>
      <c r="J85" s="75">
        <f>'House price (income) deflator'!H85</f>
        <v>63.614769520225778</v>
      </c>
      <c r="K85" s="75">
        <f>'Construction cost deflator'!H85</f>
        <v>56.113199999999999</v>
      </c>
    </row>
    <row r="86" spans="2:11" x14ac:dyDescent="0.25">
      <c r="B86" s="5"/>
      <c r="C86" s="4" t="s">
        <v>2</v>
      </c>
      <c r="D86" s="19">
        <f>'House building'!H86</f>
        <v>41020</v>
      </c>
      <c r="E86" s="19">
        <f>'Nominal house prices'!H86</f>
        <v>56304.685659999996</v>
      </c>
      <c r="F86" s="75">
        <f>'Nominal construction costs'!H86</f>
        <v>54.5</v>
      </c>
      <c r="G86" s="19">
        <f>Transactions!H86</f>
        <v>258750</v>
      </c>
      <c r="H86" s="19">
        <f>'Private housing stock'!Y86</f>
        <v>17947.405787983644</v>
      </c>
      <c r="I86" s="75">
        <f>'Interest rate'!H86</f>
        <v>5.2332608695652141</v>
      </c>
      <c r="J86" s="75">
        <f>'House price (income) deflator'!H86</f>
        <v>65.866474836595074</v>
      </c>
      <c r="K86" s="75">
        <f>'Construction cost deflator'!H86</f>
        <v>56.149900000000002</v>
      </c>
    </row>
    <row r="87" spans="2:11" x14ac:dyDescent="0.25">
      <c r="B87" s="5"/>
      <c r="C87" s="4" t="s">
        <v>3</v>
      </c>
      <c r="D87" s="19">
        <f>'House building'!H87</f>
        <v>34270</v>
      </c>
      <c r="E87" s="19">
        <f>'Nominal house prices'!H87</f>
        <v>55924.981619999999</v>
      </c>
      <c r="F87" s="75">
        <f>'Nominal construction costs'!H87</f>
        <v>54.6</v>
      </c>
      <c r="G87" s="19">
        <f>Transactions!H87</f>
        <v>239250</v>
      </c>
      <c r="H87" s="19">
        <f>'Private housing stock'!Y87</f>
        <v>18010.632588864424</v>
      </c>
      <c r="I87" s="75">
        <f>'Interest rate'!H87</f>
        <v>5.7658695652173879</v>
      </c>
      <c r="J87" s="75">
        <f>'House price (income) deflator'!H87</f>
        <v>64.126518021731684</v>
      </c>
      <c r="K87" s="75">
        <f>'Construction cost deflator'!H87</f>
        <v>57.021500000000003</v>
      </c>
    </row>
    <row r="88" spans="2:11" x14ac:dyDescent="0.25">
      <c r="B88" s="5">
        <v>1995</v>
      </c>
      <c r="C88" s="4" t="s">
        <v>0</v>
      </c>
      <c r="D88" s="19">
        <f>'House building'!H88</f>
        <v>35470</v>
      </c>
      <c r="E88" s="19">
        <f>'Nominal house prices'!H88</f>
        <v>55436.79069999999</v>
      </c>
      <c r="F88" s="75">
        <f>'Nominal construction costs'!H88</f>
        <v>53.9</v>
      </c>
      <c r="G88" s="19">
        <f>Transactions!H88</f>
        <v>213000</v>
      </c>
      <c r="H88" s="19">
        <f>'Private housing stock'!Y88</f>
        <v>18063.455174583203</v>
      </c>
      <c r="I88" s="75">
        <f>'Interest rate'!H88</f>
        <v>6.4522222222222192</v>
      </c>
      <c r="J88" s="75">
        <f>'House price (income) deflator'!H88</f>
        <v>65.461673277372938</v>
      </c>
      <c r="K88" s="75">
        <f>'Construction cost deflator'!H88</f>
        <v>57.204999999999998</v>
      </c>
    </row>
    <row r="89" spans="2:11" x14ac:dyDescent="0.25">
      <c r="B89" s="5"/>
      <c r="C89" s="4" t="s">
        <v>1</v>
      </c>
      <c r="D89" s="19">
        <f>'House building'!H89</f>
        <v>39370</v>
      </c>
      <c r="E89" s="19">
        <f>'Nominal house prices'!H89</f>
        <v>56033.468489999999</v>
      </c>
      <c r="F89" s="75">
        <f>'Nominal construction costs'!H89</f>
        <v>54</v>
      </c>
      <c r="G89" s="19">
        <f>Transactions!H89</f>
        <v>210000</v>
      </c>
      <c r="H89" s="19">
        <f>'Private housing stock'!Y89</f>
        <v>18124</v>
      </c>
      <c r="I89" s="75">
        <f>'Interest rate'!H89</f>
        <v>6.6299999999999963</v>
      </c>
      <c r="J89" s="75">
        <f>'House price (income) deflator'!H89</f>
        <v>66.403449457664493</v>
      </c>
      <c r="K89" s="75">
        <f>'Construction cost deflator'!H89</f>
        <v>57.764000000000003</v>
      </c>
    </row>
    <row r="90" spans="2:11" x14ac:dyDescent="0.25">
      <c r="B90" s="5"/>
      <c r="C90" s="4" t="s">
        <v>2</v>
      </c>
      <c r="D90" s="19">
        <f>'House building'!H90</f>
        <v>33890</v>
      </c>
      <c r="E90" s="19">
        <f>'Nominal house prices'!H90</f>
        <v>56521.659399999997</v>
      </c>
      <c r="F90" s="75">
        <f>'Nominal construction costs'!H90</f>
        <v>53.9</v>
      </c>
      <c r="G90" s="19">
        <f>Transactions!H90</f>
        <v>223500</v>
      </c>
      <c r="H90" s="19">
        <f>'Private housing stock'!Y90</f>
        <v>18188.584100356293</v>
      </c>
      <c r="I90" s="75">
        <f>'Interest rate'!H90</f>
        <v>6.6299999999999963</v>
      </c>
      <c r="J90" s="75">
        <f>'House price (income) deflator'!H90</f>
        <v>66.591072288828087</v>
      </c>
      <c r="K90" s="75">
        <f>'Construction cost deflator'!H90</f>
        <v>58.267299999999999</v>
      </c>
    </row>
    <row r="91" spans="2:11" x14ac:dyDescent="0.25">
      <c r="B91" s="5"/>
      <c r="C91" s="4" t="s">
        <v>3</v>
      </c>
      <c r="D91" s="19">
        <f>'House building'!H91</f>
        <v>25990</v>
      </c>
      <c r="E91" s="19">
        <f>'Nominal house prices'!H91</f>
        <v>55762.25131</v>
      </c>
      <c r="F91" s="75">
        <f>'Nominal construction costs'!H91</f>
        <v>54</v>
      </c>
      <c r="G91" s="19">
        <f>Transactions!H91</f>
        <v>204000</v>
      </c>
      <c r="H91" s="19">
        <f>'Private housing stock'!Y91</f>
        <v>18244.178592636581</v>
      </c>
      <c r="I91" s="75">
        <f>'Interest rate'!H91</f>
        <v>6.5783695652173879</v>
      </c>
      <c r="J91" s="75">
        <f>'House price (income) deflator'!H91</f>
        <v>67.670446482116446</v>
      </c>
      <c r="K91" s="75">
        <f>'Construction cost deflator'!H91</f>
        <v>58.8322</v>
      </c>
    </row>
    <row r="92" spans="2:11" x14ac:dyDescent="0.25">
      <c r="B92" s="5">
        <v>1996</v>
      </c>
      <c r="C92" s="4" t="s">
        <v>0</v>
      </c>
      <c r="D92" s="19">
        <f>'House building'!H92</f>
        <v>33280</v>
      </c>
      <c r="E92" s="19">
        <f>'Nominal house prices'!H92</f>
        <v>56575.902840000002</v>
      </c>
      <c r="F92" s="75">
        <f>'Nominal construction costs'!H92</f>
        <v>54</v>
      </c>
      <c r="G92" s="19">
        <f>Transactions!H92</f>
        <v>185027</v>
      </c>
      <c r="H92" s="19">
        <f>'Private housing stock'!Y92</f>
        <v>18286.813613420429</v>
      </c>
      <c r="I92" s="75">
        <f>'Interest rate'!H92</f>
        <v>6.1265934065934076</v>
      </c>
      <c r="J92" s="75">
        <f>'House price (income) deflator'!H92</f>
        <v>68.36973426195145</v>
      </c>
      <c r="K92" s="75">
        <f>'Construction cost deflator'!H92</f>
        <v>59.609000000000002</v>
      </c>
    </row>
    <row r="93" spans="2:11" x14ac:dyDescent="0.25">
      <c r="B93" s="5"/>
      <c r="C93" s="4" t="s">
        <v>1</v>
      </c>
      <c r="D93" s="19">
        <f>'House building'!H93</f>
        <v>37720</v>
      </c>
      <c r="E93" s="19">
        <f>'Nominal house prices'!H93</f>
        <v>56630.146269999997</v>
      </c>
      <c r="F93" s="75">
        <f>'Nominal construction costs'!H93</f>
        <v>55.2</v>
      </c>
      <c r="G93" s="19">
        <f>Transactions!H93</f>
        <v>238478</v>
      </c>
      <c r="H93" s="19">
        <f>'Private housing stock'!Y93</f>
        <v>18345</v>
      </c>
      <c r="I93" s="75">
        <f>'Interest rate'!H93</f>
        <v>5.871318681318682</v>
      </c>
      <c r="J93" s="75">
        <f>'House price (income) deflator'!H93</f>
        <v>69.315571680633212</v>
      </c>
      <c r="K93" s="75">
        <f>'Construction cost deflator'!H93</f>
        <v>60.756300000000003</v>
      </c>
    </row>
    <row r="94" spans="2:11" x14ac:dyDescent="0.25">
      <c r="B94" s="5"/>
      <c r="C94" s="4" t="s">
        <v>2</v>
      </c>
      <c r="D94" s="19">
        <f>'House building'!H94</f>
        <v>39160</v>
      </c>
      <c r="E94" s="19">
        <f>'Nominal house prices'!H94</f>
        <v>58854.127110000001</v>
      </c>
      <c r="F94" s="75">
        <f>'Nominal construction costs'!H94</f>
        <v>56.1</v>
      </c>
      <c r="G94" s="19">
        <f>Transactions!H94</f>
        <v>279743</v>
      </c>
      <c r="H94" s="19">
        <f>'Private housing stock'!Y94</f>
        <v>18404.803157172271</v>
      </c>
      <c r="I94" s="75">
        <f>'Interest rate'!H94</f>
        <v>5.69</v>
      </c>
      <c r="J94" s="75">
        <f>'House price (income) deflator'!H94</f>
        <v>70.186867667182625</v>
      </c>
      <c r="K94" s="75">
        <f>'Construction cost deflator'!H94</f>
        <v>61.250100000000003</v>
      </c>
    </row>
    <row r="95" spans="2:11" x14ac:dyDescent="0.25">
      <c r="B95" s="5"/>
      <c r="C95" s="4" t="s">
        <v>3</v>
      </c>
      <c r="D95" s="19">
        <f>'House building'!H95</f>
        <v>35540</v>
      </c>
      <c r="E95" s="19">
        <f>'Nominal house prices'!H95</f>
        <v>59884.752379999998</v>
      </c>
      <c r="F95" s="75">
        <f>'Nominal construction costs'!H95</f>
        <v>57.2</v>
      </c>
      <c r="G95" s="19">
        <f>Transactions!H95</f>
        <v>290748</v>
      </c>
      <c r="H95" s="19">
        <f>'Private housing stock'!Y95</f>
        <v>18466.889361702128</v>
      </c>
      <c r="I95" s="75">
        <f>'Interest rate'!H95</f>
        <v>5.8611956521739144</v>
      </c>
      <c r="J95" s="75">
        <f>'House price (income) deflator'!H95</f>
        <v>69.830287442719751</v>
      </c>
      <c r="K95" s="75">
        <f>'Construction cost deflator'!H95</f>
        <v>61.632199999999997</v>
      </c>
    </row>
    <row r="96" spans="2:11" x14ac:dyDescent="0.25">
      <c r="B96" s="5">
        <v>1997</v>
      </c>
      <c r="C96" s="4" t="s">
        <v>0</v>
      </c>
      <c r="D96" s="19">
        <f>'House building'!H96</f>
        <v>42510</v>
      </c>
      <c r="E96" s="19">
        <f>'Nominal house prices'!H96</f>
        <v>60698.403910000001</v>
      </c>
      <c r="F96" s="75">
        <f>'Nominal construction costs'!H96</f>
        <v>57.1</v>
      </c>
      <c r="G96" s="19">
        <f>Transactions!H96</f>
        <v>228736</v>
      </c>
      <c r="H96" s="19">
        <f>'Private housing stock'!Y96</f>
        <v>18523.236238846945</v>
      </c>
      <c r="I96" s="75">
        <f>'Interest rate'!H96</f>
        <v>5.94</v>
      </c>
      <c r="J96" s="75">
        <f>'House price (income) deflator'!H96</f>
        <v>70.223149207203576</v>
      </c>
      <c r="K96" s="75">
        <f>'Construction cost deflator'!H96</f>
        <v>60.5473</v>
      </c>
    </row>
    <row r="97" spans="2:11" x14ac:dyDescent="0.25">
      <c r="B97" s="5"/>
      <c r="C97" s="4" t="s">
        <v>1</v>
      </c>
      <c r="D97" s="19">
        <f>'House building'!H97</f>
        <v>42510</v>
      </c>
      <c r="E97" s="19">
        <f>'Nominal house prices'!H97</f>
        <v>61946.002919999999</v>
      </c>
      <c r="F97" s="75">
        <f>'Nominal construction costs'!H97</f>
        <v>58.4</v>
      </c>
      <c r="G97" s="19">
        <f>Transactions!H97</f>
        <v>289049</v>
      </c>
      <c r="H97" s="19">
        <f>'Private housing stock'!Y97</f>
        <v>18576</v>
      </c>
      <c r="I97" s="75">
        <f>'Interest rate'!H97</f>
        <v>6.1994505494505496</v>
      </c>
      <c r="J97" s="75">
        <f>'House price (income) deflator'!H97</f>
        <v>70.933905556518155</v>
      </c>
      <c r="K97" s="75">
        <f>'Construction cost deflator'!H97</f>
        <v>60.580399999999997</v>
      </c>
    </row>
    <row r="98" spans="2:11" x14ac:dyDescent="0.25">
      <c r="B98" s="5"/>
      <c r="C98" s="4" t="s">
        <v>2</v>
      </c>
      <c r="D98" s="19">
        <f>'House building'!H98</f>
        <v>41520</v>
      </c>
      <c r="E98" s="19">
        <f>'Nominal house prices'!H98</f>
        <v>65092.122150000003</v>
      </c>
      <c r="F98" s="75">
        <f>'Nominal construction costs'!H98</f>
        <v>59.4</v>
      </c>
      <c r="G98" s="19">
        <f>Transactions!H98</f>
        <v>316937</v>
      </c>
      <c r="H98" s="19">
        <f>'Private housing stock'!Y98</f>
        <v>18641.708887934736</v>
      </c>
      <c r="I98" s="75">
        <f>'Interest rate'!H98</f>
        <v>6.875</v>
      </c>
      <c r="J98" s="75">
        <f>'House price (income) deflator'!H98</f>
        <v>71.281798886462212</v>
      </c>
      <c r="K98" s="75">
        <f>'Construction cost deflator'!H98</f>
        <v>61.804600000000001</v>
      </c>
    </row>
    <row r="99" spans="2:11" x14ac:dyDescent="0.25">
      <c r="B99" s="5"/>
      <c r="C99" s="4" t="s">
        <v>3</v>
      </c>
      <c r="D99" s="19">
        <f>'House building'!H99</f>
        <v>36490</v>
      </c>
      <c r="E99" s="19">
        <f>'Nominal house prices'!H99</f>
        <v>64603.931239999998</v>
      </c>
      <c r="F99" s="75">
        <f>'Nominal construction costs'!H99</f>
        <v>60.2</v>
      </c>
      <c r="G99" s="19">
        <f>Transactions!H99</f>
        <v>289365</v>
      </c>
      <c r="H99" s="19">
        <f>'Private housing stock'!Y99</f>
        <v>18705.887505367111</v>
      </c>
      <c r="I99" s="75">
        <f>'Interest rate'!H99</f>
        <v>7.1521739130434785</v>
      </c>
      <c r="J99" s="75">
        <f>'House price (income) deflator'!H99</f>
        <v>70.984156660772641</v>
      </c>
      <c r="K99" s="75">
        <f>'Construction cost deflator'!H99</f>
        <v>60.704999999999998</v>
      </c>
    </row>
    <row r="100" spans="2:11" x14ac:dyDescent="0.25">
      <c r="B100" s="5">
        <v>1998</v>
      </c>
      <c r="C100" s="4" t="s">
        <v>0</v>
      </c>
      <c r="D100" s="19">
        <f>'House building'!H100</f>
        <v>41870</v>
      </c>
      <c r="E100" s="19">
        <f>'Nominal house prices'!H100</f>
        <v>66231.234289999993</v>
      </c>
      <c r="F100" s="75">
        <f>'Nominal construction costs'!H100</f>
        <v>61.7</v>
      </c>
      <c r="G100" s="19">
        <f>Transactions!H100</f>
        <v>218153</v>
      </c>
      <c r="H100" s="19">
        <f>'Private housing stock'!Y100</f>
        <v>18762.291112065264</v>
      </c>
      <c r="I100" s="75">
        <f>'Interest rate'!H100</f>
        <v>7.25</v>
      </c>
      <c r="J100" s="75">
        <f>'House price (income) deflator'!H100</f>
        <v>71.368126607633698</v>
      </c>
      <c r="K100" s="75">
        <f>'Construction cost deflator'!H100</f>
        <v>61.282600000000002</v>
      </c>
    </row>
    <row r="101" spans="2:11" x14ac:dyDescent="0.25">
      <c r="B101" s="5"/>
      <c r="C101" s="4" t="s">
        <v>1</v>
      </c>
      <c r="D101" s="19">
        <f>'House building'!H101</f>
        <v>40580</v>
      </c>
      <c r="E101" s="19">
        <f>'Nominal house prices'!H101</f>
        <v>69757.057579999993</v>
      </c>
      <c r="F101" s="75">
        <f>'Nominal construction costs'!H101</f>
        <v>62.1</v>
      </c>
      <c r="G101" s="19">
        <f>Transactions!H101</f>
        <v>279969</v>
      </c>
      <c r="H101" s="19">
        <f>'Private housing stock'!Y101</f>
        <v>18828</v>
      </c>
      <c r="I101" s="75">
        <f>'Interest rate'!H101</f>
        <v>7.3241758241758239</v>
      </c>
      <c r="J101" s="75">
        <f>'House price (income) deflator'!H101</f>
        <v>71.727902748377232</v>
      </c>
      <c r="K101" s="75">
        <f>'Construction cost deflator'!H101</f>
        <v>61.542299999999997</v>
      </c>
    </row>
    <row r="102" spans="2:11" x14ac:dyDescent="0.25">
      <c r="B102" s="5"/>
      <c r="C102" s="4" t="s">
        <v>2</v>
      </c>
      <c r="D102" s="19">
        <f>'House building'!H102</f>
        <v>40620</v>
      </c>
      <c r="E102" s="19">
        <f>'Nominal house prices'!H102</f>
        <v>72794.689939999997</v>
      </c>
      <c r="F102" s="75">
        <f>'Nominal construction costs'!H102</f>
        <v>62.7</v>
      </c>
      <c r="G102" s="19">
        <f>Transactions!H102</f>
        <v>302169</v>
      </c>
      <c r="H102" s="19">
        <f>'Private housing stock'!Y102</f>
        <v>18888.17278060731</v>
      </c>
      <c r="I102" s="75">
        <f>'Interest rate'!H102</f>
        <v>7.5</v>
      </c>
      <c r="J102" s="75">
        <f>'House price (income) deflator'!H102</f>
        <v>72.095248594421776</v>
      </c>
      <c r="K102" s="75">
        <f>'Construction cost deflator'!H102</f>
        <v>62.122199999999999</v>
      </c>
    </row>
    <row r="103" spans="2:11" x14ac:dyDescent="0.25">
      <c r="B103" s="5"/>
      <c r="C103" s="4" t="s">
        <v>3</v>
      </c>
      <c r="D103" s="19">
        <f>'House building'!H103</f>
        <v>32040</v>
      </c>
      <c r="E103" s="19">
        <f>'Nominal house prices'!H103</f>
        <v>72469.229330000002</v>
      </c>
      <c r="F103" s="75">
        <f>'Nominal construction costs'!H103</f>
        <v>64.7</v>
      </c>
      <c r="G103" s="19">
        <f>Transactions!H103</f>
        <v>277514</v>
      </c>
      <c r="H103" s="19">
        <f>'Private housing stock'!Y103</f>
        <v>18948.404873960415</v>
      </c>
      <c r="I103" s="75">
        <f>'Interest rate'!H103</f>
        <v>6.8396739130434785</v>
      </c>
      <c r="J103" s="75">
        <f>'House price (income) deflator'!H103</f>
        <v>72.340110583830381</v>
      </c>
      <c r="K103" s="75">
        <f>'Construction cost deflator'!H103</f>
        <v>62.464799999999997</v>
      </c>
    </row>
    <row r="104" spans="2:11" x14ac:dyDescent="0.25">
      <c r="B104" s="5">
        <v>1999</v>
      </c>
      <c r="C104" s="4" t="s">
        <v>0</v>
      </c>
      <c r="D104" s="19">
        <f>'House building'!H104</f>
        <v>40410</v>
      </c>
      <c r="E104" s="19">
        <f>'Nominal house prices'!H104</f>
        <v>72903.176810000004</v>
      </c>
      <c r="F104" s="75">
        <f>'Nominal construction costs'!H104</f>
        <v>66.900000000000006</v>
      </c>
      <c r="G104" s="19">
        <f>Transactions!H104</f>
        <v>223665</v>
      </c>
      <c r="H104" s="19">
        <f>'Private housing stock'!Y104</f>
        <v>18995.914383340856</v>
      </c>
      <c r="I104" s="75">
        <f>'Interest rate'!H104</f>
        <v>5.7055555555555557</v>
      </c>
      <c r="J104" s="75">
        <f>'House price (income) deflator'!H104</f>
        <v>72.789154609379125</v>
      </c>
      <c r="K104" s="75">
        <f>'Construction cost deflator'!H104</f>
        <v>62.558700000000002</v>
      </c>
    </row>
    <row r="105" spans="2:11" x14ac:dyDescent="0.25">
      <c r="B105" s="5"/>
      <c r="C105" s="4" t="s">
        <v>1</v>
      </c>
      <c r="D105" s="19">
        <f>'House building'!H105</f>
        <v>40780</v>
      </c>
      <c r="E105" s="19">
        <f>'Nominal house prices'!H105</f>
        <v>75995.052609999999</v>
      </c>
      <c r="F105" s="75">
        <f>'Nominal construction costs'!H105</f>
        <v>68.599999999999994</v>
      </c>
      <c r="G105" s="19">
        <f>Transactions!H105</f>
        <v>301576</v>
      </c>
      <c r="H105" s="19">
        <f>'Private housing stock'!Y105</f>
        <v>19058</v>
      </c>
      <c r="I105" s="75">
        <f>'Interest rate'!H105</f>
        <v>5.2115384615384617</v>
      </c>
      <c r="J105" s="75">
        <f>'House price (income) deflator'!H105</f>
        <v>72.434456614723985</v>
      </c>
      <c r="K105" s="75">
        <f>'Construction cost deflator'!H105</f>
        <v>62.740699999999997</v>
      </c>
    </row>
    <row r="106" spans="2:11" x14ac:dyDescent="0.25">
      <c r="B106" s="5"/>
      <c r="C106" s="4" t="s">
        <v>2</v>
      </c>
      <c r="D106" s="19">
        <f>'House building'!H106</f>
        <v>40410</v>
      </c>
      <c r="E106" s="19">
        <f>'Nominal house prices'!H106</f>
        <v>80443.014299999995</v>
      </c>
      <c r="F106" s="75">
        <f>'Nominal construction costs'!H106</f>
        <v>70.3</v>
      </c>
      <c r="G106" s="19">
        <f>Transactions!H106</f>
        <v>356486</v>
      </c>
      <c r="H106" s="19">
        <f>'Private housing stock'!Y106</f>
        <v>19120.479211697395</v>
      </c>
      <c r="I106" s="75">
        <f>'Interest rate'!H106</f>
        <v>5.0625</v>
      </c>
      <c r="J106" s="75">
        <f>'House price (income) deflator'!H106</f>
        <v>71.956504510967719</v>
      </c>
      <c r="K106" s="75">
        <f>'Construction cost deflator'!H106</f>
        <v>62.568600000000004</v>
      </c>
    </row>
    <row r="107" spans="2:11" x14ac:dyDescent="0.25">
      <c r="B107" s="5"/>
      <c r="C107" s="4" t="s">
        <v>3</v>
      </c>
      <c r="D107" s="19">
        <f>'House building'!H107</f>
        <v>35700</v>
      </c>
      <c r="E107" s="19">
        <f>'Nominal house prices'!H107</f>
        <v>82504.26483</v>
      </c>
      <c r="F107" s="75">
        <f>'Nominal construction costs'!H107</f>
        <v>71.099999999999994</v>
      </c>
      <c r="G107" s="19">
        <f>Transactions!H107</f>
        <v>339438</v>
      </c>
      <c r="H107" s="19">
        <f>'Private housing stock'!Y107</f>
        <v>19182.391544818816</v>
      </c>
      <c r="I107" s="75">
        <f>'Interest rate'!H107</f>
        <v>5.4076086956521738</v>
      </c>
      <c r="J107" s="75">
        <f>'House price (income) deflator'!H107</f>
        <v>72.250901777499124</v>
      </c>
      <c r="K107" s="75">
        <f>'Construction cost deflator'!H107</f>
        <v>63.078800000000001</v>
      </c>
    </row>
    <row r="108" spans="2:11" x14ac:dyDescent="0.25">
      <c r="B108" s="5">
        <v>2000</v>
      </c>
      <c r="C108" s="4" t="s">
        <v>0</v>
      </c>
      <c r="D108" s="19">
        <f>'House building'!H108</f>
        <v>42640</v>
      </c>
      <c r="E108" s="19">
        <f>'Nominal house prices'!H108</f>
        <v>84619.758799999996</v>
      </c>
      <c r="F108" s="75">
        <f>'Nominal construction costs'!H108</f>
        <v>71.400000000000006</v>
      </c>
      <c r="G108" s="19">
        <f>Transactions!H108</f>
        <v>254869</v>
      </c>
      <c r="H108" s="19">
        <f>'Private housing stock'!Y108</f>
        <v>19237.087666878575</v>
      </c>
      <c r="I108" s="75">
        <f>'Interest rate'!H108</f>
        <v>5.8571428571428568</v>
      </c>
      <c r="J108" s="75">
        <f>'House price (income) deflator'!H108</f>
        <v>72.596570805017976</v>
      </c>
      <c r="K108" s="75">
        <f>'Construction cost deflator'!H108</f>
        <v>63.430300000000003</v>
      </c>
    </row>
    <row r="109" spans="2:11" x14ac:dyDescent="0.25">
      <c r="B109" s="5"/>
      <c r="C109" s="4" t="s">
        <v>1</v>
      </c>
      <c r="D109" s="19">
        <f>'House building'!H109</f>
        <v>41730</v>
      </c>
      <c r="E109" s="19">
        <f>'Nominal house prices'!H109</f>
        <v>89230.450789999988</v>
      </c>
      <c r="F109" s="75">
        <f>'Nominal construction costs'!H109</f>
        <v>73.2</v>
      </c>
      <c r="G109" s="19">
        <f>Transactions!H109</f>
        <v>307589</v>
      </c>
      <c r="H109" s="19">
        <f>'Private housing stock'!Y109</f>
        <v>19299</v>
      </c>
      <c r="I109" s="75">
        <f>'Interest rate'!H109</f>
        <v>6</v>
      </c>
      <c r="J109" s="75">
        <f>'House price (income) deflator'!H109</f>
        <v>72.578398478663743</v>
      </c>
      <c r="K109" s="75">
        <f>'Construction cost deflator'!H109</f>
        <v>63.4285</v>
      </c>
    </row>
    <row r="110" spans="2:11" x14ac:dyDescent="0.25">
      <c r="B110" s="5"/>
      <c r="C110" s="4" t="s">
        <v>2</v>
      </c>
      <c r="D110" s="19">
        <f>'House building'!H110</f>
        <v>40250</v>
      </c>
      <c r="E110" s="19">
        <f>'Nominal house prices'!H110</f>
        <v>90911.997279999996</v>
      </c>
      <c r="F110" s="75">
        <f>'Nominal construction costs'!H110</f>
        <v>72.3</v>
      </c>
      <c r="G110" s="19">
        <f>Transactions!H110</f>
        <v>300317</v>
      </c>
      <c r="H110" s="19">
        <f>'Private housing stock'!Y110</f>
        <v>19358.031635802468</v>
      </c>
      <c r="I110" s="75">
        <f>'Interest rate'!H110</f>
        <v>6</v>
      </c>
      <c r="J110" s="75">
        <f>'House price (income) deflator'!H110</f>
        <v>72.696483674059522</v>
      </c>
      <c r="K110" s="75">
        <f>'Construction cost deflator'!H110</f>
        <v>63.705100000000002</v>
      </c>
    </row>
    <row r="111" spans="2:11" x14ac:dyDescent="0.25">
      <c r="B111" s="5"/>
      <c r="C111" s="4" t="s">
        <v>3</v>
      </c>
      <c r="D111" s="19">
        <f>'House building'!H111</f>
        <v>30900</v>
      </c>
      <c r="E111" s="19">
        <f>'Nominal house prices'!H111</f>
        <v>93624.169030000005</v>
      </c>
      <c r="F111" s="75">
        <f>'Nominal construction costs'!H111</f>
        <v>73.7</v>
      </c>
      <c r="G111" s="19">
        <f>Transactions!H111</f>
        <v>276762</v>
      </c>
      <c r="H111" s="19">
        <f>'Private housing stock'!Y111</f>
        <v>19414.96965020576</v>
      </c>
      <c r="I111" s="75">
        <f>'Interest rate'!H111</f>
        <v>6</v>
      </c>
      <c r="J111" s="75">
        <f>'House price (income) deflator'!H111</f>
        <v>72.488974373919291</v>
      </c>
      <c r="K111" s="75">
        <f>'Construction cost deflator'!H111</f>
        <v>63.681199999999997</v>
      </c>
    </row>
    <row r="112" spans="2:11" x14ac:dyDescent="0.25">
      <c r="B112" s="5">
        <v>2001</v>
      </c>
      <c r="C112" s="4" t="s">
        <v>0</v>
      </c>
      <c r="D112" s="19">
        <f>'House building'!H112</f>
        <v>39340</v>
      </c>
      <c r="E112" s="19">
        <f>'Nominal house prices'!H112</f>
        <v>93135.97812</v>
      </c>
      <c r="F112" s="75">
        <f>'Nominal construction costs'!H112</f>
        <v>76.400000000000006</v>
      </c>
      <c r="G112" s="19">
        <f>Transactions!H112</f>
        <v>237527</v>
      </c>
      <c r="H112" s="19">
        <f>'Private housing stock'!Y112</f>
        <v>19458.681069958846</v>
      </c>
      <c r="I112" s="75">
        <f>'Interest rate'!H112</f>
        <v>5.8555555555555552</v>
      </c>
      <c r="J112" s="75">
        <f>'House price (income) deflator'!H112</f>
        <v>73.33415764114018</v>
      </c>
      <c r="K112" s="75">
        <f>'Construction cost deflator'!H112</f>
        <v>64.165599999999998</v>
      </c>
    </row>
    <row r="113" spans="2:11" x14ac:dyDescent="0.25">
      <c r="B113" s="5"/>
      <c r="C113" s="4" t="s">
        <v>1</v>
      </c>
      <c r="D113" s="19">
        <f>'House building'!H113</f>
        <v>42940</v>
      </c>
      <c r="E113" s="19">
        <f>'Nominal house prices'!H113</f>
        <v>96499.071089999998</v>
      </c>
      <c r="F113" s="75">
        <f>'Nominal construction costs'!H113</f>
        <v>78.7</v>
      </c>
      <c r="G113" s="19">
        <f>Transactions!H113</f>
        <v>319982</v>
      </c>
      <c r="H113" s="19">
        <f>'Private housing stock'!Y113</f>
        <v>19519</v>
      </c>
      <c r="I113" s="75">
        <f>'Interest rate'!H113</f>
        <v>5.3681318681318677</v>
      </c>
      <c r="J113" s="75">
        <f>'House price (income) deflator'!H113</f>
        <v>73.316183802617445</v>
      </c>
      <c r="K113" s="75">
        <f>'Construction cost deflator'!H113</f>
        <v>64.844300000000004</v>
      </c>
    </row>
    <row r="114" spans="2:11" x14ac:dyDescent="0.25">
      <c r="B114" s="5"/>
      <c r="C114" s="4" t="s">
        <v>2</v>
      </c>
      <c r="D114" s="19">
        <f>'House building'!H114</f>
        <v>42880</v>
      </c>
      <c r="E114" s="19">
        <f>'Nominal house prices'!H114</f>
        <v>99970.650940000007</v>
      </c>
      <c r="F114" s="75">
        <f>'Nominal construction costs'!H114</f>
        <v>79.599999999999994</v>
      </c>
      <c r="G114" s="19">
        <f>Transactions!H114</f>
        <v>358008</v>
      </c>
      <c r="H114" s="19">
        <f>'Private housing stock'!Y114</f>
        <v>19579.618652008245</v>
      </c>
      <c r="I114" s="75">
        <f>'Interest rate'!H114</f>
        <v>5.0516304347826084</v>
      </c>
      <c r="J114" s="75">
        <f>'House price (income) deflator'!H114</f>
        <v>73.3508573807202</v>
      </c>
      <c r="K114" s="75">
        <f>'Construction cost deflator'!H114</f>
        <v>64.970200000000006</v>
      </c>
    </row>
    <row r="115" spans="2:11" x14ac:dyDescent="0.25">
      <c r="B115" s="5"/>
      <c r="C115" s="4" t="s">
        <v>3</v>
      </c>
      <c r="D115" s="19">
        <f>'House building'!H115</f>
        <v>34930</v>
      </c>
      <c r="E115" s="19">
        <f>'Nominal house prices'!H115</f>
        <v>97963.64383999999</v>
      </c>
      <c r="F115" s="75">
        <f>'Nominal construction costs'!H115</f>
        <v>81.8</v>
      </c>
      <c r="G115" s="19">
        <f>Transactions!H115</f>
        <v>321202</v>
      </c>
      <c r="H115" s="19">
        <f>'Private housing stock'!Y115</f>
        <v>19640.152601661564</v>
      </c>
      <c r="I115" s="75">
        <f>'Interest rate'!H115</f>
        <v>4.2146739130434785</v>
      </c>
      <c r="J115" s="75">
        <f>'House price (income) deflator'!H115</f>
        <v>72.551840047240873</v>
      </c>
      <c r="K115" s="75">
        <f>'Construction cost deflator'!H115</f>
        <v>64.8797</v>
      </c>
    </row>
    <row r="116" spans="2:11" x14ac:dyDescent="0.25">
      <c r="B116" s="5">
        <v>2002</v>
      </c>
      <c r="C116" s="4" t="s">
        <v>0</v>
      </c>
      <c r="D116" s="19">
        <f>'House building'!H116</f>
        <v>41520</v>
      </c>
      <c r="E116" s="19">
        <f>'Nominal house prices'!H116</f>
        <v>101164.00649666668</v>
      </c>
      <c r="F116" s="75">
        <f>'Nominal construction costs'!H116</f>
        <v>82.4</v>
      </c>
      <c r="G116" s="19">
        <f>Transactions!H116</f>
        <v>265452</v>
      </c>
      <c r="H116" s="19">
        <f>'Private housing stock'!Y116</f>
        <v>19689.463489287275</v>
      </c>
      <c r="I116" s="75">
        <f>'Interest rate'!H116</f>
        <v>4</v>
      </c>
      <c r="J116" s="75">
        <f>'House price (income) deflator'!H116</f>
        <v>73.264095626417856</v>
      </c>
      <c r="K116" s="75">
        <f>'Construction cost deflator'!H116</f>
        <v>65.5261</v>
      </c>
    </row>
    <row r="117" spans="2:11" x14ac:dyDescent="0.25">
      <c r="B117" s="5"/>
      <c r="C117" s="4" t="s">
        <v>1</v>
      </c>
      <c r="D117" s="19">
        <f>'House building'!H117</f>
        <v>42440</v>
      </c>
      <c r="E117" s="19">
        <f>'Nominal house prices'!H117</f>
        <v>109425.7337</v>
      </c>
      <c r="F117" s="75">
        <f>'Nominal construction costs'!H117</f>
        <v>87.6</v>
      </c>
      <c r="G117" s="19">
        <f>Transactions!H117</f>
        <v>351965</v>
      </c>
      <c r="H117" s="19">
        <f>'Private housing stock'!Y117</f>
        <v>19745</v>
      </c>
      <c r="I117" s="75">
        <f>'Interest rate'!H117</f>
        <v>4</v>
      </c>
      <c r="J117" s="75">
        <f>'House price (income) deflator'!H117</f>
        <v>73.433991309188869</v>
      </c>
      <c r="K117" s="75">
        <f>'Construction cost deflator'!H117</f>
        <v>66.012900000000002</v>
      </c>
    </row>
    <row r="118" spans="2:11" x14ac:dyDescent="0.25">
      <c r="B118" s="5"/>
      <c r="C118" s="4" t="s">
        <v>2</v>
      </c>
      <c r="D118" s="19">
        <f>'House building'!H118</f>
        <v>44270</v>
      </c>
      <c r="E118" s="19">
        <f>'Nominal house prices'!H118</f>
        <v>116844.42753333335</v>
      </c>
      <c r="F118" s="75">
        <f>'Nominal construction costs'!H118</f>
        <v>87</v>
      </c>
      <c r="G118" s="19">
        <f>Transactions!H118</f>
        <v>375381</v>
      </c>
      <c r="H118" s="19">
        <f>'Private housing stock'!Y118</f>
        <v>19825.887477092241</v>
      </c>
      <c r="I118" s="75">
        <f>'Interest rate'!H118</f>
        <v>4</v>
      </c>
      <c r="J118" s="75">
        <f>'House price (income) deflator'!H118</f>
        <v>73.531360300034805</v>
      </c>
      <c r="K118" s="75">
        <f>'Construction cost deflator'!H118</f>
        <v>66.277900000000002</v>
      </c>
    </row>
    <row r="119" spans="2:11" x14ac:dyDescent="0.25">
      <c r="B119" s="5"/>
      <c r="C119" s="4" t="s">
        <v>3</v>
      </c>
      <c r="D119" s="19">
        <f>'House building'!H119</f>
        <v>35470</v>
      </c>
      <c r="E119" s="19">
        <f>'Nominal house prices'!H119</f>
        <v>122644.49723333334</v>
      </c>
      <c r="F119" s="75">
        <f>'Nominal construction costs'!H119</f>
        <v>88</v>
      </c>
      <c r="G119" s="19">
        <f>Transactions!H119</f>
        <v>334638</v>
      </c>
      <c r="H119" s="19">
        <f>'Private housing stock'!Y119</f>
        <v>19910.262797800857</v>
      </c>
      <c r="I119" s="75">
        <f>'Interest rate'!H119</f>
        <v>4</v>
      </c>
      <c r="J119" s="75">
        <f>'House price (income) deflator'!H119</f>
        <v>74.073714876140954</v>
      </c>
      <c r="K119" s="75">
        <f>'Construction cost deflator'!H119</f>
        <v>66.787400000000005</v>
      </c>
    </row>
    <row r="120" spans="2:11" x14ac:dyDescent="0.25">
      <c r="B120" s="5">
        <v>2003</v>
      </c>
      <c r="C120" s="4" t="s">
        <v>0</v>
      </c>
      <c r="D120" s="19">
        <f>'House building'!H120</f>
        <v>44100</v>
      </c>
      <c r="E120" s="19">
        <f>'Nominal house prices'!H120</f>
        <v>124836.38403333334</v>
      </c>
      <c r="F120" s="75">
        <f>'Nominal construction costs'!H120</f>
        <v>88.6</v>
      </c>
      <c r="G120" s="19">
        <f>Transactions!H120</f>
        <v>227137</v>
      </c>
      <c r="H120" s="19">
        <f>'Private housing stock'!Y120</f>
        <v>19977.865974343313</v>
      </c>
      <c r="I120" s="75">
        <f>'Interest rate'!H120</f>
        <v>3.85</v>
      </c>
      <c r="J120" s="75">
        <f>'House price (income) deflator'!H120</f>
        <v>74.144167468007993</v>
      </c>
      <c r="K120" s="75">
        <f>'Construction cost deflator'!H120</f>
        <v>67.094499999999996</v>
      </c>
    </row>
    <row r="121" spans="2:11" x14ac:dyDescent="0.25">
      <c r="B121" s="5"/>
      <c r="C121" s="4" t="s">
        <v>1</v>
      </c>
      <c r="D121" s="19">
        <f>'House building'!H121</f>
        <v>45630</v>
      </c>
      <c r="E121" s="19">
        <f>'Nominal house prices'!H121</f>
        <v>128680.61629999999</v>
      </c>
      <c r="F121" s="75">
        <f>'Nominal construction costs'!H121</f>
        <v>90.2</v>
      </c>
      <c r="G121" s="19">
        <f>Transactions!H121</f>
        <v>283270</v>
      </c>
      <c r="H121" s="19">
        <f>'Private housing stock'!Y121</f>
        <v>20057</v>
      </c>
      <c r="I121" s="75">
        <f>'Interest rate'!H121</f>
        <v>3.75</v>
      </c>
      <c r="J121" s="75">
        <f>'House price (income) deflator'!H121</f>
        <v>74.169721367232555</v>
      </c>
      <c r="K121" s="75">
        <f>'Construction cost deflator'!H121</f>
        <v>67.826800000000006</v>
      </c>
    </row>
    <row r="122" spans="2:11" x14ac:dyDescent="0.25">
      <c r="B122" s="5"/>
      <c r="C122" s="4" t="s">
        <v>2</v>
      </c>
      <c r="D122" s="19">
        <f>'House building'!H122</f>
        <v>44930</v>
      </c>
      <c r="E122" s="19">
        <f>'Nominal house prices'!H122</f>
        <v>132221.35649999999</v>
      </c>
      <c r="F122" s="75">
        <f>'Nominal construction costs'!H122</f>
        <v>91.3</v>
      </c>
      <c r="G122" s="19">
        <f>Transactions!H122</f>
        <v>337391</v>
      </c>
      <c r="H122" s="19">
        <f>'Private housing stock'!Y122</f>
        <v>20139.19278344639</v>
      </c>
      <c r="I122" s="75">
        <f>'Interest rate'!H122</f>
        <v>3.5244565217391304</v>
      </c>
      <c r="J122" s="75">
        <f>'House price (income) deflator'!H122</f>
        <v>74.670829225544963</v>
      </c>
      <c r="K122" s="75">
        <f>'Construction cost deflator'!H122</f>
        <v>68.126099999999994</v>
      </c>
    </row>
    <row r="123" spans="2:11" x14ac:dyDescent="0.25">
      <c r="B123" s="5"/>
      <c r="C123" s="4" t="s">
        <v>3</v>
      </c>
      <c r="D123" s="19">
        <f>'House building'!H123</f>
        <v>40770</v>
      </c>
      <c r="E123" s="19">
        <f>'Nominal house prices'!H123</f>
        <v>134919.06336666667</v>
      </c>
      <c r="F123" s="75">
        <f>'Nominal construction costs'!H123</f>
        <v>92</v>
      </c>
      <c r="G123" s="19">
        <f>Transactions!H123</f>
        <v>363269</v>
      </c>
      <c r="H123" s="19">
        <f>'Private housing stock'!Y123</f>
        <v>20220.124665108589</v>
      </c>
      <c r="I123" s="75">
        <f>'Interest rate'!H123</f>
        <v>3.652173913043478</v>
      </c>
      <c r="J123" s="75">
        <f>'House price (income) deflator'!H123</f>
        <v>75.05925388802909</v>
      </c>
      <c r="K123" s="75">
        <f>'Construction cost deflator'!H123</f>
        <v>68.219800000000006</v>
      </c>
    </row>
    <row r="124" spans="2:11" x14ac:dyDescent="0.25">
      <c r="B124" s="5">
        <v>2004</v>
      </c>
      <c r="C124" s="4" t="s">
        <v>0</v>
      </c>
      <c r="D124" s="19">
        <f>'House building'!H124</f>
        <v>46340</v>
      </c>
      <c r="E124" s="19">
        <f>'Nominal house prices'!H124</f>
        <v>136200.47409999999</v>
      </c>
      <c r="F124" s="75">
        <f>'Nominal construction costs'!H124</f>
        <v>92.7</v>
      </c>
      <c r="G124" s="19">
        <f>Transactions!H124</f>
        <v>285822</v>
      </c>
      <c r="H124" s="19">
        <f>'Private housing stock'!Y124</f>
        <v>20293.563187596192</v>
      </c>
      <c r="I124" s="75">
        <f>'Interest rate'!H124</f>
        <v>3.9038461538461537</v>
      </c>
      <c r="J124" s="75">
        <f>'House price (income) deflator'!H124</f>
        <v>75.31350525653697</v>
      </c>
      <c r="K124" s="75">
        <f>'Construction cost deflator'!H124</f>
        <v>68.488200000000006</v>
      </c>
    </row>
    <row r="125" spans="2:11" x14ac:dyDescent="0.25">
      <c r="B125" s="5"/>
      <c r="C125" s="4" t="s">
        <v>1</v>
      </c>
      <c r="D125" s="19">
        <f>'House building'!H125</f>
        <v>51200</v>
      </c>
      <c r="E125" s="19">
        <f>'Nominal house prices'!H125</f>
        <v>144124.98796666667</v>
      </c>
      <c r="F125" s="75">
        <f>'Nominal construction costs'!H125</f>
        <v>93.7</v>
      </c>
      <c r="G125" s="19">
        <f>Transactions!H125</f>
        <v>352582</v>
      </c>
      <c r="H125" s="19">
        <f>'Private housing stock'!Y125</f>
        <v>20373</v>
      </c>
      <c r="I125" s="75">
        <f>'Interest rate'!H125</f>
        <v>4.2115384615384617</v>
      </c>
      <c r="J125" s="75">
        <f>'House price (income) deflator'!H125</f>
        <v>75.688534405337222</v>
      </c>
      <c r="K125" s="75">
        <f>'Construction cost deflator'!H125</f>
        <v>69.543199999999999</v>
      </c>
    </row>
    <row r="126" spans="2:11" x14ac:dyDescent="0.25">
      <c r="B126" s="5"/>
      <c r="C126" s="4" t="s">
        <v>2</v>
      </c>
      <c r="D126" s="19">
        <f>'House building'!H126</f>
        <v>49940</v>
      </c>
      <c r="E126" s="19">
        <f>'Nominal house prices'!H126</f>
        <v>150565.76300000001</v>
      </c>
      <c r="F126" s="75">
        <f>'Nominal construction costs'!H126</f>
        <v>94.9</v>
      </c>
      <c r="G126" s="19">
        <f>Transactions!H126</f>
        <v>333895</v>
      </c>
      <c r="H126" s="19">
        <f>'Private housing stock'!Y126</f>
        <v>20455.855782960494</v>
      </c>
      <c r="I126" s="75">
        <f>'Interest rate'!H126</f>
        <v>4.6548913043478262</v>
      </c>
      <c r="J126" s="75">
        <f>'House price (income) deflator'!H126</f>
        <v>76.053025292413693</v>
      </c>
      <c r="K126" s="75">
        <f>'Construction cost deflator'!H126</f>
        <v>69.648099999999999</v>
      </c>
    </row>
    <row r="127" spans="2:11" x14ac:dyDescent="0.25">
      <c r="B127" s="5"/>
      <c r="C127" s="4" t="s">
        <v>3</v>
      </c>
      <c r="D127" s="19">
        <f>'House building'!H127</f>
        <v>41610</v>
      </c>
      <c r="E127" s="19">
        <f>'Nominal house prices'!H127</f>
        <v>151543.68176666668</v>
      </c>
      <c r="F127" s="75">
        <f>'Nominal construction costs'!H127</f>
        <v>95.9</v>
      </c>
      <c r="G127" s="19">
        <f>Transactions!H127</f>
        <v>255532</v>
      </c>
      <c r="H127" s="19">
        <f>'Private housing stock'!Y127</f>
        <v>20536.672536887196</v>
      </c>
      <c r="I127" s="75">
        <f>'Interest rate'!H127</f>
        <v>4.75</v>
      </c>
      <c r="J127" s="75">
        <f>'House price (income) deflator'!H127</f>
        <v>76.492106887732604</v>
      </c>
      <c r="K127" s="75">
        <f>'Construction cost deflator'!H127</f>
        <v>70.789299999999997</v>
      </c>
    </row>
    <row r="128" spans="2:11" x14ac:dyDescent="0.25">
      <c r="B128" s="5">
        <v>2005</v>
      </c>
      <c r="C128" s="4" t="s">
        <v>0</v>
      </c>
      <c r="D128" s="19">
        <f>'House building'!H128</f>
        <v>43260</v>
      </c>
      <c r="E128" s="19">
        <f>'Nominal house prices'!H128</f>
        <v>150948.22530000002</v>
      </c>
      <c r="F128" s="75">
        <f>'Nominal construction costs'!H128</f>
        <v>97.3</v>
      </c>
      <c r="G128" s="19">
        <f>Transactions!H128</f>
        <v>182159</v>
      </c>
      <c r="H128" s="19">
        <f>'Private housing stock'!Y128</f>
        <v>20604.009043312708</v>
      </c>
      <c r="I128" s="75">
        <f>'Interest rate'!H128</f>
        <v>4.75</v>
      </c>
      <c r="J128" s="75">
        <f>'House price (income) deflator'!H128</f>
        <v>76.842840201808983</v>
      </c>
      <c r="K128" s="75">
        <f>'Construction cost deflator'!H128</f>
        <v>70.9328</v>
      </c>
    </row>
    <row r="129" spans="2:11" x14ac:dyDescent="0.25">
      <c r="B129" s="5"/>
      <c r="C129" s="4" t="s">
        <v>1</v>
      </c>
      <c r="D129" s="19">
        <f>'House building'!H129</f>
        <v>48730</v>
      </c>
      <c r="E129" s="19">
        <f>'Nominal house prices'!H129</f>
        <v>155393.30220000001</v>
      </c>
      <c r="F129" s="75">
        <f>'Nominal construction costs'!H129</f>
        <v>99.3</v>
      </c>
      <c r="G129" s="19">
        <f>Transactions!H129</f>
        <v>256967</v>
      </c>
      <c r="H129" s="19">
        <f>'Private housing stock'!Y129</f>
        <v>20679</v>
      </c>
      <c r="I129" s="75">
        <f>'Interest rate'!H129</f>
        <v>4.75</v>
      </c>
      <c r="J129" s="75">
        <f>'House price (income) deflator'!H129</f>
        <v>77.039523754913091</v>
      </c>
      <c r="K129" s="75">
        <f>'Construction cost deflator'!H129</f>
        <v>71.756799999999998</v>
      </c>
    </row>
    <row r="130" spans="2:11" x14ac:dyDescent="0.25">
      <c r="B130" s="5"/>
      <c r="C130" s="4" t="s">
        <v>2</v>
      </c>
      <c r="D130" s="19">
        <f>'House building'!H130</f>
        <v>47310</v>
      </c>
      <c r="E130" s="19">
        <f>'Nominal house prices'!H130</f>
        <v>159133.37726666665</v>
      </c>
      <c r="F130" s="75">
        <f>'Nominal construction costs'!H130</f>
        <v>101.2</v>
      </c>
      <c r="G130" s="19">
        <f>Transactions!H130</f>
        <v>293065</v>
      </c>
      <c r="H130" s="19">
        <f>'Private housing stock'!Y130</f>
        <v>20749.136211897334</v>
      </c>
      <c r="I130" s="75">
        <f>'Interest rate'!H130</f>
        <v>4.5923913043478262</v>
      </c>
      <c r="J130" s="75">
        <f>'House price (income) deflator'!H130</f>
        <v>77.498292973949745</v>
      </c>
      <c r="K130" s="75">
        <f>'Construction cost deflator'!H130</f>
        <v>71.995099999999994</v>
      </c>
    </row>
    <row r="131" spans="2:11" x14ac:dyDescent="0.25">
      <c r="B131" s="5"/>
      <c r="C131" s="4" t="s">
        <v>3</v>
      </c>
      <c r="D131" s="19">
        <f>'House building'!H131</f>
        <v>43430</v>
      </c>
      <c r="E131" s="19">
        <f>'Nominal house prices'!H131</f>
        <v>159470.27823333335</v>
      </c>
      <c r="F131" s="75">
        <f>'Nominal construction costs'!H131</f>
        <v>102.3</v>
      </c>
      <c r="G131" s="19">
        <f>Transactions!H131</f>
        <v>289162</v>
      </c>
      <c r="H131" s="19">
        <f>'Private housing stock'!Y131</f>
        <v>20817.228643353581</v>
      </c>
      <c r="I131" s="75">
        <f>'Interest rate'!H131</f>
        <v>4.5</v>
      </c>
      <c r="J131" s="75">
        <f>'House price (income) deflator'!H131</f>
        <v>78.229385415912361</v>
      </c>
      <c r="K131" s="75">
        <f>'Construction cost deflator'!H131</f>
        <v>72.162999999999997</v>
      </c>
    </row>
    <row r="132" spans="2:11" x14ac:dyDescent="0.25">
      <c r="B132" s="5">
        <v>2006</v>
      </c>
      <c r="C132" s="4" t="s">
        <v>0</v>
      </c>
      <c r="D132" s="19">
        <f>'House building'!H132</f>
        <v>50700</v>
      </c>
      <c r="E132" s="19">
        <f>'Nominal house prices'!H132</f>
        <v>160577.23403333334</v>
      </c>
      <c r="F132" s="75">
        <f>'Nominal construction costs'!H132</f>
        <v>104.5</v>
      </c>
      <c r="G132" s="19">
        <f>Transactions!H132</f>
        <v>255467</v>
      </c>
      <c r="H132" s="19">
        <f>'Private housing stock'!Y132</f>
        <v>20879.736660646857</v>
      </c>
      <c r="I132" s="75">
        <f>'Interest rate'!H132</f>
        <v>4.5</v>
      </c>
      <c r="J132" s="75">
        <f>'House price (income) deflator'!H132</f>
        <v>78.759952740535269</v>
      </c>
      <c r="K132" s="75">
        <f>'Construction cost deflator'!H132</f>
        <v>72.744799999999998</v>
      </c>
    </row>
    <row r="133" spans="2:11" x14ac:dyDescent="0.25">
      <c r="B133" s="5"/>
      <c r="C133" s="4" t="s">
        <v>1</v>
      </c>
      <c r="D133" s="19">
        <f>'House building'!H133</f>
        <v>49750</v>
      </c>
      <c r="E133" s="19">
        <f>'Nominal house prices'!H133</f>
        <v>166610.5273333333</v>
      </c>
      <c r="F133" s="75">
        <f>'Nominal construction costs'!H133</f>
        <v>104.5</v>
      </c>
      <c r="G133" s="19">
        <f>Transactions!H133</f>
        <v>318101</v>
      </c>
      <c r="H133" s="19">
        <f>'Private housing stock'!Y133</f>
        <v>20942</v>
      </c>
      <c r="I133" s="75">
        <f>'Interest rate'!H133</f>
        <v>4.5</v>
      </c>
      <c r="J133" s="75">
        <f>'House price (income) deflator'!H133</f>
        <v>79.693168077388151</v>
      </c>
      <c r="K133" s="75">
        <f>'Construction cost deflator'!H133</f>
        <v>73.785799999999995</v>
      </c>
    </row>
    <row r="134" spans="2:11" x14ac:dyDescent="0.25">
      <c r="B134" s="5"/>
      <c r="C134" s="4" t="s">
        <v>2</v>
      </c>
      <c r="D134" s="19">
        <f>'House building'!H134</f>
        <v>43710</v>
      </c>
      <c r="E134" s="19">
        <f>'Nominal house prices'!H134</f>
        <v>171793.02473333335</v>
      </c>
      <c r="F134" s="75">
        <f>'Nominal construction costs'!H134</f>
        <v>104.7</v>
      </c>
      <c r="G134" s="19">
        <f>Transactions!H134</f>
        <v>352665</v>
      </c>
      <c r="H134" s="19">
        <f>'Private housing stock'!Y134</f>
        <v>21018.020997086791</v>
      </c>
      <c r="I134" s="75">
        <f>'Interest rate'!H134</f>
        <v>4.6603260869565215</v>
      </c>
      <c r="J134" s="75">
        <f>'House price (income) deflator'!H134</f>
        <v>80.427869031080604</v>
      </c>
      <c r="K134" s="75">
        <f>'Construction cost deflator'!H134</f>
        <v>74.557599999999994</v>
      </c>
    </row>
    <row r="135" spans="2:11" x14ac:dyDescent="0.25">
      <c r="B135" s="5"/>
      <c r="C135" s="4" t="s">
        <v>3</v>
      </c>
      <c r="D135" s="19">
        <f>'House building'!H135</f>
        <v>37770</v>
      </c>
      <c r="E135" s="19">
        <f>'Nominal house prices'!H135</f>
        <v>175071.07543333332</v>
      </c>
      <c r="F135" s="75">
        <f>'Nominal construction costs'!H135</f>
        <v>105.4</v>
      </c>
      <c r="G135" s="19">
        <f>Transactions!H135</f>
        <v>355502</v>
      </c>
      <c r="H135" s="19">
        <f>'Private housing stock'!Y135</f>
        <v>21084.812510306161</v>
      </c>
      <c r="I135" s="75">
        <f>'Interest rate'!H135</f>
        <v>4.8940217391304346</v>
      </c>
      <c r="J135" s="75">
        <f>'House price (income) deflator'!H135</f>
        <v>80.595918919833508</v>
      </c>
      <c r="K135" s="75">
        <f>'Construction cost deflator'!H135</f>
        <v>74.389099999999999</v>
      </c>
    </row>
    <row r="136" spans="2:11" x14ac:dyDescent="0.25">
      <c r="B136" s="5">
        <v>2007</v>
      </c>
      <c r="C136" s="4" t="s">
        <v>0</v>
      </c>
      <c r="D136" s="19">
        <f>'House building'!H136</f>
        <v>49670</v>
      </c>
      <c r="E136" s="19">
        <f>'Nominal house prices'!H136</f>
        <v>177551.80999999997</v>
      </c>
      <c r="F136" s="75">
        <f>'Nominal construction costs'!H136</f>
        <v>107</v>
      </c>
      <c r="G136" s="19">
        <f>Transactions!H136</f>
        <v>282548</v>
      </c>
      <c r="H136" s="19">
        <f>'Private housing stock'!Y136</f>
        <v>21142.527345682407</v>
      </c>
      <c r="I136" s="75">
        <f>'Interest rate'!H136</f>
        <v>5.2222222222222223</v>
      </c>
      <c r="J136" s="75">
        <f>'House price (income) deflator'!H136</f>
        <v>80.206256241574906</v>
      </c>
      <c r="K136" s="75">
        <f>'Construction cost deflator'!H136</f>
        <v>74.5685</v>
      </c>
    </row>
    <row r="137" spans="2:11" x14ac:dyDescent="0.25">
      <c r="B137" s="5"/>
      <c r="C137" s="4" t="s">
        <v>1</v>
      </c>
      <c r="D137" s="19">
        <f>'House building'!H137</f>
        <v>50010</v>
      </c>
      <c r="E137" s="19">
        <f>'Nominal house prices'!H137</f>
        <v>184307.0533</v>
      </c>
      <c r="F137" s="75">
        <f>'Nominal construction costs'!H137</f>
        <v>107.9</v>
      </c>
      <c r="G137" s="19">
        <f>Transactions!H137</f>
        <v>332124</v>
      </c>
      <c r="H137" s="19">
        <f>'Private housing stock'!Y137</f>
        <v>21220</v>
      </c>
      <c r="I137" s="75">
        <f>'Interest rate'!H137</f>
        <v>5.3928571428571432</v>
      </c>
      <c r="J137" s="75">
        <f>'House price (income) deflator'!H137</f>
        <v>81.242870028917835</v>
      </c>
      <c r="K137" s="75">
        <f>'Construction cost deflator'!H137</f>
        <v>75.900199999999998</v>
      </c>
    </row>
    <row r="138" spans="2:11" x14ac:dyDescent="0.25">
      <c r="B138" s="5"/>
      <c r="C138" s="4" t="s">
        <v>2</v>
      </c>
      <c r="D138" s="19">
        <f>'House building'!H138</f>
        <v>47430</v>
      </c>
      <c r="E138" s="19">
        <f>'Nominal house prices'!H138</f>
        <v>189502.86623333336</v>
      </c>
      <c r="F138" s="75">
        <f>'Nominal construction costs'!H138</f>
        <v>108.8</v>
      </c>
      <c r="G138" s="19">
        <f>Transactions!H138</f>
        <v>344866</v>
      </c>
      <c r="H138" s="19">
        <f>'Private housing stock'!Y138</f>
        <v>21292.771433074176</v>
      </c>
      <c r="I138" s="75">
        <f>'Interest rate'!H138</f>
        <v>5.7391304347826084</v>
      </c>
      <c r="J138" s="75">
        <f>'House price (income) deflator'!H138</f>
        <v>81.5199296159293</v>
      </c>
      <c r="K138" s="75">
        <f>'Construction cost deflator'!H138</f>
        <v>75.989099999999993</v>
      </c>
    </row>
    <row r="139" spans="2:11" x14ac:dyDescent="0.25">
      <c r="B139" s="5"/>
      <c r="C139" s="4" t="s">
        <v>3</v>
      </c>
      <c r="D139" s="19">
        <f>'House building'!H139</f>
        <v>43250</v>
      </c>
      <c r="E139" s="19">
        <f>'Nominal house prices'!H139</f>
        <v>189423.83753333334</v>
      </c>
      <c r="F139" s="75">
        <f>'Nominal construction costs'!H139</f>
        <v>109.9</v>
      </c>
      <c r="G139" s="19">
        <f>Transactions!H139</f>
        <v>288234</v>
      </c>
      <c r="H139" s="19">
        <f>'Private housing stock'!Y139</f>
        <v>21361.788611052743</v>
      </c>
      <c r="I139" s="75">
        <f>'Interest rate'!H139</f>
        <v>5.6793478260869561</v>
      </c>
      <c r="J139" s="75">
        <f>'House price (income) deflator'!H139</f>
        <v>81.857792846200823</v>
      </c>
      <c r="K139" s="75">
        <f>'Construction cost deflator'!H139</f>
        <v>75.897300000000001</v>
      </c>
    </row>
    <row r="140" spans="2:11" x14ac:dyDescent="0.25">
      <c r="B140" s="5">
        <v>2008</v>
      </c>
      <c r="C140" s="4" t="s">
        <v>0</v>
      </c>
      <c r="D140" s="19">
        <f>'House building'!H140</f>
        <v>35290</v>
      </c>
      <c r="E140" s="19">
        <f>'Nominal house prices'!H140</f>
        <v>184270.34803333331</v>
      </c>
      <c r="F140" s="75">
        <f>'Nominal construction costs'!H140</f>
        <v>112.2</v>
      </c>
      <c r="G140" s="19">
        <f>Transactions!H140</f>
        <v>181871</v>
      </c>
      <c r="H140" s="19">
        <f>'Private housing stock'!Y140</f>
        <v>21424.72331372137</v>
      </c>
      <c r="I140" s="75">
        <f>'Interest rate'!H140</f>
        <v>5.3516483516483513</v>
      </c>
      <c r="J140" s="75">
        <f>'House price (income) deflator'!H140</f>
        <v>83.021502558880783</v>
      </c>
      <c r="K140" s="75">
        <f>'Construction cost deflator'!H140</f>
        <v>76.539400000000001</v>
      </c>
    </row>
    <row r="141" spans="2:11" x14ac:dyDescent="0.25">
      <c r="B141" s="5"/>
      <c r="C141" s="4" t="s">
        <v>1</v>
      </c>
      <c r="D141" s="19">
        <f>'House building'!H141</f>
        <v>33170</v>
      </c>
      <c r="E141" s="19">
        <f>'Nominal house prices'!H141</f>
        <v>183081.9529</v>
      </c>
      <c r="F141" s="75">
        <f>'Nominal construction costs'!H141</f>
        <v>113.8</v>
      </c>
      <c r="G141" s="19">
        <f>Transactions!H141</f>
        <v>190990</v>
      </c>
      <c r="H141" s="19">
        <f>'Private housing stock'!Y141</f>
        <v>21497</v>
      </c>
      <c r="I141" s="75">
        <f>'Interest rate'!H141</f>
        <v>5.0247252747252746</v>
      </c>
      <c r="J141" s="75">
        <f>'House price (income) deflator'!H141</f>
        <v>84.171057034320313</v>
      </c>
      <c r="K141" s="75">
        <f>'Construction cost deflator'!H141</f>
        <v>77.630300000000005</v>
      </c>
    </row>
    <row r="142" spans="2:11" x14ac:dyDescent="0.25">
      <c r="B142" s="5"/>
      <c r="C142" s="4" t="s">
        <v>2</v>
      </c>
      <c r="D142" s="19">
        <f>'House building'!H142</f>
        <v>19740</v>
      </c>
      <c r="E142" s="19">
        <f>'Nominal house prices'!H142</f>
        <v>175865.69313333335</v>
      </c>
      <c r="F142" s="75">
        <f>'Nominal construction costs'!H142</f>
        <v>115.7</v>
      </c>
      <c r="G142" s="19">
        <f>Transactions!H142</f>
        <v>145427</v>
      </c>
      <c r="H142" s="19">
        <f>'Private housing stock'!Y142</f>
        <v>21560.141269687894</v>
      </c>
      <c r="I142" s="75">
        <f>'Interest rate'!H142</f>
        <v>5</v>
      </c>
      <c r="J142" s="75">
        <f>'House price (income) deflator'!H142</f>
        <v>85.581469958193111</v>
      </c>
      <c r="K142" s="75">
        <f>'Construction cost deflator'!H142</f>
        <v>78.792199999999994</v>
      </c>
    </row>
    <row r="143" spans="2:11" x14ac:dyDescent="0.25">
      <c r="B143" s="5"/>
      <c r="C143" s="4" t="s">
        <v>3</v>
      </c>
      <c r="D143" s="19">
        <f>'House building'!H143</f>
        <v>15290</v>
      </c>
      <c r="E143" s="19">
        <f>'Nominal house prices'!H143</f>
        <v>164192.75406666668</v>
      </c>
      <c r="F143" s="75">
        <f>'Nominal construction costs'!H143</f>
        <v>116.7</v>
      </c>
      <c r="G143" s="19">
        <f>Transactions!H143</f>
        <v>122588</v>
      </c>
      <c r="H143" s="19">
        <f>'Private housing stock'!Y143</f>
        <v>21597.717653879601</v>
      </c>
      <c r="I143" s="75">
        <f>'Interest rate'!H143</f>
        <v>3.3206521739130435</v>
      </c>
      <c r="J143" s="75">
        <f>'House price (income) deflator'!H143</f>
        <v>85.319182514006158</v>
      </c>
      <c r="K143" s="75">
        <f>'Construction cost deflator'!H143</f>
        <v>79.534499999999994</v>
      </c>
    </row>
    <row r="144" spans="2:11" x14ac:dyDescent="0.25">
      <c r="B144" s="5">
        <v>2009</v>
      </c>
      <c r="C144" s="4" t="s">
        <v>0</v>
      </c>
      <c r="D144" s="19">
        <f>'House building'!H144</f>
        <v>15340</v>
      </c>
      <c r="E144" s="19">
        <f>'Nominal house prices'!H144</f>
        <v>155701.22993333335</v>
      </c>
      <c r="F144" s="75">
        <f>'Nominal construction costs'!H144</f>
        <v>116.9</v>
      </c>
      <c r="G144" s="19">
        <f>Transactions!H144</f>
        <v>91786</v>
      </c>
      <c r="H144" s="19">
        <f>'Private housing stock'!Y144</f>
        <v>21626.823171320899</v>
      </c>
      <c r="I144" s="75">
        <f>'Interest rate'!H144</f>
        <v>1.0833333333333333</v>
      </c>
      <c r="J144" s="75">
        <f>'House price (income) deflator'!H144</f>
        <v>85.349666161253424</v>
      </c>
      <c r="K144" s="75">
        <f>'Construction cost deflator'!H144</f>
        <v>79.363299999999995</v>
      </c>
    </row>
    <row r="145" spans="2:11" x14ac:dyDescent="0.25">
      <c r="B145" s="5"/>
      <c r="C145" s="4" t="s">
        <v>1</v>
      </c>
      <c r="D145" s="19">
        <f>'House building'!H145</f>
        <v>18750</v>
      </c>
      <c r="E145" s="19">
        <f>'Nominal house prices'!H145</f>
        <v>157805.8941</v>
      </c>
      <c r="F145" s="75">
        <f>'Nominal construction costs'!H145</f>
        <v>115.2</v>
      </c>
      <c r="G145" s="19">
        <f>Transactions!H145</f>
        <v>138668</v>
      </c>
      <c r="H145" s="19">
        <f>'Private housing stock'!Y145</f>
        <v>21694</v>
      </c>
      <c r="I145" s="75">
        <f>'Interest rate'!H145</f>
        <v>0.5</v>
      </c>
      <c r="J145" s="75">
        <f>'House price (income) deflator'!H145</f>
        <v>85.50054477534502</v>
      </c>
      <c r="K145" s="75">
        <f>'Construction cost deflator'!H145</f>
        <v>79.554500000000004</v>
      </c>
    </row>
    <row r="146" spans="2:11" x14ac:dyDescent="0.25">
      <c r="B146" s="5"/>
      <c r="C146" s="4" t="s">
        <v>2</v>
      </c>
      <c r="D146" s="19">
        <f>'House building'!H146</f>
        <v>23780</v>
      </c>
      <c r="E146" s="19">
        <f>'Nominal house prices'!H146</f>
        <v>163920.78626666669</v>
      </c>
      <c r="F146" s="75">
        <f>'Nominal construction costs'!H146</f>
        <v>115</v>
      </c>
      <c r="G146" s="19">
        <f>Transactions!H146</f>
        <v>179754</v>
      </c>
      <c r="H146" s="19">
        <f>'Private housing stock'!Y146</f>
        <v>21730.915111224749</v>
      </c>
      <c r="I146" s="75">
        <f>'Interest rate'!H146</f>
        <v>0.5</v>
      </c>
      <c r="J146" s="75">
        <f>'House price (income) deflator'!H146</f>
        <v>85.515298612938764</v>
      </c>
      <c r="K146" s="75">
        <f>'Construction cost deflator'!H146</f>
        <v>80.058099999999996</v>
      </c>
    </row>
    <row r="147" spans="2:11" x14ac:dyDescent="0.25">
      <c r="B147" s="5"/>
      <c r="C147" s="4" t="s">
        <v>3</v>
      </c>
      <c r="D147" s="19">
        <f>'House building'!H147</f>
        <v>20350</v>
      </c>
      <c r="E147" s="19">
        <f>'Nominal house prices'!H147</f>
        <v>167164.22016666667</v>
      </c>
      <c r="F147" s="75">
        <f>'Nominal construction costs'!H147</f>
        <v>115</v>
      </c>
      <c r="G147" s="19">
        <f>Transactions!H147</f>
        <v>205477</v>
      </c>
      <c r="H147" s="19">
        <f>'Private housing stock'!Y147</f>
        <v>21777.733316287395</v>
      </c>
      <c r="I147" s="75">
        <f>'Interest rate'!H147</f>
        <v>0.5</v>
      </c>
      <c r="J147" s="75">
        <f>'House price (income) deflator'!H147</f>
        <v>85.180144527454431</v>
      </c>
      <c r="K147" s="75">
        <f>'Construction cost deflator'!H147</f>
        <v>79.415599999999998</v>
      </c>
    </row>
    <row r="148" spans="2:11" x14ac:dyDescent="0.25">
      <c r="B148" s="5">
        <v>2010</v>
      </c>
      <c r="C148" s="4" t="s">
        <v>0</v>
      </c>
      <c r="D148" s="19">
        <f>'House building'!H148</f>
        <v>24800</v>
      </c>
      <c r="E148" s="19">
        <f>'Nominal house prices'!H148</f>
        <v>167744.85430000001</v>
      </c>
      <c r="F148" s="75">
        <f>'Nominal construction costs'!H148</f>
        <v>115.4</v>
      </c>
      <c r="G148" s="19">
        <f>Transactions!H148</f>
        <v>129859</v>
      </c>
      <c r="H148" s="19">
        <f>'Private housing stock'!Y148</f>
        <v>21817.798517003324</v>
      </c>
      <c r="I148" s="75">
        <f>'Interest rate'!H148</f>
        <v>0.5</v>
      </c>
      <c r="J148" s="75">
        <f>'House price (income) deflator'!H148</f>
        <v>85.430551122202559</v>
      </c>
      <c r="K148" s="75">
        <f>'Construction cost deflator'!H148</f>
        <v>80.510400000000004</v>
      </c>
    </row>
    <row r="149" spans="2:11" x14ac:dyDescent="0.25">
      <c r="B149" s="5"/>
      <c r="C149" s="4" t="s">
        <v>1</v>
      </c>
      <c r="D149" s="19">
        <f>'House building'!H149</f>
        <v>28750</v>
      </c>
      <c r="E149" s="19">
        <f>'Nominal house prices'!H149</f>
        <v>170854.11750000002</v>
      </c>
      <c r="F149" s="75">
        <f>'Nominal construction costs'!H149</f>
        <v>116</v>
      </c>
      <c r="G149" s="19">
        <f>Transactions!H149</f>
        <v>167516</v>
      </c>
      <c r="H149" s="19">
        <f>'Private housing stock'!Y149</f>
        <v>21848</v>
      </c>
      <c r="I149" s="75">
        <f>'Interest rate'!H149</f>
        <v>0.5</v>
      </c>
      <c r="J149" s="75">
        <f>'House price (income) deflator'!H149</f>
        <v>86.043245918180446</v>
      </c>
      <c r="K149" s="75">
        <f>'Construction cost deflator'!H149</f>
        <v>80.653300000000002</v>
      </c>
    </row>
    <row r="150" spans="2:11" x14ac:dyDescent="0.25">
      <c r="B150" s="5"/>
      <c r="C150" s="4" t="s">
        <v>2</v>
      </c>
      <c r="D150" s="19">
        <f>'House building'!H150</f>
        <v>26200</v>
      </c>
      <c r="E150" s="19">
        <f>'Nominal house prices'!H150</f>
        <v>173272.20293333332</v>
      </c>
      <c r="F150" s="75">
        <f>'Nominal construction costs'!H150</f>
        <v>115.8</v>
      </c>
      <c r="G150" s="19">
        <f>Transactions!H150</f>
        <v>186774</v>
      </c>
      <c r="H150" s="19">
        <f>'Private housing stock'!Y150</f>
        <v>21890.236575481256</v>
      </c>
      <c r="I150" s="75">
        <f>'Interest rate'!H150</f>
        <v>0.5</v>
      </c>
      <c r="J150" s="75">
        <f>'House price (income) deflator'!H150</f>
        <v>86.648409848347839</v>
      </c>
      <c r="K150" s="75">
        <f>'Construction cost deflator'!H150</f>
        <v>80.7102</v>
      </c>
    </row>
    <row r="151" spans="2:11" x14ac:dyDescent="0.25">
      <c r="B151" s="5"/>
      <c r="C151" s="4" t="s">
        <v>3</v>
      </c>
      <c r="D151" s="19">
        <f>'House building'!H151</f>
        <v>18950</v>
      </c>
      <c r="E151" s="19">
        <f>'Nominal house prices'!H151</f>
        <v>169586.86313333336</v>
      </c>
      <c r="F151" s="75">
        <f>'Nominal construction costs'!H151</f>
        <v>115.7</v>
      </c>
      <c r="G151" s="19">
        <f>Transactions!H151</f>
        <v>172287</v>
      </c>
      <c r="H151" s="19">
        <f>'Private housing stock'!Y151</f>
        <v>21928.726950354609</v>
      </c>
      <c r="I151" s="75">
        <f>'Interest rate'!H151</f>
        <v>0.5</v>
      </c>
      <c r="J151" s="75">
        <f>'House price (income) deflator'!H151</f>
        <v>87.420887360487356</v>
      </c>
      <c r="K151" s="75">
        <f>'Construction cost deflator'!H151</f>
        <v>81.075999999999993</v>
      </c>
    </row>
    <row r="152" spans="2:11" x14ac:dyDescent="0.25">
      <c r="B152" s="5">
        <v>2011</v>
      </c>
      <c r="C152" s="4" t="s">
        <v>0</v>
      </c>
      <c r="D152" s="19">
        <f>'House building'!H152</f>
        <v>24510</v>
      </c>
      <c r="E152" s="19">
        <f>'Nominal house prices'!H152</f>
        <v>166454.64619999999</v>
      </c>
      <c r="F152" s="75">
        <f>'Nominal construction costs'!H152</f>
        <v>116.1</v>
      </c>
      <c r="G152" s="19">
        <f>Transactions!H152</f>
        <v>124275</v>
      </c>
      <c r="H152" s="19">
        <f>'Private housing stock'!Y152</f>
        <v>21956.566362715297</v>
      </c>
      <c r="I152" s="75">
        <f>'Interest rate'!H152</f>
        <v>0.5</v>
      </c>
      <c r="J152" s="75">
        <f>'House price (income) deflator'!H152</f>
        <v>88.969770633471015</v>
      </c>
      <c r="K152" s="75">
        <f>'Construction cost deflator'!H152</f>
        <v>82.429500000000004</v>
      </c>
    </row>
    <row r="153" spans="2:11" x14ac:dyDescent="0.25">
      <c r="B153" s="5"/>
      <c r="C153" s="4" t="s">
        <v>1</v>
      </c>
      <c r="D153" s="19">
        <f>'House building'!H153</f>
        <v>27140</v>
      </c>
      <c r="E153" s="19">
        <f>'Nominal house prices'!H153</f>
        <v>167813.5612</v>
      </c>
      <c r="F153" s="75">
        <f>'Nominal construction costs'!H153</f>
        <v>116.6</v>
      </c>
      <c r="G153" s="19">
        <f>Transactions!H153</f>
        <v>157696</v>
      </c>
      <c r="H153" s="19">
        <f>'Private housing stock'!Y153</f>
        <v>21993</v>
      </c>
      <c r="I153" s="75">
        <f>'Interest rate'!H153</f>
        <v>0.5</v>
      </c>
      <c r="J153" s="75">
        <f>'House price (income) deflator'!H153</f>
        <v>89.437782440814871</v>
      </c>
      <c r="K153" s="75">
        <f>'Construction cost deflator'!H153</f>
        <v>81.876300000000001</v>
      </c>
    </row>
    <row r="154" spans="2:11" x14ac:dyDescent="0.25">
      <c r="B154" s="5"/>
      <c r="C154" s="4" t="s">
        <v>2</v>
      </c>
      <c r="D154" s="19">
        <f>'House building'!H154</f>
        <v>27680</v>
      </c>
      <c r="E154" s="19">
        <f>'Nominal house prices'!H154</f>
        <v>169792.46716666667</v>
      </c>
      <c r="F154" s="75">
        <f>'Nominal construction costs'!H154</f>
        <v>117.6</v>
      </c>
      <c r="G154" s="19">
        <f>Transactions!H154</f>
        <v>190826</v>
      </c>
      <c r="H154" s="19">
        <f>'Private housing stock'!Y154</f>
        <v>22025.784802727714</v>
      </c>
      <c r="I154" s="75">
        <f>'Interest rate'!H154</f>
        <v>0.5</v>
      </c>
      <c r="J154" s="75">
        <f>'House price (income) deflator'!H154</f>
        <v>90.191791646774107</v>
      </c>
      <c r="K154" s="75">
        <f>'Construction cost deflator'!H154</f>
        <v>82.562200000000004</v>
      </c>
    </row>
    <row r="155" spans="2:11" x14ac:dyDescent="0.25">
      <c r="B155" s="5"/>
      <c r="C155" s="4" t="s">
        <v>3</v>
      </c>
      <c r="D155" s="19">
        <f>'House building'!H155</f>
        <v>23320</v>
      </c>
      <c r="E155" s="19">
        <f>'Nominal house prices'!H155</f>
        <v>167492.60879999999</v>
      </c>
      <c r="F155" s="75">
        <f>'Nominal construction costs'!H155</f>
        <v>118.7</v>
      </c>
      <c r="G155" s="19">
        <f>Transactions!H155</f>
        <v>182405</v>
      </c>
      <c r="H155" s="19">
        <f>'Private housing stock'!Y155</f>
        <v>22059.221919142718</v>
      </c>
      <c r="I155" s="75">
        <f>'Interest rate'!H155</f>
        <v>0.5</v>
      </c>
      <c r="J155" s="75">
        <f>'House price (income) deflator'!H155</f>
        <v>90.605008588136798</v>
      </c>
      <c r="K155" s="75">
        <f>'Construction cost deflator'!H155</f>
        <v>82.946399999999997</v>
      </c>
    </row>
    <row r="156" spans="2:11" x14ac:dyDescent="0.25">
      <c r="B156" s="5">
        <v>2012</v>
      </c>
      <c r="C156" s="4" t="s">
        <v>0</v>
      </c>
      <c r="D156" s="19">
        <f>'House building'!H156</f>
        <v>24620</v>
      </c>
      <c r="E156" s="19">
        <f>'Nominal house prices'!H156</f>
        <v>165770.9627</v>
      </c>
      <c r="F156" s="75">
        <f>'Nominal construction costs'!H156</f>
        <v>119.7</v>
      </c>
      <c r="G156" s="19">
        <f>Transactions!H156</f>
        <v>149958</v>
      </c>
      <c r="H156" s="19">
        <f>'Private housing stock'!Y156</f>
        <v>22087.392206527034</v>
      </c>
      <c r="I156" s="75">
        <f>'Interest rate'!H156</f>
        <v>0.5</v>
      </c>
      <c r="J156" s="75">
        <f>'House price (income) deflator'!H156</f>
        <v>90.808564289033384</v>
      </c>
      <c r="K156" s="75">
        <f>'Construction cost deflator'!H156</f>
        <v>83.241900000000001</v>
      </c>
    </row>
    <row r="157" spans="2:11" x14ac:dyDescent="0.25">
      <c r="B157" s="5"/>
      <c r="C157" s="4" t="s">
        <v>1</v>
      </c>
      <c r="D157" s="19">
        <f>'House building'!H157</f>
        <v>24040</v>
      </c>
      <c r="E157" s="19">
        <f>'Nominal house prices'!H157</f>
        <v>168766.18389999997</v>
      </c>
      <c r="F157" s="75">
        <f>'Nominal construction costs'!H157</f>
        <v>119.7</v>
      </c>
      <c r="G157" s="19">
        <f>Transactions!H157</f>
        <v>155532</v>
      </c>
      <c r="H157" s="19">
        <f>'Private housing stock'!Y157</f>
        <v>22117</v>
      </c>
      <c r="I157" s="75">
        <f>'Interest rate'!H157</f>
        <v>0.5</v>
      </c>
      <c r="J157" s="75">
        <f>'House price (income) deflator'!H157</f>
        <v>91.312568157913418</v>
      </c>
      <c r="K157" s="75">
        <f>'Construction cost deflator'!H157</f>
        <v>83.528499999999994</v>
      </c>
    </row>
    <row r="158" spans="2:11" x14ac:dyDescent="0.25">
      <c r="B158" s="5"/>
      <c r="C158" s="4" t="s">
        <v>2</v>
      </c>
      <c r="D158" s="19">
        <f>'House building'!H158</f>
        <v>26020</v>
      </c>
      <c r="E158" s="19">
        <f>'Nominal house prices'!H158</f>
        <v>170632.90113333333</v>
      </c>
      <c r="F158" s="75">
        <f>'Nominal construction costs'!H158</f>
        <v>120.3</v>
      </c>
      <c r="G158" s="19">
        <f>Transactions!H158</f>
        <v>177203</v>
      </c>
      <c r="H158" s="19">
        <f>'Private housing stock'!Y158</f>
        <v>22149.510142515344</v>
      </c>
      <c r="I158" s="75">
        <f>'Interest rate'!H158</f>
        <v>0.5</v>
      </c>
      <c r="J158" s="75">
        <f>'House price (income) deflator'!H158</f>
        <v>91.229143851059717</v>
      </c>
      <c r="K158" s="75">
        <f>'Construction cost deflator'!H158</f>
        <v>83.786799999999999</v>
      </c>
    </row>
    <row r="159" spans="2:11" x14ac:dyDescent="0.25">
      <c r="B159" s="5"/>
      <c r="C159" s="4" t="s">
        <v>3</v>
      </c>
      <c r="D159" s="19">
        <f>'House building'!H159</f>
        <v>21450</v>
      </c>
      <c r="E159" s="19">
        <f>'Nominal house prices'!H159</f>
        <v>169053.20413333332</v>
      </c>
      <c r="F159" s="75">
        <f>'Nominal construction costs'!H159</f>
        <v>120.8</v>
      </c>
      <c r="G159" s="19">
        <f>Transactions!H159</f>
        <v>179752</v>
      </c>
      <c r="H159" s="19">
        <f>'Private housing stock'!Y159</f>
        <v>22184.697909081453</v>
      </c>
      <c r="I159" s="75">
        <f>'Interest rate'!H159</f>
        <v>0.5</v>
      </c>
      <c r="J159" s="75">
        <f>'House price (income) deflator'!H159</f>
        <v>91.974495919152972</v>
      </c>
      <c r="K159" s="75">
        <f>'Construction cost deflator'!H159</f>
        <v>84.120599999999996</v>
      </c>
    </row>
    <row r="160" spans="2:11" x14ac:dyDescent="0.25">
      <c r="B160" s="5">
        <v>2013</v>
      </c>
      <c r="C160" s="4" t="s">
        <v>0</v>
      </c>
      <c r="D160" s="19">
        <f>'House building'!H160</f>
        <v>26440</v>
      </c>
      <c r="E160" s="19">
        <f>'Nominal house prices'!H160</f>
        <v>168026.50760000001</v>
      </c>
      <c r="F160" s="75">
        <f>'Nominal construction costs'!H160</f>
        <v>121.18055555555556</v>
      </c>
      <c r="G160" s="19">
        <f>Transactions!H160</f>
        <v>142879</v>
      </c>
      <c r="H160" s="19">
        <f>'Private housing stock'!Y160</f>
        <v>22213.705502964734</v>
      </c>
      <c r="I160" s="75">
        <f>'Interest rate'!H160</f>
        <v>0.5</v>
      </c>
      <c r="J160" s="75">
        <f>'House price (income) deflator'!H160</f>
        <v>92.743275200489904</v>
      </c>
      <c r="K160" s="75">
        <f>'Construction cost deflator'!H160</f>
        <v>84.919700000000006</v>
      </c>
    </row>
    <row r="161" spans="2:11" x14ac:dyDescent="0.25">
      <c r="B161" s="5"/>
      <c r="C161" s="4" t="s">
        <v>1</v>
      </c>
      <c r="D161" s="19">
        <f>'House building'!H161</f>
        <v>30840</v>
      </c>
      <c r="E161" s="19">
        <f>'Nominal house prices'!H161</f>
        <v>171407.87763333332</v>
      </c>
      <c r="F161" s="75">
        <f>'Nominal construction costs'!H161</f>
        <v>121.87499999999997</v>
      </c>
      <c r="G161" s="19">
        <f>Transactions!H161</f>
        <v>183840</v>
      </c>
      <c r="H161" s="19">
        <f>'Private housing stock'!Y161</f>
        <v>22247</v>
      </c>
      <c r="I161" s="75">
        <f>'Interest rate'!H161</f>
        <v>0.5</v>
      </c>
      <c r="J161" s="75">
        <f>'House price (income) deflator'!H161</f>
        <v>93.308266840154857</v>
      </c>
      <c r="K161" s="75">
        <f>'Construction cost deflator'!H161</f>
        <v>85.216200000000001</v>
      </c>
    </row>
    <row r="162" spans="2:11" x14ac:dyDescent="0.25">
      <c r="B162" s="5"/>
      <c r="C162" s="4" t="s">
        <v>2</v>
      </c>
      <c r="D162" s="19">
        <f>'House building'!H162</f>
        <v>32640</v>
      </c>
      <c r="E162" s="19">
        <f>'Nominal house prices'!H162</f>
        <v>175557.46043333333</v>
      </c>
      <c r="F162" s="75">
        <f>'Nominal construction costs'!H162</f>
        <v>123.26388888888889</v>
      </c>
      <c r="G162" s="19">
        <f>Transactions!H162</f>
        <v>224015</v>
      </c>
      <c r="H162" s="19">
        <f>'Private housing stock'!Y162</f>
        <v>22291.347193347192</v>
      </c>
      <c r="I162" s="75">
        <f>'Interest rate'!H162</f>
        <v>0.5</v>
      </c>
      <c r="J162" s="75">
        <f>'House price (income) deflator'!H162</f>
        <v>93.444414606271437</v>
      </c>
      <c r="K162" s="75">
        <f>'Construction cost deflator'!H162</f>
        <v>85.9221</v>
      </c>
    </row>
    <row r="163" spans="2:11" x14ac:dyDescent="0.25">
      <c r="B163" s="5"/>
      <c r="C163" s="4" t="s">
        <v>3</v>
      </c>
      <c r="D163" s="19">
        <f>'House building'!H163</f>
        <v>25520</v>
      </c>
      <c r="E163" s="19">
        <f>'Nominal house prices'!H163</f>
        <v>176566.86493333333</v>
      </c>
      <c r="F163" s="75">
        <f>'Nominal construction costs'!H163</f>
        <v>125.5787037037037</v>
      </c>
      <c r="G163" s="19">
        <f>Transactions!H163</f>
        <v>245574</v>
      </c>
      <c r="H163" s="19">
        <f>'Private housing stock'!Y163</f>
        <v>22338.282744282744</v>
      </c>
      <c r="I163" s="75">
        <f>'Interest rate'!H163</f>
        <v>0.5</v>
      </c>
      <c r="J163" s="75">
        <f>'House price (income) deflator'!H163</f>
        <v>93.582528063074506</v>
      </c>
      <c r="K163" s="75">
        <f>'Construction cost deflator'!H163</f>
        <v>85.880499999999998</v>
      </c>
    </row>
    <row r="164" spans="2:11" x14ac:dyDescent="0.25">
      <c r="B164" s="5">
        <v>2014</v>
      </c>
      <c r="C164" s="4" t="s">
        <v>0</v>
      </c>
      <c r="D164" s="19">
        <f>'House building'!H164</f>
        <v>35970</v>
      </c>
      <c r="E164" s="19">
        <f>'Nominal house prices'!H164</f>
        <v>178880.16086666667</v>
      </c>
      <c r="F164" s="75">
        <f>'Nominal construction costs'!H164</f>
        <v>128.19999999999999</v>
      </c>
      <c r="G164" s="19">
        <f>Transactions!H164</f>
        <v>204451</v>
      </c>
      <c r="H164" s="19">
        <f>'Private housing stock'!Y164</f>
        <v>22374.979902979903</v>
      </c>
      <c r="I164" s="75">
        <f>'Interest rate'!H164</f>
        <v>0.5</v>
      </c>
      <c r="J164" s="75">
        <f>'House price (income) deflator'!H164</f>
        <v>93.852092190646673</v>
      </c>
      <c r="K164" s="75">
        <f>'Construction cost deflator'!H164</f>
        <v>86.329400000000007</v>
      </c>
    </row>
    <row r="165" spans="2:11" x14ac:dyDescent="0.25">
      <c r="B165" s="7"/>
      <c r="C165" s="4" t="s">
        <v>1</v>
      </c>
      <c r="D165" s="19">
        <f>'House building'!H165</f>
        <v>35010</v>
      </c>
      <c r="E165" s="19">
        <f>'Nominal house prices'!H165</f>
        <v>185361.86176666667</v>
      </c>
      <c r="F165" s="75">
        <f>'Nominal construction costs'!H165</f>
        <v>126.66159999999998</v>
      </c>
      <c r="G165" s="19">
        <f>Transactions!H165</f>
        <v>236210</v>
      </c>
      <c r="H165" s="19">
        <f>'Private housing stock'!Y165</f>
        <v>22413</v>
      </c>
      <c r="I165" s="75">
        <f>'Interest rate'!H165</f>
        <v>0.5</v>
      </c>
      <c r="J165" s="75">
        <f>'House price (income) deflator'!H165</f>
        <v>94.418026168016112</v>
      </c>
      <c r="K165" s="75">
        <f>'Construction cost deflator'!H165</f>
        <v>86.033000000000001</v>
      </c>
    </row>
    <row r="166" spans="2:11" x14ac:dyDescent="0.25">
      <c r="B166" s="8"/>
      <c r="C166" s="9" t="s">
        <v>2</v>
      </c>
      <c r="D166" s="19">
        <f>'House building'!H166</f>
        <v>34070</v>
      </c>
      <c r="E166" s="19">
        <f>'Nominal house prices'!H166</f>
        <v>191259.80543333336</v>
      </c>
      <c r="F166" s="75">
        <f>'Nominal construction costs'!H166</f>
        <v>127.04619999999997</v>
      </c>
      <c r="G166" s="19">
        <f>Transactions!H166</f>
        <v>258916</v>
      </c>
      <c r="H166" s="19">
        <f>'Private housing stock'!Y166</f>
        <v>22460.882379758375</v>
      </c>
      <c r="I166" s="75">
        <f>'Interest rate'!H166</f>
        <v>0.5</v>
      </c>
      <c r="J166" s="75">
        <f>'House price (income) deflator'!H166</f>
        <v>94.301546272075782</v>
      </c>
      <c r="K166" s="75">
        <f>'Construction cost deflator'!H166</f>
        <v>86.998500000000007</v>
      </c>
    </row>
    <row r="167" spans="2:11" x14ac:dyDescent="0.25">
      <c r="B167" s="8"/>
      <c r="C167" s="8" t="s">
        <v>3</v>
      </c>
      <c r="D167" s="19">
        <f>'House building'!H167</f>
        <v>26560</v>
      </c>
      <c r="E167" s="19">
        <f>'Nominal house prices'!H167</f>
        <v>191577.69440000001</v>
      </c>
      <c r="F167" s="75">
        <f>'Nominal construction costs'!H167</f>
        <v>127.04620000000001</v>
      </c>
      <c r="G167" s="19">
        <f>Transactions!H167</f>
        <v>245250</v>
      </c>
      <c r="H167" s="19">
        <f>'Private housing stock'!Y167</f>
        <v>22507.479142922271</v>
      </c>
      <c r="I167" s="75">
        <f>'Interest rate'!H167</f>
        <v>0.5</v>
      </c>
      <c r="J167" s="75">
        <f>'House price (income) deflator'!H167</f>
        <v>94.405939380568938</v>
      </c>
      <c r="K167" s="75">
        <f>'Construction cost deflator'!H167</f>
        <v>86.949100000000001</v>
      </c>
    </row>
    <row r="168" spans="2:11" x14ac:dyDescent="0.25">
      <c r="B168" s="8">
        <v>2015</v>
      </c>
      <c r="C168" s="8" t="s">
        <v>0</v>
      </c>
      <c r="D168" s="19">
        <f>'House building'!H168</f>
        <v>38680</v>
      </c>
      <c r="E168" s="19">
        <f>'Nominal house prices'!H168</f>
        <v>191009.76840000003</v>
      </c>
      <c r="F168" s="75">
        <f>'Nominal construction costs'!H168</f>
        <v>128.02906666666667</v>
      </c>
      <c r="G168" s="19">
        <f>Transactions!H168</f>
        <v>188066</v>
      </c>
      <c r="H168" s="19">
        <f>'Private housing stock'!Y168</f>
        <v>22543.804650102575</v>
      </c>
      <c r="I168" s="75">
        <f>'Interest rate'!H168</f>
        <v>0.5</v>
      </c>
      <c r="J168" s="75">
        <f>'House price (income) deflator'!H168</f>
        <v>93.657102835627015</v>
      </c>
      <c r="K168" s="75">
        <f>'Construction cost deflator'!H168</f>
        <v>87.147800000000004</v>
      </c>
    </row>
    <row r="169" spans="2:11" x14ac:dyDescent="0.25">
      <c r="B169" s="8"/>
      <c r="C169" s="8" t="s">
        <v>1</v>
      </c>
      <c r="D169" s="19">
        <f>'House building'!H169</f>
        <v>36520</v>
      </c>
      <c r="E169" s="19">
        <f>'Nominal house prices'!H169</f>
        <v>195113.43346666664</v>
      </c>
      <c r="F169" s="75">
        <f>'Nominal construction costs'!H169</f>
        <v>128.28546666666665</v>
      </c>
      <c r="G169" s="19">
        <f>Transactions!H169</f>
        <v>227262</v>
      </c>
      <c r="H169" s="19">
        <f>'Private housing stock'!Y169</f>
        <v>22593</v>
      </c>
      <c r="I169" s="75">
        <f>'Interest rate'!H169</f>
        <v>0.5</v>
      </c>
      <c r="J169" s="75">
        <f>'House price (income) deflator'!H169</f>
        <v>93.860111208662573</v>
      </c>
      <c r="K169" s="75">
        <f>'Construction cost deflator'!H169</f>
        <v>86.776799999999994</v>
      </c>
    </row>
    <row r="170" spans="2:11" x14ac:dyDescent="0.25">
      <c r="B170" s="8"/>
      <c r="C170" s="8" t="s">
        <v>2</v>
      </c>
      <c r="D170" s="19">
        <f>'House building'!H170</f>
        <v>36270</v>
      </c>
      <c r="E170" s="19">
        <f>'Nominal house prices'!H170</f>
        <v>201501.21843333333</v>
      </c>
      <c r="F170" s="75">
        <f>'Nominal construction costs'!H170</f>
        <v>128.07180000000002</v>
      </c>
      <c r="G170" s="19">
        <f>Transactions!H170</f>
        <v>264120</v>
      </c>
      <c r="H170" s="19">
        <f>'Private housing stock'!Y170</f>
        <v>22644.541881306894</v>
      </c>
      <c r="I170" s="75">
        <f>'Interest rate'!H170</f>
        <v>0.5</v>
      </c>
      <c r="J170" s="75">
        <f>'House price (income) deflator'!H170</f>
        <v>93.908522367723435</v>
      </c>
      <c r="K170" s="75">
        <f>'Construction cost deflator'!H170</f>
        <v>87.171800000000005</v>
      </c>
    </row>
    <row r="171" spans="2:11" x14ac:dyDescent="0.25">
      <c r="B171" s="8"/>
      <c r="C171" s="8" t="s">
        <v>3</v>
      </c>
      <c r="D171" s="19">
        <f>'House building'!H171</f>
        <v>30240</v>
      </c>
      <c r="E171" s="19">
        <f>'Nominal house prices'!H171</f>
        <v>203935.94043333331</v>
      </c>
      <c r="F171" s="75">
        <f>'Nominal construction costs'!H171</f>
        <v>128.4564</v>
      </c>
      <c r="G171" s="19">
        <f>Transactions!H171</f>
        <v>260052</v>
      </c>
      <c r="H171" s="19">
        <f>'Private housing stock'!Y171</f>
        <v>22695.730929362784</v>
      </c>
      <c r="I171" s="75">
        <f>'Interest rate'!H171</f>
        <v>0.5</v>
      </c>
      <c r="J171" s="75">
        <f>'House price (income) deflator'!H171</f>
        <v>94.298890925204134</v>
      </c>
      <c r="K171" s="75">
        <f>'Construction cost deflator'!H171</f>
        <v>87.686000000000007</v>
      </c>
    </row>
    <row r="172" spans="2:11" x14ac:dyDescent="0.25">
      <c r="B172" s="8">
        <v>2016</v>
      </c>
      <c r="C172" s="8" t="s">
        <v>0</v>
      </c>
      <c r="D172" s="19">
        <f>'House building'!H172</f>
        <v>34740</v>
      </c>
      <c r="E172" s="19">
        <f>'Nominal house prices'!H172</f>
        <v>206228.9553</v>
      </c>
      <c r="F172" s="75">
        <f>'Nominal construction costs'!H172</f>
        <v>130.42213333333333</v>
      </c>
      <c r="G172" s="19">
        <f>Transactions!H172</f>
        <v>256165</v>
      </c>
      <c r="H172" s="19">
        <f>'Private housing stock'!Y172</f>
        <v>22738.409639404417</v>
      </c>
      <c r="I172" s="75">
        <f>'Interest rate'!H172</f>
        <v>0.5</v>
      </c>
      <c r="J172" s="75">
        <f>'House price (income) deflator'!H172</f>
        <v>94.210930246595964</v>
      </c>
      <c r="K172" s="75">
        <f>'Construction cost deflator'!H172</f>
        <v>88.258099999999999</v>
      </c>
    </row>
    <row r="173" spans="2:11" x14ac:dyDescent="0.25">
      <c r="B173" s="8"/>
      <c r="C173" s="8" t="s">
        <v>1</v>
      </c>
      <c r="D173" s="19">
        <f>'House building'!H173</f>
        <v>38300</v>
      </c>
      <c r="E173" s="19">
        <f>'Nominal house prices'!H173</f>
        <v>210734.05893333335</v>
      </c>
      <c r="F173" s="75">
        <f>'Nominal construction costs'!H173</f>
        <v>131.27680000000001</v>
      </c>
      <c r="G173" s="19">
        <f>Transactions!H173</f>
        <v>196787</v>
      </c>
      <c r="H173" s="19">
        <f>'Private housing stock'!Y173</f>
        <v>22793</v>
      </c>
      <c r="I173" s="75">
        <f>'Interest rate'!H173</f>
        <v>0.5</v>
      </c>
      <c r="J173" s="75">
        <f>'House price (income) deflator'!H173</f>
        <v>94.657275431564202</v>
      </c>
      <c r="K173" s="75">
        <f>'Construction cost deflator'!H173</f>
        <v>88.318799999999996</v>
      </c>
    </row>
    <row r="174" spans="2:11" x14ac:dyDescent="0.25">
      <c r="B174" s="8"/>
      <c r="C174" s="8" t="s">
        <v>2</v>
      </c>
      <c r="D174" s="19">
        <f>'House building'!H174</f>
        <v>41460</v>
      </c>
      <c r="E174" s="19">
        <f>'Nominal house prices'!H174</f>
        <v>215029.3915</v>
      </c>
      <c r="F174" s="75">
        <f>'Nominal construction costs'!H174</f>
        <v>132.43059999999997</v>
      </c>
      <c r="G174" s="19">
        <f>Transactions!H174</f>
        <v>245921</v>
      </c>
      <c r="H174" s="19">
        <f>'Private housing stock'!Y174</f>
        <v>22855.053601566193</v>
      </c>
      <c r="I174" s="75">
        <f>'Interest rate'!H174</f>
        <v>0.34239130434782611</v>
      </c>
      <c r="J174" s="75">
        <f>'House price (income) deflator'!H174</f>
        <v>95.414159281804046</v>
      </c>
      <c r="K174" s="75">
        <f>'Construction cost deflator'!H174</f>
        <v>89.1036</v>
      </c>
    </row>
    <row r="175" spans="2:11" x14ac:dyDescent="0.25">
      <c r="B175" s="8"/>
      <c r="C175" s="8" t="s">
        <v>3</v>
      </c>
      <c r="D175" s="19">
        <f>'House building'!H175</f>
        <v>33630</v>
      </c>
      <c r="E175" s="19">
        <f>'Nominal house prices'!H175</f>
        <v>214906.57380000001</v>
      </c>
      <c r="F175" s="75">
        <f>'Nominal construction costs'!H175</f>
        <v>134.05446666666666</v>
      </c>
      <c r="G175" s="19">
        <f>Transactions!H175</f>
        <v>237149</v>
      </c>
      <c r="H175" s="19">
        <f>'Private housing stock'!Y175</f>
        <v>22922.227030311213</v>
      </c>
      <c r="I175" s="75">
        <f>'Interest rate'!H175</f>
        <v>0.25</v>
      </c>
      <c r="J175" s="75">
        <f>'House price (income) deflator'!H175</f>
        <v>96.119575766788671</v>
      </c>
      <c r="K175" s="75">
        <f>'Construction cost deflator'!H175</f>
        <v>89.646500000000003</v>
      </c>
    </row>
    <row r="176" spans="2:11" x14ac:dyDescent="0.25">
      <c r="B176" s="8">
        <v>2017</v>
      </c>
      <c r="C176" s="8" t="s">
        <v>0</v>
      </c>
      <c r="D176" s="19">
        <f>'House building'!H176</f>
        <v>39320</v>
      </c>
      <c r="E176" s="19">
        <f>'Nominal house prices'!H176</f>
        <v>215392.12933333335</v>
      </c>
      <c r="F176" s="75">
        <f>'Nominal construction costs'!H176</f>
        <v>135.67833333333331</v>
      </c>
      <c r="G176" s="19">
        <f>Transactions!H176</f>
        <v>202736</v>
      </c>
      <c r="H176" s="19">
        <f>'Private housing stock'!Y176</f>
        <v>22976.714305002362</v>
      </c>
      <c r="I176" s="75">
        <f>'Interest rate'!H176</f>
        <v>0.25</v>
      </c>
      <c r="J176" s="75">
        <f>'House price (income) deflator'!H176</f>
        <v>95.948607087530746</v>
      </c>
      <c r="K176" s="75">
        <f>'Construction cost deflator'!H176</f>
        <v>90.007199999999997</v>
      </c>
    </row>
    <row r="177" spans="2:11" x14ac:dyDescent="0.25">
      <c r="B177" s="8"/>
      <c r="C177" s="8" t="s">
        <v>1</v>
      </c>
      <c r="D177" s="19">
        <f>'House building'!H177</f>
        <v>42000</v>
      </c>
      <c r="E177" s="19">
        <f>'Nominal house prices'!H177</f>
        <v>220142.91196666667</v>
      </c>
      <c r="F177" s="75">
        <f>'Nominal construction costs'!H177</f>
        <v>136.3193333333333</v>
      </c>
      <c r="G177" s="19">
        <f>Transactions!H177</f>
        <v>227935</v>
      </c>
      <c r="H177" s="19">
        <f>'Private housing stock'!Y177</f>
        <v>23033</v>
      </c>
      <c r="I177" s="75">
        <f>'Interest rate'!H177</f>
        <v>0.25</v>
      </c>
      <c r="J177" s="75">
        <f>'House price (income) deflator'!H177</f>
        <v>96.554235513678364</v>
      </c>
      <c r="K177" s="75">
        <f>'Construction cost deflator'!H177</f>
        <v>90.153599999999997</v>
      </c>
    </row>
    <row r="178" spans="2:11" x14ac:dyDescent="0.25">
      <c r="B178" s="8"/>
      <c r="C178" s="8" t="s">
        <v>2</v>
      </c>
      <c r="D178" s="19">
        <f>'House building'!H178</f>
        <v>38700</v>
      </c>
      <c r="E178" s="19">
        <f>'Nominal house prices'!H178</f>
        <v>225117.4415333333</v>
      </c>
      <c r="F178" s="75">
        <f>'Nominal construction costs'!H178</f>
        <v>138.24233333333331</v>
      </c>
      <c r="G178" s="19">
        <f>Transactions!H178</f>
        <v>250884</v>
      </c>
      <c r="H178" s="19">
        <f>'Private housing stock'!Y178</f>
        <v>23103.13991875685</v>
      </c>
      <c r="I178" s="75">
        <f>'Interest rate'!H178</f>
        <v>0.25</v>
      </c>
      <c r="J178" s="75">
        <f>'House price (income) deflator'!H178</f>
        <v>96.880341637657381</v>
      </c>
      <c r="K178" s="75">
        <f>'Construction cost deflator'!H178</f>
        <v>90.414000000000001</v>
      </c>
    </row>
    <row r="179" spans="2:11" x14ac:dyDescent="0.25">
      <c r="B179" s="8"/>
      <c r="C179" s="8" t="s">
        <v>3</v>
      </c>
      <c r="D179" s="19">
        <f>'House building'!H179</f>
        <v>35070</v>
      </c>
      <c r="E179" s="19">
        <f>'Nominal house prices'!H179</f>
        <v>224958.32523333331</v>
      </c>
      <c r="F179" s="75">
        <f>'Nominal construction costs'!H179</f>
        <v>139.43886666666666</v>
      </c>
      <c r="G179" s="19">
        <f>Transactions!H179</f>
        <v>243961</v>
      </c>
      <c r="H179" s="19">
        <f>'Private housing stock'!Y179</f>
        <v>23167.768843897091</v>
      </c>
      <c r="I179" s="75">
        <f>'Interest rate'!H179</f>
        <v>0.41304347826086957</v>
      </c>
      <c r="J179" s="75">
        <f>'House price (income) deflator'!H179</f>
        <v>97.3879601509948</v>
      </c>
      <c r="K179" s="75">
        <f>'Construction cost deflator'!H179</f>
        <v>91.120500000000007</v>
      </c>
    </row>
    <row r="180" spans="2:11" x14ac:dyDescent="0.25">
      <c r="B180" s="8">
        <v>2018</v>
      </c>
      <c r="C180" s="8" t="s">
        <v>0</v>
      </c>
      <c r="D180" s="19">
        <f>'House building'!H180</f>
        <v>39300</v>
      </c>
      <c r="E180" s="19">
        <f>'Nominal house prices'!H180</f>
        <v>224482.37569999998</v>
      </c>
      <c r="F180" s="75">
        <f>'Nominal construction costs'!H180</f>
        <v>141.23366666666666</v>
      </c>
      <c r="G180" s="19">
        <f>Transactions!H180</f>
        <v>194062</v>
      </c>
      <c r="H180" s="19">
        <f>'Private housing stock'!Y180</f>
        <v>23226.335676059061</v>
      </c>
      <c r="I180" s="75">
        <f>'Interest rate'!H180</f>
        <v>0.5</v>
      </c>
      <c r="J180" s="75">
        <f>'House price (income) deflator'!H180</f>
        <v>97.873164271404448</v>
      </c>
      <c r="K180" s="75">
        <f>'Construction cost deflator'!H180</f>
        <v>91.342699999999994</v>
      </c>
    </row>
    <row r="181" spans="2:11" x14ac:dyDescent="0.25">
      <c r="B181" s="8"/>
      <c r="C181" s="8" t="s">
        <v>1</v>
      </c>
      <c r="D181" s="19">
        <f>'House building'!H181</f>
        <v>40500</v>
      </c>
      <c r="E181" s="19">
        <f>'Nominal house prices'!H181</f>
        <v>227033.12143333335</v>
      </c>
      <c r="F181" s="75">
        <f>'Nominal construction costs'!H181</f>
        <v>142.60113333333334</v>
      </c>
      <c r="G181" s="19">
        <f>Transactions!H181</f>
        <v>217095</v>
      </c>
      <c r="H181" s="19">
        <f>'Private housing stock'!Y181</f>
        <v>23292</v>
      </c>
      <c r="I181" s="75">
        <f>'Interest rate'!H181</f>
        <v>0.5</v>
      </c>
      <c r="J181" s="75">
        <f>'House price (income) deflator'!H181</f>
        <v>98.205447457693808</v>
      </c>
      <c r="K181" s="75">
        <f>'Construction cost deflator'!H181</f>
        <v>91.764399999999995</v>
      </c>
    </row>
    <row r="182" spans="2:11" x14ac:dyDescent="0.25">
      <c r="B182" s="8"/>
      <c r="C182" s="8" t="s">
        <v>2</v>
      </c>
      <c r="D182" s="19">
        <f>'House building'!H182</f>
        <v>44520</v>
      </c>
      <c r="E182" s="19">
        <f>'Nominal house prices'!H182</f>
        <v>231512.98936666665</v>
      </c>
      <c r="F182" s="75">
        <f>'Nominal construction costs'!H182</f>
        <v>142.64386666666667</v>
      </c>
      <c r="G182" s="19">
        <f>Transactions!H182</f>
        <v>240212</v>
      </c>
      <c r="H182" s="19">
        <f>'Private housing stock'!Y182</f>
        <v>23353.773978195713</v>
      </c>
      <c r="I182" s="75">
        <f>'Interest rate'!H182</f>
        <v>0.66304347826086951</v>
      </c>
      <c r="J182" s="75">
        <f>'House price (income) deflator'!H182</f>
        <v>98.408852747621239</v>
      </c>
      <c r="K182" s="75">
        <f>'Construction cost deflator'!H182</f>
        <v>92.069199999999995</v>
      </c>
    </row>
    <row r="183" spans="2:11" x14ac:dyDescent="0.25">
      <c r="B183" s="8"/>
      <c r="C183" s="8" t="s">
        <v>3</v>
      </c>
      <c r="D183" s="19">
        <f>'House building'!H183</f>
        <v>35410</v>
      </c>
      <c r="E183" s="19">
        <f>'Nominal house prices'!H183</f>
        <v>230388.26426666669</v>
      </c>
      <c r="F183" s="75">
        <f>'Nominal construction costs'!H183</f>
        <v>143.75493333333333</v>
      </c>
      <c r="G183" s="19">
        <f>Transactions!H183</f>
        <v>242014</v>
      </c>
      <c r="H183" s="19">
        <f>'Private housing stock'!Y183</f>
        <v>23421.679595708632</v>
      </c>
      <c r="I183" s="75">
        <f>'Interest rate'!H183</f>
        <v>0.75</v>
      </c>
      <c r="J183" s="75">
        <f>'House price (income) deflator'!H183</f>
        <v>98.933013918289731</v>
      </c>
      <c r="K183" s="75">
        <f>'Construction cost deflator'!H183</f>
        <v>92.805099999999996</v>
      </c>
    </row>
    <row r="184" spans="2:11" x14ac:dyDescent="0.25">
      <c r="B184">
        <v>2019</v>
      </c>
      <c r="C184" s="8" t="s">
        <v>0</v>
      </c>
      <c r="D184" s="19">
        <f>'House building'!H184</f>
        <v>37430</v>
      </c>
      <c r="E184" s="19">
        <f>'Nominal house prices'!H184</f>
        <v>227718.97306666666</v>
      </c>
      <c r="F184" s="75">
        <f>'Nominal construction costs'!H184</f>
        <v>145.20786666666663</v>
      </c>
      <c r="G184" s="19">
        <f>Transactions!H184</f>
        <v>186586</v>
      </c>
      <c r="H184" s="19">
        <f>'Private housing stock'!Y184</f>
        <v>23475.689881336042</v>
      </c>
      <c r="I184" s="75">
        <f>'Interest rate'!H184</f>
        <v>0.75</v>
      </c>
      <c r="J184" s="75">
        <f>'House price (income) deflator'!H184</f>
        <v>99.1913507765248</v>
      </c>
      <c r="K184" s="75">
        <f>'Construction cost deflator'!H184</f>
        <v>92.877600000000001</v>
      </c>
    </row>
    <row r="185" spans="2:11" x14ac:dyDescent="0.25">
      <c r="C185" s="8" t="s">
        <v>1</v>
      </c>
      <c r="D185" s="19">
        <f>'House building'!H185</f>
        <v>38120</v>
      </c>
      <c r="E185" s="19">
        <f>'Nominal house prices'!H185</f>
        <v>229286.50473333334</v>
      </c>
      <c r="F185" s="75">
        <f>'Nominal construction costs'!H185</f>
        <v>147.25906666666666</v>
      </c>
      <c r="G185" s="19">
        <f>Transactions!H185</f>
        <v>207233</v>
      </c>
      <c r="H185" s="19">
        <f>'Private housing stock'!Y185</f>
        <v>23535.633519437069</v>
      </c>
      <c r="I185" s="75">
        <f>'Interest rate'!H185</f>
        <v>0.75</v>
      </c>
      <c r="J185" s="75">
        <f>'House price (income) deflator'!H185</f>
        <v>99.7912436807609</v>
      </c>
      <c r="K185" s="75">
        <f>'Construction cost deflator'!H185</f>
        <v>93.642200000000003</v>
      </c>
    </row>
    <row r="186" spans="2:11" x14ac:dyDescent="0.25">
      <c r="C186" s="8" t="s">
        <v>2</v>
      </c>
      <c r="D186" s="19">
        <f>'House building'!H186</f>
        <v>41770</v>
      </c>
      <c r="E186" s="19">
        <f>'Nominal house prices'!H186</f>
        <v>233173.47783333334</v>
      </c>
      <c r="F186" s="75">
        <f>'Nominal construction costs'!H186</f>
        <v>147.90006666666667</v>
      </c>
      <c r="G186" s="19">
        <f>Transactions!H186</f>
        <v>234246</v>
      </c>
      <c r="H186" s="19">
        <f>'Private housing stock'!Y186</f>
        <v>23599.253232666964</v>
      </c>
      <c r="I186" s="75">
        <f>'Interest rate'!H186</f>
        <v>0.75</v>
      </c>
      <c r="J186" s="75">
        <f>'House price (income) deflator'!H186</f>
        <v>100.32111654786083</v>
      </c>
      <c r="K186" s="75">
        <f>'Construction cost deflator'!H186</f>
        <v>94.227199999999996</v>
      </c>
    </row>
    <row r="187" spans="2:11" x14ac:dyDescent="0.25">
      <c r="C187" s="8" t="s">
        <v>3</v>
      </c>
      <c r="D187" s="19">
        <f>'House building'!H187</f>
        <v>29700</v>
      </c>
      <c r="E187" s="19">
        <f>'Nominal house prices'!H187</f>
        <v>232269.37416666665</v>
      </c>
      <c r="F187" s="75">
        <f>'Nominal construction costs'!H187</f>
        <v>146.87446666666665</v>
      </c>
      <c r="G187" s="19">
        <f>Transactions!H187</f>
        <v>234740</v>
      </c>
      <c r="H187" s="19">
        <f>'Private housing stock'!Y187</f>
        <v>23668.964550127945</v>
      </c>
      <c r="I187" s="75">
        <f>'Interest rate'!H187</f>
        <v>0.75</v>
      </c>
      <c r="J187" s="75">
        <f>'House price (income) deflator'!H187</f>
        <v>100.68262729855961</v>
      </c>
      <c r="K187" s="75">
        <f>'Construction cost deflator'!H187</f>
        <v>95.0124</v>
      </c>
    </row>
    <row r="188" spans="2:11" x14ac:dyDescent="0.25">
      <c r="B188">
        <v>2020</v>
      </c>
      <c r="C188" s="8" t="s">
        <v>0</v>
      </c>
      <c r="D188" s="19">
        <f>'House building'!H188</f>
        <v>33120</v>
      </c>
      <c r="E188" s="19">
        <f>'Nominal house prices'!H188</f>
        <v>231744.23896666666</v>
      </c>
      <c r="F188" s="75">
        <f>'Nominal construction costs'!H188</f>
        <v>147.0454</v>
      </c>
      <c r="G188" s="19">
        <f>Transactions!H188</f>
        <v>180476</v>
      </c>
      <c r="H188" s="19">
        <f>'Private housing stock'!Y188</f>
        <v>23718.531850309682</v>
      </c>
      <c r="I188" s="75">
        <f>'Interest rate'!H188</f>
        <v>0.61318681318681334</v>
      </c>
      <c r="J188" s="75">
        <f>'House price (income) deflator'!H188</f>
        <v>100.54676258992805</v>
      </c>
      <c r="K188" s="75">
        <f>'Construction cost deflator'!H188</f>
        <v>96.244100000000003</v>
      </c>
    </row>
    <row r="189" spans="2:11" x14ac:dyDescent="0.25">
      <c r="C189" s="8" t="s">
        <v>1</v>
      </c>
      <c r="D189" s="19">
        <f>'House building'!H189</f>
        <v>14660</v>
      </c>
      <c r="E189" s="19">
        <f>'Nominal house prices'!H189</f>
        <v>232176.23766666665</v>
      </c>
      <c r="F189" s="75">
        <f>'Nominal construction costs'!H189</f>
        <v>147.25906666666666</v>
      </c>
      <c r="G189" s="19">
        <f>Transactions!H189</f>
        <v>106105</v>
      </c>
      <c r="H189" s="19">
        <f>'Private housing stock'!Y189</f>
        <v>23781</v>
      </c>
      <c r="I189" s="75">
        <f>'Interest rate'!H189</f>
        <v>9.9999999999999825E-2</v>
      </c>
      <c r="J189" s="75">
        <f>'House price (income) deflator'!H189</f>
        <v>101.11553402984906</v>
      </c>
      <c r="K189" s="75">
        <f>'Construction cost deflator'!H189</f>
        <v>103.5271</v>
      </c>
    </row>
    <row r="190" spans="2:11" x14ac:dyDescent="0.25">
      <c r="C190" s="8" t="s">
        <v>2</v>
      </c>
      <c r="D190" s="19">
        <f>'House building'!H190</f>
        <v>34980</v>
      </c>
      <c r="E190" s="19">
        <f>'Nominal house prices'!H190</f>
        <v>239075.34083333332</v>
      </c>
      <c r="F190" s="75">
        <f>'Nominal construction costs'!H190</f>
        <v>148.11373333333333</v>
      </c>
      <c r="G190" s="19">
        <f>Transactions!H190</f>
        <v>181639</v>
      </c>
      <c r="H190" s="19">
        <f>'Private housing stock'!Y190</f>
        <v>23815.078136496475</v>
      </c>
      <c r="I190" s="75">
        <f>'Interest rate'!H190</f>
        <v>9.9999999999999825E-2</v>
      </c>
      <c r="J190" s="75">
        <f>'House price (income) deflator'!H190</f>
        <v>101.1612239735143</v>
      </c>
      <c r="K190" s="75">
        <f>'Construction cost deflator'!H190</f>
        <v>99.662899999999993</v>
      </c>
    </row>
    <row r="191" spans="2:11" x14ac:dyDescent="0.25">
      <c r="C191" s="8" t="s">
        <v>3</v>
      </c>
      <c r="D191" s="19">
        <f>'House building'!H191</f>
        <v>33580</v>
      </c>
      <c r="E191" s="19">
        <f>'Nominal house prices'!H191</f>
        <v>245874.62526666667</v>
      </c>
      <c r="F191" s="75">
        <f>'Nominal construction costs'!H191</f>
        <v>148.79746666666665</v>
      </c>
      <c r="G191" s="19">
        <f>Transactions!H191</f>
        <v>253724</v>
      </c>
      <c r="H191" s="19">
        <f>'Private housing stock'!Y191</f>
        <v>23896.391452638818</v>
      </c>
      <c r="I191" s="75">
        <f>'Interest rate'!H191</f>
        <v>9.9999999999999825E-2</v>
      </c>
      <c r="J191" s="75">
        <f>'House price (income) deflator'!H191</f>
        <v>101.18172896926517</v>
      </c>
      <c r="K191" s="75">
        <f>'Construction cost deflator'!H191</f>
        <v>99.480500000000006</v>
      </c>
    </row>
    <row r="192" spans="2:11" x14ac:dyDescent="0.25">
      <c r="B192">
        <v>2021</v>
      </c>
      <c r="C192" s="8" t="s">
        <v>0</v>
      </c>
      <c r="D192" s="19">
        <f>'House building'!H192</f>
        <v>41730</v>
      </c>
      <c r="E192" s="19">
        <f>'Nominal house prices'!H192</f>
        <v>250927.06266666666</v>
      </c>
      <c r="F192" s="75">
        <f>'Nominal construction costs'!H192</f>
        <v>150.46406666666667</v>
      </c>
      <c r="G192" s="19">
        <f>Transactions!H192</f>
        <v>275162</v>
      </c>
      <c r="H192" s="19">
        <f>'Private housing stock'!Y192</f>
        <v>23974.45037648272</v>
      </c>
      <c r="I192" s="75">
        <f>'Interest rate'!H192</f>
        <v>9.9999999999999825E-2</v>
      </c>
      <c r="J192" s="75">
        <f>'House price (income) deflator'!H192</f>
        <v>102.25471470284748</v>
      </c>
      <c r="K192" s="75">
        <f>'Construction cost deflator'!H192</f>
        <v>100.2115</v>
      </c>
    </row>
    <row r="193" spans="2:11" x14ac:dyDescent="0.25">
      <c r="C193" s="8" t="s">
        <v>1</v>
      </c>
      <c r="D193" s="19">
        <f>'House building'!H193</f>
        <v>42370</v>
      </c>
      <c r="E193" s="19">
        <f>'Nominal house prices'!H193</f>
        <v>255723.74239999999</v>
      </c>
      <c r="F193" s="75">
        <f>'Nominal construction costs'!H193</f>
        <v>153.62633333333332</v>
      </c>
      <c r="G193" s="19">
        <f>Transactions!H193</f>
        <v>296314</v>
      </c>
      <c r="H193" s="19">
        <f>'Private housing stock'!Y193</f>
        <v>24051.439999999999</v>
      </c>
      <c r="I193" s="75">
        <f>'Interest rate'!H193</f>
        <v>9.9999999999999825E-2</v>
      </c>
      <c r="J193" s="75">
        <f>'House price (income) deflator'!H193</f>
        <v>102.56832274362704</v>
      </c>
      <c r="K193" s="75">
        <f>'Construction cost deflator'!H193</f>
        <v>98.326899999999995</v>
      </c>
    </row>
    <row r="194" spans="2:11" x14ac:dyDescent="0.25">
      <c r="C194" s="8" t="s">
        <v>2</v>
      </c>
      <c r="D194" s="19">
        <f>'House building'!H194</f>
        <v>41220</v>
      </c>
      <c r="E194" s="19">
        <f>'Nominal house prices'!H194</f>
        <v>260797.46228333333</v>
      </c>
      <c r="F194" s="75">
        <f>'Nominal construction costs'!H194</f>
        <v>158.28426666666664</v>
      </c>
      <c r="G194" s="19">
        <f>Transactions!H194</f>
        <v>235215</v>
      </c>
      <c r="H194" s="19">
        <f>'Private housing stock'!Y194</f>
        <v>24107.487591053734</v>
      </c>
      <c r="I194" s="75">
        <f>'Interest rate'!H194</f>
        <v>9.9999999999999825E-2</v>
      </c>
      <c r="J194" s="75">
        <f>'House price (income) deflator'!H194</f>
        <v>103.87650666564721</v>
      </c>
      <c r="K194" s="75">
        <f>'Construction cost deflator'!H194</f>
        <v>99.248599999999996</v>
      </c>
    </row>
    <row r="195" spans="2:11" x14ac:dyDescent="0.25">
      <c r="C195" s="8" t="s">
        <v>3</v>
      </c>
      <c r="D195" s="19">
        <f>'House building'!H195</f>
        <v>31930</v>
      </c>
      <c r="E195" s="19">
        <f>'Nominal house prices'!H195</f>
        <v>266894.84483333334</v>
      </c>
      <c r="F195" s="75">
        <f>'Nominal construction costs'!H195</f>
        <v>162.173</v>
      </c>
      <c r="G195" s="19">
        <f>Transactions!H195</f>
        <v>179968</v>
      </c>
      <c r="H195" s="19">
        <f>'Private housing stock'!Y195</f>
        <v>24162.013947042287</v>
      </c>
      <c r="I195" s="75">
        <f>'Interest rate'!H195</f>
        <v>0.12608695652173901</v>
      </c>
      <c r="J195" s="75">
        <f>'House price (income) deflator'!H195</f>
        <v>105.47796357170689</v>
      </c>
      <c r="K195" s="75">
        <f>'Construction cost deflator'!H195</f>
        <v>100.3617</v>
      </c>
    </row>
    <row r="196" spans="2:11" x14ac:dyDescent="0.25">
      <c r="B196">
        <v>2022</v>
      </c>
      <c r="C196" s="8" t="s">
        <v>0</v>
      </c>
      <c r="D196" s="19">
        <f>'House building'!H196</f>
        <v>38610</v>
      </c>
      <c r="E196" s="19">
        <f>'Nominal house prices'!H196</f>
        <v>274730.63396000001</v>
      </c>
      <c r="F196" s="75">
        <f>'Nominal construction costs'!H196</f>
        <v>166.74546666666669</v>
      </c>
      <c r="G196" s="19">
        <f>Transactions!H196</f>
        <v>170403</v>
      </c>
      <c r="H196" s="19">
        <f>'Private housing stock'!Y196</f>
        <v>24204.251369330366</v>
      </c>
      <c r="I196" s="75">
        <f>'Interest rate'!H196</f>
        <v>0.45</v>
      </c>
      <c r="J196" s="75">
        <f>'House price (income) deflator'!H196</f>
        <v>107.26038945782716</v>
      </c>
      <c r="K196" s="75">
        <f>'Construction cost deflator'!H196</f>
        <v>102.0628</v>
      </c>
    </row>
    <row r="197" spans="2:11" x14ac:dyDescent="0.25">
      <c r="C197" s="8" t="s">
        <v>1</v>
      </c>
      <c r="D197" s="19">
        <f>'House building'!H197</f>
        <v>53150</v>
      </c>
      <c r="E197" s="19">
        <f>'Nominal house prices'!H197</f>
        <v>282450.39941999997</v>
      </c>
      <c r="F197" s="75">
        <f>'Nominal construction costs'!H197</f>
        <v>172.42899999999995</v>
      </c>
      <c r="G197" s="19">
        <f>Transactions!H197</f>
        <v>155136</v>
      </c>
      <c r="H197" s="19">
        <f>'Private housing stock'!Y197</f>
        <v>24259.452359999999</v>
      </c>
      <c r="I197" s="75">
        <f>'Interest rate'!H197</f>
        <v>0.94780219780219777</v>
      </c>
      <c r="J197" s="75">
        <f>'House price (income) deflator'!H197</f>
        <v>110.84347433086154</v>
      </c>
      <c r="K197" s="75">
        <f>'Construction cost deflator'!H197</f>
        <v>103.7615</v>
      </c>
    </row>
    <row r="199" spans="2:11" x14ac:dyDescent="0.25">
      <c r="E199" s="33"/>
      <c r="F199" s="33"/>
      <c r="J199" s="33"/>
      <c r="K199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5A502-9580-493B-AC5C-D0B01F93B9D2}">
  <dimension ref="B3:J197"/>
  <sheetViews>
    <sheetView zoomScale="75" zoomScaleNormal="75" workbookViewId="0">
      <selection activeCell="B8" sqref="B8:C8"/>
    </sheetView>
  </sheetViews>
  <sheetFormatPr defaultRowHeight="15" x14ac:dyDescent="0.25"/>
  <cols>
    <col min="1" max="1" width="2.7109375" customWidth="1"/>
    <col min="2" max="2" width="8.7109375" customWidth="1"/>
    <col min="3" max="3" width="4.7109375" customWidth="1"/>
    <col min="4" max="7" width="15.7109375" customWidth="1"/>
    <col min="8" max="8" width="15.7109375" style="95" customWidth="1"/>
    <col min="9" max="10" width="15.7109375" customWidth="1"/>
    <col min="11" max="11" width="2.7109375" customWidth="1"/>
  </cols>
  <sheetData>
    <row r="3" spans="2:10" x14ac:dyDescent="0.25">
      <c r="D3" t="s">
        <v>4</v>
      </c>
      <c r="E3" t="s">
        <v>5</v>
      </c>
      <c r="F3" t="s">
        <v>6</v>
      </c>
      <c r="G3" t="s">
        <v>18</v>
      </c>
      <c r="H3" s="95" t="s">
        <v>7</v>
      </c>
      <c r="I3" t="s">
        <v>8</v>
      </c>
      <c r="J3" t="s">
        <v>9</v>
      </c>
    </row>
    <row r="4" spans="2:10" ht="135" customHeight="1" x14ac:dyDescent="0.25">
      <c r="B4" s="2" t="s">
        <v>17</v>
      </c>
      <c r="C4" s="2"/>
      <c r="D4" s="3" t="s">
        <v>10</v>
      </c>
      <c r="E4" s="3" t="s">
        <v>11</v>
      </c>
      <c r="F4" s="3" t="s">
        <v>11</v>
      </c>
      <c r="G4" s="3" t="s">
        <v>11</v>
      </c>
      <c r="H4" s="96" t="s">
        <v>23</v>
      </c>
      <c r="I4" s="2"/>
      <c r="J4" s="2"/>
    </row>
    <row r="5" spans="2:10" ht="45" customHeight="1" x14ac:dyDescent="0.25">
      <c r="B5" s="2" t="s">
        <v>16</v>
      </c>
      <c r="C5" s="2"/>
      <c r="D5" s="3"/>
      <c r="E5" s="3" t="s">
        <v>25</v>
      </c>
      <c r="F5" s="3" t="s">
        <v>25</v>
      </c>
      <c r="G5" s="3" t="s">
        <v>25</v>
      </c>
      <c r="H5" s="97"/>
      <c r="I5" s="2"/>
      <c r="J5" s="2"/>
    </row>
    <row r="6" spans="2:10" ht="15.75" customHeight="1" x14ac:dyDescent="0.25">
      <c r="B6" s="2" t="s">
        <v>13</v>
      </c>
      <c r="C6" s="2"/>
      <c r="D6" s="3" t="s">
        <v>14</v>
      </c>
      <c r="E6" s="28" t="s">
        <v>12</v>
      </c>
      <c r="F6" s="28" t="s">
        <v>12</v>
      </c>
      <c r="G6" s="28" t="s">
        <v>12</v>
      </c>
      <c r="H6" s="97"/>
      <c r="I6" s="2"/>
      <c r="J6" s="2"/>
    </row>
    <row r="7" spans="2:10" ht="15.75" customHeight="1" x14ac:dyDescent="0.25">
      <c r="B7" s="2" t="s">
        <v>15</v>
      </c>
      <c r="C7" s="2"/>
      <c r="D7" s="3" t="s">
        <v>14</v>
      </c>
      <c r="E7" s="3" t="s">
        <v>19</v>
      </c>
      <c r="F7" s="3" t="s">
        <v>20</v>
      </c>
      <c r="G7" s="3" t="s">
        <v>21</v>
      </c>
      <c r="H7" s="99"/>
      <c r="I7" s="2"/>
      <c r="J7" s="2"/>
    </row>
    <row r="8" spans="2:10" x14ac:dyDescent="0.25">
      <c r="B8">
        <v>1975</v>
      </c>
      <c r="C8" s="4" t="s">
        <v>0</v>
      </c>
      <c r="D8" s="13">
        <v>28800</v>
      </c>
      <c r="H8" s="100">
        <f>SUM(D8:G8)</f>
        <v>28800</v>
      </c>
      <c r="I8" s="19">
        <v>28800</v>
      </c>
      <c r="J8" s="1">
        <f>H8-I8</f>
        <v>0</v>
      </c>
    </row>
    <row r="9" spans="2:10" x14ac:dyDescent="0.25">
      <c r="C9" s="4" t="s">
        <v>1</v>
      </c>
      <c r="D9" s="13">
        <v>41600</v>
      </c>
      <c r="H9" s="100">
        <f t="shared" ref="H9:H72" si="0">SUM(D9:G9)</f>
        <v>41600</v>
      </c>
      <c r="I9" s="19">
        <v>41600</v>
      </c>
      <c r="J9" s="1">
        <f t="shared" ref="J9:J72" si="1">H9-I9</f>
        <v>0</v>
      </c>
    </row>
    <row r="10" spans="2:10" x14ac:dyDescent="0.25">
      <c r="C10" s="4" t="s">
        <v>2</v>
      </c>
      <c r="D10" s="13">
        <v>41400</v>
      </c>
      <c r="H10" s="100">
        <f t="shared" si="0"/>
        <v>41400</v>
      </c>
      <c r="I10" s="19">
        <v>41400</v>
      </c>
      <c r="J10" s="1">
        <f t="shared" si="1"/>
        <v>0</v>
      </c>
    </row>
    <row r="11" spans="2:10" x14ac:dyDescent="0.25">
      <c r="C11" s="4" t="s">
        <v>3</v>
      </c>
      <c r="D11" s="13">
        <v>37400</v>
      </c>
      <c r="H11" s="100">
        <f t="shared" si="0"/>
        <v>37400</v>
      </c>
      <c r="I11" s="19">
        <v>37400</v>
      </c>
      <c r="J11" s="1">
        <f t="shared" si="1"/>
        <v>0</v>
      </c>
    </row>
    <row r="12" spans="2:10" x14ac:dyDescent="0.25">
      <c r="B12">
        <v>1976</v>
      </c>
      <c r="C12" s="4" t="s">
        <v>0</v>
      </c>
      <c r="D12" s="13">
        <v>37200</v>
      </c>
      <c r="H12" s="100">
        <f t="shared" si="0"/>
        <v>37200</v>
      </c>
      <c r="I12" s="19">
        <v>37200</v>
      </c>
      <c r="J12" s="1">
        <f t="shared" si="1"/>
        <v>0</v>
      </c>
    </row>
    <row r="13" spans="2:10" x14ac:dyDescent="0.25">
      <c r="C13" s="4" t="s">
        <v>1</v>
      </c>
      <c r="D13" s="13">
        <v>46500</v>
      </c>
      <c r="H13" s="100">
        <f t="shared" si="0"/>
        <v>46500</v>
      </c>
      <c r="I13" s="19">
        <v>46500</v>
      </c>
      <c r="J13" s="1">
        <f t="shared" si="1"/>
        <v>0</v>
      </c>
    </row>
    <row r="14" spans="2:10" x14ac:dyDescent="0.25">
      <c r="C14" s="4" t="s">
        <v>2</v>
      </c>
      <c r="D14" s="13">
        <v>42800</v>
      </c>
      <c r="H14" s="100">
        <f t="shared" si="0"/>
        <v>42800</v>
      </c>
      <c r="I14" s="19">
        <v>42800</v>
      </c>
      <c r="J14" s="1">
        <f t="shared" si="1"/>
        <v>0</v>
      </c>
    </row>
    <row r="15" spans="2:10" x14ac:dyDescent="0.25">
      <c r="C15" s="4" t="s">
        <v>3</v>
      </c>
      <c r="D15" s="13">
        <v>28100</v>
      </c>
      <c r="H15" s="100">
        <f t="shared" si="0"/>
        <v>28100</v>
      </c>
      <c r="I15" s="19">
        <v>28100</v>
      </c>
      <c r="J15" s="1">
        <f t="shared" si="1"/>
        <v>0</v>
      </c>
    </row>
    <row r="16" spans="2:10" x14ac:dyDescent="0.25">
      <c r="B16">
        <v>1977</v>
      </c>
      <c r="C16" s="4" t="s">
        <v>0</v>
      </c>
      <c r="D16" s="13">
        <v>26200</v>
      </c>
      <c r="H16" s="100">
        <f t="shared" si="0"/>
        <v>26200</v>
      </c>
      <c r="I16" s="19">
        <v>26200</v>
      </c>
      <c r="J16" s="1">
        <f t="shared" si="1"/>
        <v>0</v>
      </c>
    </row>
    <row r="17" spans="2:10" x14ac:dyDescent="0.25">
      <c r="C17" s="4" t="s">
        <v>1</v>
      </c>
      <c r="D17" s="13">
        <v>38100</v>
      </c>
      <c r="H17" s="100">
        <f t="shared" si="0"/>
        <v>38100</v>
      </c>
      <c r="I17" s="19">
        <v>38100</v>
      </c>
      <c r="J17" s="1">
        <f t="shared" si="1"/>
        <v>0</v>
      </c>
    </row>
    <row r="18" spans="2:10" x14ac:dyDescent="0.25">
      <c r="C18" s="4" t="s">
        <v>2</v>
      </c>
      <c r="D18" s="13">
        <v>39100</v>
      </c>
      <c r="H18" s="100">
        <f t="shared" si="0"/>
        <v>39100</v>
      </c>
      <c r="I18" s="19">
        <v>39100</v>
      </c>
      <c r="J18" s="1">
        <f t="shared" si="1"/>
        <v>0</v>
      </c>
    </row>
    <row r="19" spans="2:10" x14ac:dyDescent="0.25">
      <c r="C19" s="4" t="s">
        <v>3</v>
      </c>
      <c r="D19" s="13">
        <v>31400</v>
      </c>
      <c r="H19" s="100">
        <f t="shared" si="0"/>
        <v>31400</v>
      </c>
      <c r="I19" s="19">
        <v>31400</v>
      </c>
      <c r="J19" s="1">
        <f t="shared" si="1"/>
        <v>0</v>
      </c>
    </row>
    <row r="20" spans="2:10" x14ac:dyDescent="0.25">
      <c r="B20" s="5">
        <v>1978</v>
      </c>
      <c r="C20" s="4" t="s">
        <v>0</v>
      </c>
      <c r="E20" s="14">
        <v>25880</v>
      </c>
      <c r="F20" s="14">
        <v>1490</v>
      </c>
      <c r="G20" s="15">
        <v>3020</v>
      </c>
      <c r="H20" s="100">
        <f t="shared" si="0"/>
        <v>30390</v>
      </c>
      <c r="I20" s="19">
        <v>30390</v>
      </c>
      <c r="J20" s="1">
        <f t="shared" si="1"/>
        <v>0</v>
      </c>
    </row>
    <row r="21" spans="2:10" x14ac:dyDescent="0.25">
      <c r="B21" s="5"/>
      <c r="C21" s="4" t="s">
        <v>1</v>
      </c>
      <c r="E21" s="14">
        <v>39760</v>
      </c>
      <c r="F21" s="14">
        <v>2110</v>
      </c>
      <c r="G21" s="15">
        <v>4640</v>
      </c>
      <c r="H21" s="100">
        <f t="shared" si="0"/>
        <v>46510</v>
      </c>
      <c r="I21" s="19">
        <v>46510</v>
      </c>
      <c r="J21" s="1">
        <f t="shared" si="1"/>
        <v>0</v>
      </c>
    </row>
    <row r="22" spans="2:10" x14ac:dyDescent="0.25">
      <c r="B22" s="5"/>
      <c r="C22" s="4" t="s">
        <v>2</v>
      </c>
      <c r="E22" s="14">
        <v>34490</v>
      </c>
      <c r="F22" s="14">
        <v>1780</v>
      </c>
      <c r="G22" s="15">
        <v>5040</v>
      </c>
      <c r="H22" s="100">
        <f t="shared" si="0"/>
        <v>41310</v>
      </c>
      <c r="I22" s="19">
        <v>41310</v>
      </c>
      <c r="J22" s="1">
        <f t="shared" si="1"/>
        <v>0</v>
      </c>
    </row>
    <row r="23" spans="2:10" x14ac:dyDescent="0.25">
      <c r="B23" s="5"/>
      <c r="C23" s="4" t="s">
        <v>3</v>
      </c>
      <c r="E23" s="14">
        <v>33450</v>
      </c>
      <c r="F23" s="14">
        <v>1790</v>
      </c>
      <c r="G23" s="15">
        <v>3860</v>
      </c>
      <c r="H23" s="100">
        <f t="shared" si="0"/>
        <v>39100</v>
      </c>
      <c r="I23" s="19">
        <v>39100</v>
      </c>
      <c r="J23" s="1">
        <f t="shared" si="1"/>
        <v>0</v>
      </c>
    </row>
    <row r="24" spans="2:10" x14ac:dyDescent="0.25">
      <c r="B24" s="5">
        <v>1979</v>
      </c>
      <c r="C24" s="4" t="s">
        <v>0</v>
      </c>
      <c r="E24" s="14">
        <v>19060</v>
      </c>
      <c r="F24" s="14">
        <v>1460</v>
      </c>
      <c r="G24" s="15">
        <v>2800</v>
      </c>
      <c r="H24" s="100">
        <f t="shared" si="0"/>
        <v>23320</v>
      </c>
      <c r="I24" s="19">
        <v>23320</v>
      </c>
      <c r="J24" s="1">
        <f t="shared" si="1"/>
        <v>0</v>
      </c>
    </row>
    <row r="25" spans="2:10" x14ac:dyDescent="0.25">
      <c r="B25" s="5"/>
      <c r="C25" s="4" t="s">
        <v>1</v>
      </c>
      <c r="E25" s="14">
        <v>33300</v>
      </c>
      <c r="F25" s="14">
        <v>2100</v>
      </c>
      <c r="G25" s="15">
        <v>4650</v>
      </c>
      <c r="H25" s="100">
        <f t="shared" si="0"/>
        <v>40050</v>
      </c>
      <c r="I25" s="19">
        <v>40050</v>
      </c>
      <c r="J25" s="1">
        <f t="shared" si="1"/>
        <v>0</v>
      </c>
    </row>
    <row r="26" spans="2:10" x14ac:dyDescent="0.25">
      <c r="B26" s="5"/>
      <c r="C26" s="4" t="s">
        <v>2</v>
      </c>
      <c r="E26" s="14">
        <v>34260</v>
      </c>
      <c r="F26" s="14">
        <v>2550</v>
      </c>
      <c r="G26" s="15">
        <v>4440</v>
      </c>
      <c r="H26" s="100">
        <f t="shared" si="0"/>
        <v>41250</v>
      </c>
      <c r="I26" s="19">
        <v>41250</v>
      </c>
      <c r="J26" s="1">
        <f t="shared" si="1"/>
        <v>0</v>
      </c>
    </row>
    <row r="27" spans="2:10" x14ac:dyDescent="0.25">
      <c r="B27" s="5"/>
      <c r="C27" s="4" t="s">
        <v>3</v>
      </c>
      <c r="E27" s="14">
        <v>34510</v>
      </c>
      <c r="F27" s="14">
        <v>1470</v>
      </c>
      <c r="G27" s="15">
        <v>3410</v>
      </c>
      <c r="H27" s="100">
        <f t="shared" si="0"/>
        <v>39390</v>
      </c>
      <c r="I27" s="19">
        <v>39390</v>
      </c>
      <c r="J27" s="1">
        <f t="shared" si="1"/>
        <v>0</v>
      </c>
    </row>
    <row r="28" spans="2:10" x14ac:dyDescent="0.25">
      <c r="B28" s="5">
        <v>1980</v>
      </c>
      <c r="C28" s="4" t="s">
        <v>0</v>
      </c>
      <c r="E28" s="14">
        <v>20470</v>
      </c>
      <c r="F28" s="14">
        <v>1300</v>
      </c>
      <c r="G28" s="15">
        <v>2760</v>
      </c>
      <c r="H28" s="100">
        <f t="shared" si="0"/>
        <v>24530</v>
      </c>
      <c r="I28" s="19">
        <v>24540</v>
      </c>
      <c r="J28" s="1">
        <f t="shared" si="1"/>
        <v>-10</v>
      </c>
    </row>
    <row r="29" spans="2:10" x14ac:dyDescent="0.25">
      <c r="B29" s="5"/>
      <c r="C29" s="4" t="s">
        <v>1</v>
      </c>
      <c r="E29" s="14">
        <v>25210</v>
      </c>
      <c r="F29" s="14">
        <v>1480</v>
      </c>
      <c r="G29" s="15">
        <v>2750</v>
      </c>
      <c r="H29" s="100">
        <f t="shared" si="0"/>
        <v>29440</v>
      </c>
      <c r="I29" s="19">
        <v>29450</v>
      </c>
      <c r="J29" s="1">
        <f t="shared" si="1"/>
        <v>-10</v>
      </c>
    </row>
    <row r="30" spans="2:10" x14ac:dyDescent="0.25">
      <c r="B30" s="5"/>
      <c r="C30" s="4" t="s">
        <v>2</v>
      </c>
      <c r="E30" s="14">
        <v>20120</v>
      </c>
      <c r="F30" s="14">
        <v>1030</v>
      </c>
      <c r="G30" s="15">
        <v>2220</v>
      </c>
      <c r="H30" s="100">
        <f t="shared" si="0"/>
        <v>23370</v>
      </c>
      <c r="I30" s="19">
        <v>23390</v>
      </c>
      <c r="J30" s="1">
        <f t="shared" si="1"/>
        <v>-20</v>
      </c>
    </row>
    <row r="31" spans="2:10" x14ac:dyDescent="0.25">
      <c r="B31" s="5"/>
      <c r="C31" s="4" t="s">
        <v>3</v>
      </c>
      <c r="E31" s="14">
        <v>17500</v>
      </c>
      <c r="F31" s="14">
        <v>1220</v>
      </c>
      <c r="G31" s="15">
        <v>1950</v>
      </c>
      <c r="H31" s="100">
        <f t="shared" si="0"/>
        <v>20670</v>
      </c>
      <c r="I31" s="19">
        <v>20630</v>
      </c>
      <c r="J31" s="1">
        <f t="shared" si="1"/>
        <v>40</v>
      </c>
    </row>
    <row r="32" spans="2:10" x14ac:dyDescent="0.25">
      <c r="B32" s="5">
        <v>1981</v>
      </c>
      <c r="C32" s="4" t="s">
        <v>0</v>
      </c>
      <c r="E32" s="14">
        <v>22790</v>
      </c>
      <c r="F32" s="14">
        <v>830</v>
      </c>
      <c r="G32" s="15">
        <v>2670</v>
      </c>
      <c r="H32" s="100">
        <f t="shared" si="0"/>
        <v>26290</v>
      </c>
      <c r="I32" s="19">
        <v>26290</v>
      </c>
      <c r="J32" s="1">
        <f t="shared" si="1"/>
        <v>0</v>
      </c>
    </row>
    <row r="33" spans="2:10" x14ac:dyDescent="0.25">
      <c r="B33" s="5"/>
      <c r="C33" s="4" t="s">
        <v>1</v>
      </c>
      <c r="E33" s="14">
        <v>27720</v>
      </c>
      <c r="F33" s="14">
        <v>1330</v>
      </c>
      <c r="G33" s="15">
        <v>3190</v>
      </c>
      <c r="H33" s="100">
        <f t="shared" si="0"/>
        <v>32240</v>
      </c>
      <c r="I33" s="19">
        <v>32280</v>
      </c>
      <c r="J33" s="1">
        <f t="shared" si="1"/>
        <v>-40</v>
      </c>
    </row>
    <row r="34" spans="2:10" x14ac:dyDescent="0.25">
      <c r="B34" s="5"/>
      <c r="C34" s="4" t="s">
        <v>2</v>
      </c>
      <c r="E34" s="14">
        <v>27830</v>
      </c>
      <c r="F34" s="14">
        <v>1340</v>
      </c>
      <c r="G34" s="15">
        <v>2910</v>
      </c>
      <c r="H34" s="100">
        <f t="shared" si="0"/>
        <v>32080</v>
      </c>
      <c r="I34" s="19">
        <v>32040</v>
      </c>
      <c r="J34" s="1">
        <f t="shared" si="1"/>
        <v>40</v>
      </c>
    </row>
    <row r="35" spans="2:10" x14ac:dyDescent="0.25">
      <c r="B35" s="5"/>
      <c r="C35" s="4" t="s">
        <v>3</v>
      </c>
      <c r="E35" s="14">
        <v>21270</v>
      </c>
      <c r="F35" s="14">
        <v>990</v>
      </c>
      <c r="G35" s="15">
        <v>2260</v>
      </c>
      <c r="H35" s="100">
        <f t="shared" si="0"/>
        <v>24520</v>
      </c>
      <c r="I35" s="19">
        <v>24510</v>
      </c>
      <c r="J35" s="1">
        <f t="shared" si="1"/>
        <v>10</v>
      </c>
    </row>
    <row r="36" spans="2:10" x14ac:dyDescent="0.25">
      <c r="B36" s="5">
        <v>1982</v>
      </c>
      <c r="C36" s="4" t="s">
        <v>0</v>
      </c>
      <c r="E36" s="14">
        <v>27730</v>
      </c>
      <c r="F36" s="14">
        <v>980</v>
      </c>
      <c r="G36" s="15">
        <v>3060</v>
      </c>
      <c r="H36" s="100">
        <f t="shared" si="0"/>
        <v>31770</v>
      </c>
      <c r="I36" s="19">
        <v>31730</v>
      </c>
      <c r="J36" s="1">
        <f t="shared" si="1"/>
        <v>40</v>
      </c>
    </row>
    <row r="37" spans="2:10" x14ac:dyDescent="0.25">
      <c r="B37" s="5"/>
      <c r="C37" s="4" t="s">
        <v>1</v>
      </c>
      <c r="E37" s="14">
        <v>33340</v>
      </c>
      <c r="F37" s="14">
        <v>1420</v>
      </c>
      <c r="G37" s="15">
        <v>3360</v>
      </c>
      <c r="H37" s="100">
        <f t="shared" si="0"/>
        <v>38120</v>
      </c>
      <c r="I37" s="19">
        <v>38050</v>
      </c>
      <c r="J37" s="1">
        <f t="shared" si="1"/>
        <v>70</v>
      </c>
    </row>
    <row r="38" spans="2:10" x14ac:dyDescent="0.25">
      <c r="B38" s="5"/>
      <c r="C38" s="4" t="s">
        <v>2</v>
      </c>
      <c r="E38" s="14">
        <v>33340</v>
      </c>
      <c r="F38" s="14">
        <v>1650</v>
      </c>
      <c r="G38" s="15">
        <v>3010</v>
      </c>
      <c r="H38" s="100">
        <f t="shared" si="0"/>
        <v>38000</v>
      </c>
      <c r="I38" s="19">
        <v>38010</v>
      </c>
      <c r="J38" s="1">
        <f t="shared" si="1"/>
        <v>-10</v>
      </c>
    </row>
    <row r="39" spans="2:10" x14ac:dyDescent="0.25">
      <c r="B39" s="5"/>
      <c r="C39" s="4" t="s">
        <v>3</v>
      </c>
      <c r="E39" s="14">
        <v>28050</v>
      </c>
      <c r="F39" s="14">
        <v>1390</v>
      </c>
      <c r="G39" s="15">
        <v>2700</v>
      </c>
      <c r="H39" s="100">
        <f t="shared" si="0"/>
        <v>32140</v>
      </c>
      <c r="I39" s="19">
        <v>32259.999999999996</v>
      </c>
      <c r="J39" s="1">
        <f t="shared" si="1"/>
        <v>-119.99999999999636</v>
      </c>
    </row>
    <row r="40" spans="2:10" x14ac:dyDescent="0.25">
      <c r="B40" s="5">
        <v>1983</v>
      </c>
      <c r="C40" s="4" t="s">
        <v>0</v>
      </c>
      <c r="E40" s="14">
        <v>34450</v>
      </c>
      <c r="F40" s="14">
        <v>1720</v>
      </c>
      <c r="G40" s="15">
        <v>3720</v>
      </c>
      <c r="H40" s="100">
        <f t="shared" si="0"/>
        <v>39890</v>
      </c>
      <c r="I40" s="19">
        <v>39920</v>
      </c>
      <c r="J40" s="1">
        <f t="shared" si="1"/>
        <v>-30</v>
      </c>
    </row>
    <row r="41" spans="2:10" x14ac:dyDescent="0.25">
      <c r="B41" s="5"/>
      <c r="C41" s="4" t="s">
        <v>1</v>
      </c>
      <c r="E41" s="14">
        <v>41890</v>
      </c>
      <c r="F41" s="14">
        <v>1730</v>
      </c>
      <c r="G41" s="15">
        <v>4230</v>
      </c>
      <c r="H41" s="100">
        <f t="shared" si="0"/>
        <v>47850</v>
      </c>
      <c r="I41" s="19">
        <v>47810</v>
      </c>
      <c r="J41" s="1">
        <f t="shared" si="1"/>
        <v>40</v>
      </c>
    </row>
    <row r="42" spans="2:10" x14ac:dyDescent="0.25">
      <c r="B42" s="5"/>
      <c r="C42" s="4" t="s">
        <v>2</v>
      </c>
      <c r="E42" s="14">
        <v>38600</v>
      </c>
      <c r="F42" s="14">
        <v>1450</v>
      </c>
      <c r="G42" s="15">
        <v>3680</v>
      </c>
      <c r="H42" s="100">
        <f t="shared" si="0"/>
        <v>43730</v>
      </c>
      <c r="I42" s="19">
        <v>43830</v>
      </c>
      <c r="J42" s="1">
        <f t="shared" si="1"/>
        <v>-100</v>
      </c>
    </row>
    <row r="43" spans="2:10" x14ac:dyDescent="0.25">
      <c r="B43" s="5"/>
      <c r="C43" s="4" t="s">
        <v>3</v>
      </c>
      <c r="E43" s="14">
        <v>32900</v>
      </c>
      <c r="F43" s="14">
        <v>1320</v>
      </c>
      <c r="G43" s="15">
        <v>3560</v>
      </c>
      <c r="H43" s="100">
        <f t="shared" si="0"/>
        <v>37780</v>
      </c>
      <c r="I43" s="19">
        <v>37830</v>
      </c>
      <c r="J43" s="1">
        <f t="shared" si="1"/>
        <v>-50</v>
      </c>
    </row>
    <row r="44" spans="2:10" x14ac:dyDescent="0.25">
      <c r="B44" s="5">
        <v>1984</v>
      </c>
      <c r="C44" s="4" t="s">
        <v>0</v>
      </c>
      <c r="E44" s="14">
        <v>31910</v>
      </c>
      <c r="F44" s="14">
        <v>1280</v>
      </c>
      <c r="G44" s="15">
        <v>3900</v>
      </c>
      <c r="H44" s="100">
        <f t="shared" si="0"/>
        <v>37090</v>
      </c>
      <c r="I44" s="19">
        <v>37100</v>
      </c>
      <c r="J44" s="1">
        <f t="shared" si="1"/>
        <v>-10</v>
      </c>
    </row>
    <row r="45" spans="2:10" x14ac:dyDescent="0.25">
      <c r="B45" s="5"/>
      <c r="C45" s="4" t="s">
        <v>1</v>
      </c>
      <c r="E45" s="14">
        <v>37980</v>
      </c>
      <c r="F45" s="14">
        <v>1620</v>
      </c>
      <c r="G45" s="15">
        <v>4070</v>
      </c>
      <c r="H45" s="100">
        <f t="shared" si="0"/>
        <v>43670</v>
      </c>
      <c r="I45" s="19">
        <v>43710</v>
      </c>
      <c r="J45" s="1">
        <f t="shared" si="1"/>
        <v>-40</v>
      </c>
    </row>
    <row r="46" spans="2:10" x14ac:dyDescent="0.25">
      <c r="B46" s="5"/>
      <c r="C46" s="4" t="s">
        <v>2</v>
      </c>
      <c r="E46" s="14">
        <v>34830</v>
      </c>
      <c r="F46" s="14">
        <v>1380</v>
      </c>
      <c r="G46" s="15">
        <v>3970</v>
      </c>
      <c r="H46" s="100">
        <f t="shared" si="0"/>
        <v>40180</v>
      </c>
      <c r="I46" s="19">
        <v>40270</v>
      </c>
      <c r="J46" s="1">
        <f t="shared" si="1"/>
        <v>-90</v>
      </c>
    </row>
    <row r="47" spans="2:10" x14ac:dyDescent="0.25">
      <c r="B47" s="5"/>
      <c r="C47" s="4" t="s">
        <v>3</v>
      </c>
      <c r="E47" s="14">
        <v>28690</v>
      </c>
      <c r="F47" s="14">
        <v>1330</v>
      </c>
      <c r="G47" s="15">
        <v>2680</v>
      </c>
      <c r="H47" s="100">
        <f t="shared" si="0"/>
        <v>32700</v>
      </c>
      <c r="I47" s="19">
        <v>32640</v>
      </c>
      <c r="J47" s="1">
        <f t="shared" si="1"/>
        <v>60</v>
      </c>
    </row>
    <row r="48" spans="2:10" x14ac:dyDescent="0.25">
      <c r="B48" s="5">
        <v>1985</v>
      </c>
      <c r="C48" s="4" t="s">
        <v>0</v>
      </c>
      <c r="E48" s="14">
        <v>28470</v>
      </c>
      <c r="F48" s="14">
        <v>1710</v>
      </c>
      <c r="G48" s="15">
        <v>3460</v>
      </c>
      <c r="H48" s="100">
        <f t="shared" si="0"/>
        <v>33640</v>
      </c>
      <c r="I48" s="19">
        <v>33420</v>
      </c>
      <c r="J48" s="1">
        <f t="shared" si="1"/>
        <v>220</v>
      </c>
    </row>
    <row r="49" spans="2:10" x14ac:dyDescent="0.25">
      <c r="B49" s="5"/>
      <c r="C49" s="4" t="s">
        <v>1</v>
      </c>
      <c r="E49" s="14">
        <v>39720</v>
      </c>
      <c r="F49" s="14">
        <v>2180</v>
      </c>
      <c r="G49" s="15">
        <v>3560</v>
      </c>
      <c r="H49" s="100">
        <f t="shared" si="0"/>
        <v>45460</v>
      </c>
      <c r="I49" s="19">
        <v>45470</v>
      </c>
      <c r="J49" s="1">
        <f t="shared" si="1"/>
        <v>-10</v>
      </c>
    </row>
    <row r="50" spans="2:10" x14ac:dyDescent="0.25">
      <c r="B50" s="5"/>
      <c r="C50" s="4" t="s">
        <v>2</v>
      </c>
      <c r="E50" s="14">
        <v>39110</v>
      </c>
      <c r="F50" s="14">
        <v>1600</v>
      </c>
      <c r="G50" s="15">
        <v>3940</v>
      </c>
      <c r="H50" s="100">
        <f t="shared" si="0"/>
        <v>44650</v>
      </c>
      <c r="I50" s="19">
        <v>44670</v>
      </c>
      <c r="J50" s="1">
        <f t="shared" si="1"/>
        <v>-20</v>
      </c>
    </row>
    <row r="51" spans="2:10" x14ac:dyDescent="0.25">
      <c r="B51" s="5"/>
      <c r="C51" s="4" t="s">
        <v>3</v>
      </c>
      <c r="E51" s="14">
        <v>33810</v>
      </c>
      <c r="F51" s="14">
        <v>1740</v>
      </c>
      <c r="G51" s="15">
        <v>3140</v>
      </c>
      <c r="H51" s="100">
        <f t="shared" si="0"/>
        <v>38690</v>
      </c>
      <c r="I51" s="19">
        <v>38740</v>
      </c>
      <c r="J51" s="1">
        <f t="shared" si="1"/>
        <v>-50</v>
      </c>
    </row>
    <row r="52" spans="2:10" x14ac:dyDescent="0.25">
      <c r="B52" s="5">
        <v>1986</v>
      </c>
      <c r="C52" s="4" t="s">
        <v>0</v>
      </c>
      <c r="E52" s="14">
        <v>30860</v>
      </c>
      <c r="F52" s="14">
        <v>1440</v>
      </c>
      <c r="G52" s="15">
        <v>3590</v>
      </c>
      <c r="H52" s="100">
        <f t="shared" si="0"/>
        <v>35890</v>
      </c>
      <c r="I52" s="19">
        <v>35980</v>
      </c>
      <c r="J52" s="1">
        <f t="shared" si="1"/>
        <v>-90</v>
      </c>
    </row>
    <row r="53" spans="2:10" x14ac:dyDescent="0.25">
      <c r="B53" s="5"/>
      <c r="C53" s="4" t="s">
        <v>1</v>
      </c>
      <c r="E53" s="14">
        <v>44470</v>
      </c>
      <c r="F53" s="14">
        <v>2110</v>
      </c>
      <c r="G53" s="15">
        <v>3570</v>
      </c>
      <c r="H53" s="100">
        <f t="shared" si="0"/>
        <v>50150</v>
      </c>
      <c r="I53" s="19">
        <v>50180</v>
      </c>
      <c r="J53" s="1">
        <f t="shared" si="1"/>
        <v>-30</v>
      </c>
    </row>
    <row r="54" spans="2:10" x14ac:dyDescent="0.25">
      <c r="B54" s="5"/>
      <c r="C54" s="4" t="s">
        <v>2</v>
      </c>
      <c r="E54" s="14">
        <v>43910</v>
      </c>
      <c r="F54" s="14">
        <v>2160</v>
      </c>
      <c r="G54" s="15">
        <v>3920</v>
      </c>
      <c r="H54" s="100">
        <f t="shared" si="0"/>
        <v>49990</v>
      </c>
      <c r="I54" s="19">
        <v>50070</v>
      </c>
      <c r="J54" s="1">
        <f t="shared" si="1"/>
        <v>-80</v>
      </c>
    </row>
    <row r="55" spans="2:10" x14ac:dyDescent="0.25">
      <c r="B55" s="5"/>
      <c r="C55" s="4" t="s">
        <v>3</v>
      </c>
      <c r="E55" s="14">
        <v>34750</v>
      </c>
      <c r="F55" s="14">
        <v>1480</v>
      </c>
      <c r="G55" s="15">
        <v>3420</v>
      </c>
      <c r="H55" s="100">
        <f t="shared" si="0"/>
        <v>39650</v>
      </c>
      <c r="I55" s="19">
        <v>39620</v>
      </c>
      <c r="J55" s="1">
        <f t="shared" si="1"/>
        <v>30</v>
      </c>
    </row>
    <row r="56" spans="2:10" x14ac:dyDescent="0.25">
      <c r="B56" s="5">
        <v>1987</v>
      </c>
      <c r="C56" s="4" t="s">
        <v>0</v>
      </c>
      <c r="E56" s="14">
        <v>39030</v>
      </c>
      <c r="F56" s="14">
        <v>1890</v>
      </c>
      <c r="G56" s="15">
        <v>3350</v>
      </c>
      <c r="H56" s="100">
        <f t="shared" si="0"/>
        <v>44270</v>
      </c>
      <c r="I56" s="19">
        <v>44320</v>
      </c>
      <c r="J56" s="1">
        <f t="shared" si="1"/>
        <v>-50</v>
      </c>
    </row>
    <row r="57" spans="2:10" x14ac:dyDescent="0.25">
      <c r="B57" s="5"/>
      <c r="C57" s="4" t="s">
        <v>1</v>
      </c>
      <c r="E57" s="14">
        <v>44760</v>
      </c>
      <c r="F57" s="14">
        <v>2470</v>
      </c>
      <c r="G57" s="15">
        <v>3850</v>
      </c>
      <c r="H57" s="100">
        <f t="shared" si="0"/>
        <v>51080</v>
      </c>
      <c r="I57" s="19">
        <v>51110</v>
      </c>
      <c r="J57" s="1">
        <f t="shared" si="1"/>
        <v>-30</v>
      </c>
    </row>
    <row r="58" spans="2:10" x14ac:dyDescent="0.25">
      <c r="B58" s="5"/>
      <c r="C58" s="4" t="s">
        <v>2</v>
      </c>
      <c r="E58" s="14">
        <v>47370</v>
      </c>
      <c r="F58" s="14">
        <v>2630</v>
      </c>
      <c r="G58" s="15">
        <v>3200</v>
      </c>
      <c r="H58" s="100">
        <f t="shared" si="0"/>
        <v>53200</v>
      </c>
      <c r="I58" s="19">
        <v>53160</v>
      </c>
      <c r="J58" s="1">
        <f t="shared" si="1"/>
        <v>40</v>
      </c>
    </row>
    <row r="59" spans="2:10" x14ac:dyDescent="0.25">
      <c r="B59" s="5"/>
      <c r="C59" s="4" t="s">
        <v>3</v>
      </c>
      <c r="E59" s="14">
        <v>40040</v>
      </c>
      <c r="F59" s="14">
        <v>1820</v>
      </c>
      <c r="G59" s="15">
        <v>2660</v>
      </c>
      <c r="H59" s="100">
        <f t="shared" si="0"/>
        <v>44520</v>
      </c>
      <c r="I59" s="19">
        <v>44540</v>
      </c>
      <c r="J59" s="1">
        <f t="shared" si="1"/>
        <v>-20</v>
      </c>
    </row>
    <row r="60" spans="2:10" x14ac:dyDescent="0.25">
      <c r="B60" s="5">
        <v>1988</v>
      </c>
      <c r="C60" s="4" t="s">
        <v>0</v>
      </c>
      <c r="E60" s="14">
        <v>45040</v>
      </c>
      <c r="F60" s="14">
        <v>2390</v>
      </c>
      <c r="G60" s="15">
        <v>3770</v>
      </c>
      <c r="H60" s="100">
        <f t="shared" si="0"/>
        <v>51200</v>
      </c>
      <c r="I60" s="19">
        <v>51260</v>
      </c>
      <c r="J60" s="1">
        <f t="shared" si="1"/>
        <v>-60</v>
      </c>
    </row>
    <row r="61" spans="2:10" x14ac:dyDescent="0.25">
      <c r="B61" s="5"/>
      <c r="C61" s="4" t="s">
        <v>1</v>
      </c>
      <c r="E61" s="14">
        <v>54280</v>
      </c>
      <c r="F61" s="14">
        <v>2980</v>
      </c>
      <c r="G61" s="15">
        <v>4030</v>
      </c>
      <c r="H61" s="100">
        <f t="shared" si="0"/>
        <v>61290</v>
      </c>
      <c r="I61" s="19">
        <v>61310</v>
      </c>
      <c r="J61" s="1">
        <f t="shared" si="1"/>
        <v>-20</v>
      </c>
    </row>
    <row r="62" spans="2:10" x14ac:dyDescent="0.25">
      <c r="B62" s="5"/>
      <c r="C62" s="4" t="s">
        <v>2</v>
      </c>
      <c r="E62" s="14">
        <v>49640</v>
      </c>
      <c r="F62" s="14">
        <v>2720</v>
      </c>
      <c r="G62" s="15">
        <v>3610</v>
      </c>
      <c r="H62" s="100">
        <f t="shared" si="0"/>
        <v>55970</v>
      </c>
      <c r="I62" s="19">
        <v>56010</v>
      </c>
      <c r="J62" s="1">
        <f t="shared" si="1"/>
        <v>-40</v>
      </c>
    </row>
    <row r="63" spans="2:10" x14ac:dyDescent="0.25">
      <c r="B63" s="5"/>
      <c r="C63" s="4" t="s">
        <v>3</v>
      </c>
      <c r="E63" s="14">
        <v>44520</v>
      </c>
      <c r="F63" s="14">
        <v>2640</v>
      </c>
      <c r="G63" s="15">
        <v>3590</v>
      </c>
      <c r="H63" s="100">
        <f t="shared" si="0"/>
        <v>50750</v>
      </c>
      <c r="I63" s="19">
        <v>50790</v>
      </c>
      <c r="J63" s="1">
        <f t="shared" si="1"/>
        <v>-40</v>
      </c>
    </row>
    <row r="64" spans="2:10" x14ac:dyDescent="0.25">
      <c r="B64" s="5">
        <v>1989</v>
      </c>
      <c r="C64" s="4" t="s">
        <v>0</v>
      </c>
      <c r="E64" s="14">
        <v>40220</v>
      </c>
      <c r="F64" s="14">
        <v>2170</v>
      </c>
      <c r="G64" s="15">
        <v>4300</v>
      </c>
      <c r="H64" s="100">
        <f t="shared" si="0"/>
        <v>46690</v>
      </c>
      <c r="I64" s="19">
        <v>46690</v>
      </c>
      <c r="J64" s="1">
        <f t="shared" si="1"/>
        <v>0</v>
      </c>
    </row>
    <row r="65" spans="2:10" x14ac:dyDescent="0.25">
      <c r="B65" s="5"/>
      <c r="C65" s="4" t="s">
        <v>1</v>
      </c>
      <c r="E65" s="14">
        <v>41780</v>
      </c>
      <c r="F65" s="14">
        <v>3110</v>
      </c>
      <c r="G65" s="15">
        <v>5120</v>
      </c>
      <c r="H65" s="100">
        <f t="shared" si="0"/>
        <v>50010</v>
      </c>
      <c r="I65" s="19">
        <v>50090</v>
      </c>
      <c r="J65" s="1">
        <f t="shared" si="1"/>
        <v>-80</v>
      </c>
    </row>
    <row r="66" spans="2:10" x14ac:dyDescent="0.25">
      <c r="B66" s="5"/>
      <c r="C66" s="4" t="s">
        <v>2</v>
      </c>
      <c r="E66" s="14">
        <v>33390</v>
      </c>
      <c r="F66" s="14">
        <v>2670</v>
      </c>
      <c r="G66" s="15">
        <v>4220</v>
      </c>
      <c r="H66" s="100">
        <f t="shared" si="0"/>
        <v>40280</v>
      </c>
      <c r="I66" s="19">
        <v>40310</v>
      </c>
      <c r="J66" s="1">
        <f t="shared" si="1"/>
        <v>-30</v>
      </c>
    </row>
    <row r="67" spans="2:10" x14ac:dyDescent="0.25">
      <c r="B67" s="5"/>
      <c r="C67" s="4" t="s">
        <v>3</v>
      </c>
      <c r="E67" s="14">
        <v>26070</v>
      </c>
      <c r="F67" s="14">
        <v>2010</v>
      </c>
      <c r="G67" s="15">
        <v>4370</v>
      </c>
      <c r="H67" s="100">
        <f t="shared" si="0"/>
        <v>32450</v>
      </c>
      <c r="I67" s="19">
        <v>32750</v>
      </c>
      <c r="J67" s="1">
        <f t="shared" si="1"/>
        <v>-300</v>
      </c>
    </row>
    <row r="68" spans="2:10" x14ac:dyDescent="0.25">
      <c r="B68" s="5">
        <v>1990</v>
      </c>
      <c r="C68" s="4" t="s">
        <v>0</v>
      </c>
      <c r="E68" s="14">
        <v>29470</v>
      </c>
      <c r="F68" s="14">
        <v>1970</v>
      </c>
      <c r="G68" s="15">
        <v>4540</v>
      </c>
      <c r="H68" s="100">
        <f t="shared" si="0"/>
        <v>35980</v>
      </c>
      <c r="I68" s="19">
        <v>35980</v>
      </c>
      <c r="J68" s="1">
        <f t="shared" si="1"/>
        <v>0</v>
      </c>
    </row>
    <row r="69" spans="2:10" x14ac:dyDescent="0.25">
      <c r="B69" s="5"/>
      <c r="C69" s="4" t="s">
        <v>1</v>
      </c>
      <c r="E69" s="14">
        <v>30440</v>
      </c>
      <c r="F69" s="14">
        <v>2140</v>
      </c>
      <c r="G69" s="15">
        <v>4810</v>
      </c>
      <c r="H69" s="100">
        <f t="shared" si="0"/>
        <v>37390</v>
      </c>
      <c r="I69" s="19">
        <v>37390</v>
      </c>
      <c r="J69" s="1">
        <f t="shared" si="1"/>
        <v>0</v>
      </c>
    </row>
    <row r="70" spans="2:10" x14ac:dyDescent="0.25">
      <c r="B70" s="5"/>
      <c r="C70" s="4" t="s">
        <v>2</v>
      </c>
      <c r="E70" s="14">
        <v>28310</v>
      </c>
      <c r="F70" s="14">
        <v>1960</v>
      </c>
      <c r="G70" s="15">
        <v>4080</v>
      </c>
      <c r="H70" s="100">
        <f t="shared" si="0"/>
        <v>34350</v>
      </c>
      <c r="I70" s="19">
        <v>34350</v>
      </c>
      <c r="J70" s="1">
        <f t="shared" si="1"/>
        <v>0</v>
      </c>
    </row>
    <row r="71" spans="2:10" x14ac:dyDescent="0.25">
      <c r="B71" s="5"/>
      <c r="C71" s="4" t="s">
        <v>3</v>
      </c>
      <c r="E71" s="14">
        <v>24510</v>
      </c>
      <c r="F71" s="14">
        <v>1610</v>
      </c>
      <c r="G71" s="15">
        <v>3210</v>
      </c>
      <c r="H71" s="100">
        <f t="shared" si="0"/>
        <v>29330</v>
      </c>
      <c r="I71" s="19">
        <v>29330</v>
      </c>
      <c r="J71" s="1">
        <f t="shared" si="1"/>
        <v>0</v>
      </c>
    </row>
    <row r="72" spans="2:10" x14ac:dyDescent="0.25">
      <c r="B72" s="5">
        <v>1991</v>
      </c>
      <c r="C72" s="4" t="s">
        <v>0</v>
      </c>
      <c r="E72" s="14">
        <v>25700</v>
      </c>
      <c r="F72" s="14">
        <v>1560</v>
      </c>
      <c r="G72" s="15">
        <v>4750</v>
      </c>
      <c r="H72" s="100">
        <f t="shared" si="0"/>
        <v>32010</v>
      </c>
      <c r="I72" s="19">
        <v>32009.999999999996</v>
      </c>
      <c r="J72" s="1">
        <f t="shared" si="1"/>
        <v>0</v>
      </c>
    </row>
    <row r="73" spans="2:10" x14ac:dyDescent="0.25">
      <c r="B73" s="5"/>
      <c r="C73" s="4" t="s">
        <v>1</v>
      </c>
      <c r="E73" s="14">
        <v>32500</v>
      </c>
      <c r="F73" s="14">
        <v>1960</v>
      </c>
      <c r="G73" s="15">
        <v>3890</v>
      </c>
      <c r="H73" s="100">
        <f t="shared" ref="H73:H136" si="2">SUM(D73:G73)</f>
        <v>38350</v>
      </c>
      <c r="I73" s="19">
        <v>38350</v>
      </c>
      <c r="J73" s="1">
        <f t="shared" ref="J73:J136" si="3">H73-I73</f>
        <v>0</v>
      </c>
    </row>
    <row r="74" spans="2:10" x14ac:dyDescent="0.25">
      <c r="B74" s="5"/>
      <c r="C74" s="4" t="s">
        <v>2</v>
      </c>
      <c r="E74" s="14">
        <v>31460</v>
      </c>
      <c r="F74" s="14">
        <v>1850</v>
      </c>
      <c r="G74" s="15">
        <v>3200</v>
      </c>
      <c r="H74" s="100">
        <f t="shared" si="2"/>
        <v>36510</v>
      </c>
      <c r="I74" s="19">
        <v>36510</v>
      </c>
      <c r="J74" s="1">
        <f t="shared" si="3"/>
        <v>0</v>
      </c>
    </row>
    <row r="75" spans="2:10" x14ac:dyDescent="0.25">
      <c r="B75" s="5"/>
      <c r="C75" s="4" t="s">
        <v>3</v>
      </c>
      <c r="E75" s="14">
        <v>24650</v>
      </c>
      <c r="F75" s="14">
        <v>1340</v>
      </c>
      <c r="G75" s="15">
        <v>3750</v>
      </c>
      <c r="H75" s="100">
        <f t="shared" si="2"/>
        <v>29740</v>
      </c>
      <c r="I75" s="19">
        <v>29740</v>
      </c>
      <c r="J75" s="1">
        <f t="shared" si="3"/>
        <v>0</v>
      </c>
    </row>
    <row r="76" spans="2:10" x14ac:dyDescent="0.25">
      <c r="B76" s="5">
        <v>1992</v>
      </c>
      <c r="C76" s="4" t="s">
        <v>0</v>
      </c>
      <c r="E76" s="14">
        <v>26940</v>
      </c>
      <c r="F76" s="14">
        <v>1550</v>
      </c>
      <c r="G76" s="15">
        <v>3550</v>
      </c>
      <c r="H76" s="100">
        <f t="shared" si="2"/>
        <v>32040</v>
      </c>
      <c r="I76" s="19">
        <v>32040</v>
      </c>
      <c r="J76" s="1">
        <f t="shared" si="3"/>
        <v>0</v>
      </c>
    </row>
    <row r="77" spans="2:10" x14ac:dyDescent="0.25">
      <c r="B77" s="5"/>
      <c r="C77" s="4" t="s">
        <v>1</v>
      </c>
      <c r="E77" s="14">
        <v>28910</v>
      </c>
      <c r="F77" s="14">
        <v>1640</v>
      </c>
      <c r="G77" s="15">
        <v>4250</v>
      </c>
      <c r="H77" s="100">
        <f t="shared" si="2"/>
        <v>34800</v>
      </c>
      <c r="I77" s="19">
        <v>34800</v>
      </c>
      <c r="J77" s="1">
        <f t="shared" si="3"/>
        <v>0</v>
      </c>
    </row>
    <row r="78" spans="2:10" x14ac:dyDescent="0.25">
      <c r="B78" s="5"/>
      <c r="C78" s="4" t="s">
        <v>2</v>
      </c>
      <c r="E78" s="14">
        <v>24510</v>
      </c>
      <c r="F78" s="14">
        <v>1420</v>
      </c>
      <c r="G78" s="15">
        <v>3840</v>
      </c>
      <c r="H78" s="100">
        <f t="shared" si="2"/>
        <v>29770</v>
      </c>
      <c r="I78" s="19">
        <v>29770</v>
      </c>
      <c r="J78" s="1">
        <f t="shared" si="3"/>
        <v>0</v>
      </c>
    </row>
    <row r="79" spans="2:10" x14ac:dyDescent="0.25">
      <c r="B79" s="5"/>
      <c r="C79" s="4" t="s">
        <v>3</v>
      </c>
      <c r="E79" s="14">
        <v>19230</v>
      </c>
      <c r="F79" s="14">
        <v>1400</v>
      </c>
      <c r="G79" s="15">
        <v>2920</v>
      </c>
      <c r="H79" s="100">
        <f t="shared" si="2"/>
        <v>23550</v>
      </c>
      <c r="I79" s="19">
        <v>23550</v>
      </c>
      <c r="J79" s="1">
        <f t="shared" si="3"/>
        <v>0</v>
      </c>
    </row>
    <row r="80" spans="2:10" x14ac:dyDescent="0.25">
      <c r="B80" s="5">
        <v>1993</v>
      </c>
      <c r="C80" s="4" t="s">
        <v>0</v>
      </c>
      <c r="E80" s="14">
        <v>29110</v>
      </c>
      <c r="F80" s="14">
        <v>1860</v>
      </c>
      <c r="G80" s="15">
        <v>3940</v>
      </c>
      <c r="H80" s="100">
        <f t="shared" si="2"/>
        <v>34910</v>
      </c>
      <c r="I80" s="19">
        <v>34910</v>
      </c>
      <c r="J80" s="1">
        <f t="shared" si="3"/>
        <v>0</v>
      </c>
    </row>
    <row r="81" spans="2:10" x14ac:dyDescent="0.25">
      <c r="B81" s="5"/>
      <c r="C81" s="4" t="s">
        <v>1</v>
      </c>
      <c r="E81" s="14">
        <v>31560</v>
      </c>
      <c r="F81" s="14">
        <v>2020</v>
      </c>
      <c r="G81" s="15">
        <v>5110</v>
      </c>
      <c r="H81" s="100">
        <f t="shared" si="2"/>
        <v>38690</v>
      </c>
      <c r="I81" s="19">
        <v>38690</v>
      </c>
      <c r="J81" s="1">
        <f t="shared" si="3"/>
        <v>0</v>
      </c>
    </row>
    <row r="82" spans="2:10" x14ac:dyDescent="0.25">
      <c r="B82" s="5"/>
      <c r="C82" s="4" t="s">
        <v>2</v>
      </c>
      <c r="E82" s="14">
        <v>30130</v>
      </c>
      <c r="F82" s="14">
        <v>1860</v>
      </c>
      <c r="G82" s="15">
        <v>4010</v>
      </c>
      <c r="H82" s="100">
        <f t="shared" si="2"/>
        <v>36000</v>
      </c>
      <c r="I82" s="19">
        <v>36000</v>
      </c>
      <c r="J82" s="1">
        <f t="shared" si="3"/>
        <v>0</v>
      </c>
    </row>
    <row r="83" spans="2:10" x14ac:dyDescent="0.25">
      <c r="B83" s="5"/>
      <c r="C83" s="4" t="s">
        <v>3</v>
      </c>
      <c r="E83" s="14">
        <v>25660</v>
      </c>
      <c r="F83" s="14">
        <v>1560</v>
      </c>
      <c r="G83" s="15">
        <v>4090</v>
      </c>
      <c r="H83" s="100">
        <f t="shared" si="2"/>
        <v>31310</v>
      </c>
      <c r="I83" s="19">
        <v>31310</v>
      </c>
      <c r="J83" s="1">
        <f t="shared" si="3"/>
        <v>0</v>
      </c>
    </row>
    <row r="84" spans="2:10" x14ac:dyDescent="0.25">
      <c r="B84" s="5">
        <v>1994</v>
      </c>
      <c r="C84" s="4" t="s">
        <v>0</v>
      </c>
      <c r="E84" s="14">
        <v>32590</v>
      </c>
      <c r="F84" s="14">
        <v>1860</v>
      </c>
      <c r="G84" s="15">
        <v>4830</v>
      </c>
      <c r="H84" s="100">
        <f t="shared" si="2"/>
        <v>39280</v>
      </c>
      <c r="I84" s="19">
        <v>39280</v>
      </c>
      <c r="J84" s="1">
        <f t="shared" si="3"/>
        <v>0</v>
      </c>
    </row>
    <row r="85" spans="2:10" x14ac:dyDescent="0.25">
      <c r="B85" s="5"/>
      <c r="C85" s="4" t="s">
        <v>1</v>
      </c>
      <c r="E85" s="14">
        <v>36980</v>
      </c>
      <c r="F85" s="14">
        <v>1890</v>
      </c>
      <c r="G85" s="15">
        <v>5510</v>
      </c>
      <c r="H85" s="100">
        <f t="shared" si="2"/>
        <v>44380</v>
      </c>
      <c r="I85" s="19">
        <v>44380</v>
      </c>
      <c r="J85" s="1">
        <f t="shared" si="3"/>
        <v>0</v>
      </c>
    </row>
    <row r="86" spans="2:10" x14ac:dyDescent="0.25">
      <c r="B86" s="5"/>
      <c r="C86" s="4" t="s">
        <v>2</v>
      </c>
      <c r="E86" s="14">
        <v>33470</v>
      </c>
      <c r="F86" s="14">
        <v>1810</v>
      </c>
      <c r="G86" s="15">
        <v>5740</v>
      </c>
      <c r="H86" s="100">
        <f t="shared" si="2"/>
        <v>41020</v>
      </c>
      <c r="I86" s="19">
        <v>41020</v>
      </c>
      <c r="J86" s="1">
        <f t="shared" si="3"/>
        <v>0</v>
      </c>
    </row>
    <row r="87" spans="2:10" x14ac:dyDescent="0.25">
      <c r="B87" s="5"/>
      <c r="C87" s="4" t="s">
        <v>3</v>
      </c>
      <c r="E87" s="14">
        <v>28360</v>
      </c>
      <c r="F87" s="14">
        <v>1750</v>
      </c>
      <c r="G87" s="15">
        <v>4160</v>
      </c>
      <c r="H87" s="100">
        <f t="shared" si="2"/>
        <v>34270</v>
      </c>
      <c r="I87" s="19">
        <v>34270</v>
      </c>
      <c r="J87" s="1">
        <f t="shared" si="3"/>
        <v>0</v>
      </c>
    </row>
    <row r="88" spans="2:10" x14ac:dyDescent="0.25">
      <c r="B88" s="5">
        <v>1995</v>
      </c>
      <c r="C88" s="4" t="s">
        <v>0</v>
      </c>
      <c r="E88" s="14">
        <v>29220</v>
      </c>
      <c r="F88" s="14">
        <v>1700</v>
      </c>
      <c r="G88" s="15">
        <v>4550</v>
      </c>
      <c r="H88" s="100">
        <f t="shared" si="2"/>
        <v>35470</v>
      </c>
      <c r="I88" s="19">
        <v>35470</v>
      </c>
      <c r="J88" s="1">
        <f t="shared" si="3"/>
        <v>0</v>
      </c>
    </row>
    <row r="89" spans="2:10" x14ac:dyDescent="0.25">
      <c r="B89" s="5"/>
      <c r="C89" s="4" t="s">
        <v>1</v>
      </c>
      <c r="E89" s="14">
        <v>33040</v>
      </c>
      <c r="F89" s="14">
        <v>1990</v>
      </c>
      <c r="G89" s="15">
        <v>4340</v>
      </c>
      <c r="H89" s="100">
        <f t="shared" si="2"/>
        <v>39370</v>
      </c>
      <c r="I89" s="19">
        <v>39370</v>
      </c>
      <c r="J89" s="1">
        <f t="shared" si="3"/>
        <v>0</v>
      </c>
    </row>
    <row r="90" spans="2:10" x14ac:dyDescent="0.25">
      <c r="B90" s="5"/>
      <c r="C90" s="4" t="s">
        <v>2</v>
      </c>
      <c r="E90" s="14">
        <v>27280</v>
      </c>
      <c r="F90" s="14">
        <v>1570</v>
      </c>
      <c r="G90" s="15">
        <v>5040</v>
      </c>
      <c r="H90" s="100">
        <f t="shared" si="2"/>
        <v>33890</v>
      </c>
      <c r="I90" s="19">
        <v>33890</v>
      </c>
      <c r="J90" s="1">
        <f t="shared" si="3"/>
        <v>0</v>
      </c>
    </row>
    <row r="91" spans="2:10" x14ac:dyDescent="0.25">
      <c r="B91" s="5"/>
      <c r="C91" s="4" t="s">
        <v>3</v>
      </c>
      <c r="E91" s="14">
        <v>20870</v>
      </c>
      <c r="F91" s="14">
        <v>1510</v>
      </c>
      <c r="G91" s="15">
        <v>3610</v>
      </c>
      <c r="H91" s="100">
        <f t="shared" si="2"/>
        <v>25990</v>
      </c>
      <c r="I91" s="19">
        <v>25990</v>
      </c>
      <c r="J91" s="1">
        <f t="shared" si="3"/>
        <v>0</v>
      </c>
    </row>
    <row r="92" spans="2:10" x14ac:dyDescent="0.25">
      <c r="B92" s="5">
        <v>1996</v>
      </c>
      <c r="C92" s="4" t="s">
        <v>0</v>
      </c>
      <c r="E92" s="14">
        <v>26960</v>
      </c>
      <c r="F92" s="14">
        <v>1380</v>
      </c>
      <c r="G92" s="15">
        <v>4940</v>
      </c>
      <c r="H92" s="100">
        <f t="shared" si="2"/>
        <v>33280</v>
      </c>
      <c r="I92" s="19">
        <v>33280</v>
      </c>
      <c r="J92" s="1">
        <f t="shared" si="3"/>
        <v>0</v>
      </c>
    </row>
    <row r="93" spans="2:10" x14ac:dyDescent="0.25">
      <c r="B93" s="5"/>
      <c r="C93" s="4" t="s">
        <v>1</v>
      </c>
      <c r="E93" s="14">
        <v>31590</v>
      </c>
      <c r="F93" s="14">
        <v>1780</v>
      </c>
      <c r="G93" s="15">
        <v>4350</v>
      </c>
      <c r="H93" s="100">
        <f t="shared" si="2"/>
        <v>37720</v>
      </c>
      <c r="I93" s="19">
        <v>37720</v>
      </c>
      <c r="J93" s="1">
        <f t="shared" si="3"/>
        <v>0</v>
      </c>
    </row>
    <row r="94" spans="2:10" x14ac:dyDescent="0.25">
      <c r="B94" s="5"/>
      <c r="C94" s="4" t="s">
        <v>2</v>
      </c>
      <c r="E94" s="14">
        <v>33100</v>
      </c>
      <c r="F94" s="14">
        <v>1950</v>
      </c>
      <c r="G94" s="15">
        <v>4110</v>
      </c>
      <c r="H94" s="100">
        <f t="shared" si="2"/>
        <v>39160</v>
      </c>
      <c r="I94" s="19">
        <v>39160</v>
      </c>
      <c r="J94" s="1">
        <f t="shared" si="3"/>
        <v>0</v>
      </c>
    </row>
    <row r="95" spans="2:10" x14ac:dyDescent="0.25">
      <c r="B95" s="5"/>
      <c r="C95" s="4" t="s">
        <v>3</v>
      </c>
      <c r="E95" s="14">
        <v>29940</v>
      </c>
      <c r="F95" s="14">
        <v>1590</v>
      </c>
      <c r="G95" s="15">
        <v>4010</v>
      </c>
      <c r="H95" s="100">
        <f t="shared" si="2"/>
        <v>35540</v>
      </c>
      <c r="I95" s="19">
        <v>35540</v>
      </c>
      <c r="J95" s="1">
        <f t="shared" si="3"/>
        <v>0</v>
      </c>
    </row>
    <row r="96" spans="2:10" x14ac:dyDescent="0.25">
      <c r="B96" s="5">
        <v>1997</v>
      </c>
      <c r="C96" s="4" t="s">
        <v>0</v>
      </c>
      <c r="E96" s="14">
        <v>35320</v>
      </c>
      <c r="F96" s="14">
        <v>1740</v>
      </c>
      <c r="G96" s="15">
        <v>5450</v>
      </c>
      <c r="H96" s="100">
        <f t="shared" si="2"/>
        <v>42510</v>
      </c>
      <c r="I96" s="19">
        <v>42510</v>
      </c>
      <c r="J96" s="1">
        <f t="shared" si="3"/>
        <v>0</v>
      </c>
    </row>
    <row r="97" spans="2:10" x14ac:dyDescent="0.25">
      <c r="B97" s="5"/>
      <c r="C97" s="4" t="s">
        <v>1</v>
      </c>
      <c r="E97" s="14">
        <v>35360</v>
      </c>
      <c r="F97" s="6">
        <v>2280</v>
      </c>
      <c r="G97" s="15">
        <v>4870</v>
      </c>
      <c r="H97" s="100">
        <f t="shared" si="2"/>
        <v>42510</v>
      </c>
      <c r="I97" s="19">
        <v>42510</v>
      </c>
      <c r="J97" s="1">
        <f t="shared" si="3"/>
        <v>0</v>
      </c>
    </row>
    <row r="98" spans="2:10" x14ac:dyDescent="0.25">
      <c r="B98" s="5"/>
      <c r="C98" s="4" t="s">
        <v>2</v>
      </c>
      <c r="E98" s="14">
        <v>34340</v>
      </c>
      <c r="F98" s="6">
        <v>1920</v>
      </c>
      <c r="G98" s="15">
        <v>5260</v>
      </c>
      <c r="H98" s="100">
        <f t="shared" si="2"/>
        <v>41520</v>
      </c>
      <c r="I98" s="19">
        <v>41520</v>
      </c>
      <c r="J98" s="1">
        <f t="shared" si="3"/>
        <v>0</v>
      </c>
    </row>
    <row r="99" spans="2:10" x14ac:dyDescent="0.25">
      <c r="B99" s="5"/>
      <c r="C99" s="4" t="s">
        <v>3</v>
      </c>
      <c r="E99" s="14">
        <v>31060</v>
      </c>
      <c r="F99" s="6">
        <v>1560</v>
      </c>
      <c r="G99" s="15">
        <v>3870</v>
      </c>
      <c r="H99" s="100">
        <f t="shared" si="2"/>
        <v>36490</v>
      </c>
      <c r="I99" s="19">
        <v>36490</v>
      </c>
      <c r="J99" s="1">
        <f t="shared" si="3"/>
        <v>0</v>
      </c>
    </row>
    <row r="100" spans="2:10" x14ac:dyDescent="0.25">
      <c r="B100" s="5">
        <v>1998</v>
      </c>
      <c r="C100" s="4" t="s">
        <v>0</v>
      </c>
      <c r="E100" s="14">
        <v>35530</v>
      </c>
      <c r="F100" s="6">
        <v>1800</v>
      </c>
      <c r="G100" s="15">
        <v>4540</v>
      </c>
      <c r="H100" s="100">
        <f t="shared" si="2"/>
        <v>41870</v>
      </c>
      <c r="I100" s="19">
        <v>41870</v>
      </c>
      <c r="J100" s="1">
        <f t="shared" si="3"/>
        <v>0</v>
      </c>
    </row>
    <row r="101" spans="2:10" x14ac:dyDescent="0.25">
      <c r="B101" s="5"/>
      <c r="C101" s="4" t="s">
        <v>1</v>
      </c>
      <c r="E101" s="14">
        <v>34770</v>
      </c>
      <c r="F101" s="6">
        <v>2030</v>
      </c>
      <c r="G101" s="15">
        <v>3780</v>
      </c>
      <c r="H101" s="100">
        <f t="shared" si="2"/>
        <v>40580</v>
      </c>
      <c r="I101" s="19">
        <v>40580</v>
      </c>
      <c r="J101" s="1">
        <f t="shared" si="3"/>
        <v>0</v>
      </c>
    </row>
    <row r="102" spans="2:10" x14ac:dyDescent="0.25">
      <c r="B102" s="5"/>
      <c r="C102" s="4" t="s">
        <v>2</v>
      </c>
      <c r="E102" s="14">
        <v>34240</v>
      </c>
      <c r="F102" s="6">
        <v>2050</v>
      </c>
      <c r="G102" s="15">
        <v>4330</v>
      </c>
      <c r="H102" s="100">
        <f t="shared" si="2"/>
        <v>40620</v>
      </c>
      <c r="I102" s="19">
        <v>40620</v>
      </c>
      <c r="J102" s="1">
        <f t="shared" si="3"/>
        <v>0</v>
      </c>
    </row>
    <row r="103" spans="2:10" x14ac:dyDescent="0.25">
      <c r="B103" s="5"/>
      <c r="C103" s="4" t="s">
        <v>3</v>
      </c>
      <c r="E103" s="14">
        <v>27270</v>
      </c>
      <c r="F103" s="6">
        <v>1520</v>
      </c>
      <c r="G103" s="15">
        <v>3250</v>
      </c>
      <c r="H103" s="100">
        <f t="shared" si="2"/>
        <v>32040</v>
      </c>
      <c r="I103" s="19">
        <v>32040</v>
      </c>
      <c r="J103" s="1">
        <f t="shared" si="3"/>
        <v>0</v>
      </c>
    </row>
    <row r="104" spans="2:10" x14ac:dyDescent="0.25">
      <c r="B104" s="5">
        <v>1999</v>
      </c>
      <c r="C104" s="4" t="s">
        <v>0</v>
      </c>
      <c r="E104" s="14">
        <v>32760</v>
      </c>
      <c r="F104" s="6">
        <v>2020</v>
      </c>
      <c r="G104" s="15">
        <v>5630</v>
      </c>
      <c r="H104" s="100">
        <f t="shared" si="2"/>
        <v>40410</v>
      </c>
      <c r="I104" s="19">
        <v>40410</v>
      </c>
      <c r="J104" s="1">
        <f t="shared" si="3"/>
        <v>0</v>
      </c>
    </row>
    <row r="105" spans="2:10" x14ac:dyDescent="0.25">
      <c r="B105" s="5"/>
      <c r="C105" s="4" t="s">
        <v>1</v>
      </c>
      <c r="E105" s="14">
        <v>34240</v>
      </c>
      <c r="F105" s="6">
        <v>2300</v>
      </c>
      <c r="G105" s="15">
        <v>4240</v>
      </c>
      <c r="H105" s="100">
        <f t="shared" si="2"/>
        <v>40780</v>
      </c>
      <c r="I105" s="19">
        <v>40780</v>
      </c>
      <c r="J105" s="1">
        <f t="shared" si="3"/>
        <v>0</v>
      </c>
    </row>
    <row r="106" spans="2:10" x14ac:dyDescent="0.25">
      <c r="B106" s="5"/>
      <c r="C106" s="4" t="s">
        <v>2</v>
      </c>
      <c r="E106" s="14">
        <v>33540</v>
      </c>
      <c r="F106" s="6">
        <v>2260</v>
      </c>
      <c r="G106" s="15">
        <v>4610</v>
      </c>
      <c r="H106" s="100">
        <f t="shared" si="2"/>
        <v>40410</v>
      </c>
      <c r="I106" s="19">
        <v>40410</v>
      </c>
      <c r="J106" s="1">
        <f t="shared" si="3"/>
        <v>0</v>
      </c>
    </row>
    <row r="107" spans="2:10" x14ac:dyDescent="0.25">
      <c r="B107" s="5"/>
      <c r="C107" s="4" t="s">
        <v>3</v>
      </c>
      <c r="E107" s="14">
        <v>29750</v>
      </c>
      <c r="F107" s="6">
        <v>1860</v>
      </c>
      <c r="G107" s="15">
        <v>4090</v>
      </c>
      <c r="H107" s="100">
        <f t="shared" si="2"/>
        <v>35700</v>
      </c>
      <c r="I107" s="19">
        <v>35700</v>
      </c>
      <c r="J107" s="1">
        <f t="shared" si="3"/>
        <v>0</v>
      </c>
    </row>
    <row r="108" spans="2:10" x14ac:dyDescent="0.25">
      <c r="B108" s="5">
        <v>2000</v>
      </c>
      <c r="C108" s="4" t="s">
        <v>0</v>
      </c>
      <c r="E108" s="14">
        <v>35210</v>
      </c>
      <c r="F108" s="6">
        <v>2010</v>
      </c>
      <c r="G108" s="15">
        <v>5420</v>
      </c>
      <c r="H108" s="100">
        <f t="shared" si="2"/>
        <v>42640</v>
      </c>
      <c r="I108" s="19">
        <v>42640</v>
      </c>
      <c r="J108" s="1">
        <f t="shared" si="3"/>
        <v>0</v>
      </c>
    </row>
    <row r="109" spans="2:10" x14ac:dyDescent="0.25">
      <c r="B109" s="5"/>
      <c r="C109" s="4" t="s">
        <v>1</v>
      </c>
      <c r="E109" s="14">
        <v>34970</v>
      </c>
      <c r="F109" s="6">
        <v>2280</v>
      </c>
      <c r="G109" s="15">
        <v>4480</v>
      </c>
      <c r="H109" s="100">
        <f t="shared" si="2"/>
        <v>41730</v>
      </c>
      <c r="I109" s="19">
        <v>41730</v>
      </c>
      <c r="J109" s="1">
        <f t="shared" si="3"/>
        <v>0</v>
      </c>
    </row>
    <row r="110" spans="2:10" x14ac:dyDescent="0.25">
      <c r="B110" s="5"/>
      <c r="C110" s="4" t="s">
        <v>2</v>
      </c>
      <c r="E110" s="14">
        <v>32830</v>
      </c>
      <c r="F110" s="6">
        <v>2570</v>
      </c>
      <c r="G110" s="15">
        <v>4850</v>
      </c>
      <c r="H110" s="100">
        <f t="shared" si="2"/>
        <v>40250</v>
      </c>
      <c r="I110" s="19">
        <v>40250</v>
      </c>
      <c r="J110" s="1">
        <f t="shared" si="3"/>
        <v>0</v>
      </c>
    </row>
    <row r="111" spans="2:10" x14ac:dyDescent="0.25">
      <c r="B111" s="5"/>
      <c r="C111" s="4" t="s">
        <v>3</v>
      </c>
      <c r="E111" s="14">
        <v>25460</v>
      </c>
      <c r="F111" s="6">
        <v>1460</v>
      </c>
      <c r="G111" s="15">
        <v>3980</v>
      </c>
      <c r="H111" s="100">
        <f t="shared" si="2"/>
        <v>30900</v>
      </c>
      <c r="I111" s="19">
        <v>30900</v>
      </c>
      <c r="J111" s="1">
        <f t="shared" si="3"/>
        <v>0</v>
      </c>
    </row>
    <row r="112" spans="2:10" x14ac:dyDescent="0.25">
      <c r="B112" s="5">
        <v>2001</v>
      </c>
      <c r="C112" s="4" t="s">
        <v>0</v>
      </c>
      <c r="E112" s="14">
        <v>33020</v>
      </c>
      <c r="F112" s="6">
        <v>2010</v>
      </c>
      <c r="G112" s="15">
        <v>4310</v>
      </c>
      <c r="H112" s="100">
        <f t="shared" si="2"/>
        <v>39340</v>
      </c>
      <c r="I112" s="19">
        <v>39340</v>
      </c>
      <c r="J112" s="1">
        <f t="shared" si="3"/>
        <v>0</v>
      </c>
    </row>
    <row r="113" spans="2:10" x14ac:dyDescent="0.25">
      <c r="B113" s="5"/>
      <c r="C113" s="4" t="s">
        <v>1</v>
      </c>
      <c r="E113" s="14">
        <v>35720</v>
      </c>
      <c r="F113" s="6">
        <v>2410</v>
      </c>
      <c r="G113" s="15">
        <v>4810</v>
      </c>
      <c r="H113" s="100">
        <f t="shared" si="2"/>
        <v>42940</v>
      </c>
      <c r="I113" s="19">
        <v>42940</v>
      </c>
      <c r="J113" s="1">
        <f t="shared" si="3"/>
        <v>0</v>
      </c>
    </row>
    <row r="114" spans="2:10" x14ac:dyDescent="0.25">
      <c r="B114" s="5"/>
      <c r="C114" s="4" t="s">
        <v>2</v>
      </c>
      <c r="E114" s="14">
        <v>35390</v>
      </c>
      <c r="F114" s="6">
        <v>2340</v>
      </c>
      <c r="G114" s="15">
        <v>5150</v>
      </c>
      <c r="H114" s="100">
        <f t="shared" si="2"/>
        <v>42880</v>
      </c>
      <c r="I114" s="19">
        <v>42880</v>
      </c>
      <c r="J114" s="1">
        <f t="shared" si="3"/>
        <v>0</v>
      </c>
    </row>
    <row r="115" spans="2:10" x14ac:dyDescent="0.25">
      <c r="B115" s="5"/>
      <c r="C115" s="4" t="s">
        <v>3</v>
      </c>
      <c r="E115" s="14">
        <v>29190</v>
      </c>
      <c r="F115" s="6">
        <v>1620</v>
      </c>
      <c r="G115" s="15">
        <v>4120</v>
      </c>
      <c r="H115" s="100">
        <f t="shared" si="2"/>
        <v>34930</v>
      </c>
      <c r="I115" s="19">
        <v>34930</v>
      </c>
      <c r="J115" s="1">
        <f t="shared" si="3"/>
        <v>0</v>
      </c>
    </row>
    <row r="116" spans="2:10" x14ac:dyDescent="0.25">
      <c r="B116" s="5">
        <v>2002</v>
      </c>
      <c r="C116" s="4" t="s">
        <v>0</v>
      </c>
      <c r="E116" s="14">
        <v>35070</v>
      </c>
      <c r="F116" s="6">
        <v>2010</v>
      </c>
      <c r="G116" s="15">
        <v>4440</v>
      </c>
      <c r="H116" s="100">
        <f t="shared" si="2"/>
        <v>41520</v>
      </c>
      <c r="I116" s="19">
        <v>41520</v>
      </c>
      <c r="J116" s="1">
        <f t="shared" si="3"/>
        <v>0</v>
      </c>
    </row>
    <row r="117" spans="2:10" x14ac:dyDescent="0.25">
      <c r="B117" s="5"/>
      <c r="C117" s="4" t="s">
        <v>1</v>
      </c>
      <c r="E117" s="14">
        <v>34840</v>
      </c>
      <c r="F117" s="6">
        <v>2550</v>
      </c>
      <c r="G117" s="15">
        <v>5050</v>
      </c>
      <c r="H117" s="100">
        <f t="shared" si="2"/>
        <v>42440</v>
      </c>
      <c r="I117" s="19">
        <v>42440</v>
      </c>
      <c r="J117" s="1">
        <f t="shared" si="3"/>
        <v>0</v>
      </c>
    </row>
    <row r="118" spans="2:10" x14ac:dyDescent="0.25">
      <c r="B118" s="5"/>
      <c r="C118" s="4" t="s">
        <v>2</v>
      </c>
      <c r="E118" s="14">
        <v>36650</v>
      </c>
      <c r="F118" s="6">
        <v>2480</v>
      </c>
      <c r="G118" s="15">
        <v>5140</v>
      </c>
      <c r="H118" s="100">
        <f t="shared" si="2"/>
        <v>44270</v>
      </c>
      <c r="I118" s="19">
        <v>44270</v>
      </c>
      <c r="J118" s="1">
        <f t="shared" si="3"/>
        <v>0</v>
      </c>
    </row>
    <row r="119" spans="2:10" x14ac:dyDescent="0.25">
      <c r="B119" s="5"/>
      <c r="C119" s="4" t="s">
        <v>3</v>
      </c>
      <c r="E119" s="14">
        <v>29410</v>
      </c>
      <c r="F119" s="6">
        <v>1820</v>
      </c>
      <c r="G119" s="15">
        <v>4240</v>
      </c>
      <c r="H119" s="100">
        <f t="shared" si="2"/>
        <v>35470</v>
      </c>
      <c r="I119" s="19">
        <v>35470</v>
      </c>
      <c r="J119" s="1">
        <f t="shared" si="3"/>
        <v>0</v>
      </c>
    </row>
    <row r="120" spans="2:10" x14ac:dyDescent="0.25">
      <c r="B120" s="5">
        <v>2003</v>
      </c>
      <c r="C120" s="4" t="s">
        <v>0</v>
      </c>
      <c r="E120" s="14">
        <v>37790</v>
      </c>
      <c r="F120" s="6">
        <v>2160</v>
      </c>
      <c r="G120" s="15">
        <v>4150</v>
      </c>
      <c r="H120" s="100">
        <f t="shared" si="2"/>
        <v>44100</v>
      </c>
      <c r="I120" s="19">
        <v>44100</v>
      </c>
      <c r="J120" s="1">
        <f t="shared" si="3"/>
        <v>0</v>
      </c>
    </row>
    <row r="121" spans="2:10" x14ac:dyDescent="0.25">
      <c r="B121" s="5"/>
      <c r="C121" s="4" t="s">
        <v>1</v>
      </c>
      <c r="E121" s="14">
        <v>37580</v>
      </c>
      <c r="F121" s="6">
        <v>2570</v>
      </c>
      <c r="G121" s="15">
        <v>5480</v>
      </c>
      <c r="H121" s="100">
        <f t="shared" si="2"/>
        <v>45630</v>
      </c>
      <c r="I121" s="19">
        <v>45630</v>
      </c>
      <c r="J121" s="1">
        <f t="shared" si="3"/>
        <v>0</v>
      </c>
    </row>
    <row r="122" spans="2:10" x14ac:dyDescent="0.25">
      <c r="B122" s="5"/>
      <c r="C122" s="4" t="s">
        <v>2</v>
      </c>
      <c r="E122" s="14">
        <v>36540</v>
      </c>
      <c r="F122" s="6">
        <v>2520</v>
      </c>
      <c r="G122" s="15">
        <v>5870</v>
      </c>
      <c r="H122" s="100">
        <f t="shared" si="2"/>
        <v>44930</v>
      </c>
      <c r="I122" s="19">
        <v>44930</v>
      </c>
      <c r="J122" s="1">
        <f t="shared" si="3"/>
        <v>0</v>
      </c>
    </row>
    <row r="123" spans="2:10" x14ac:dyDescent="0.25">
      <c r="B123" s="5"/>
      <c r="C123" s="4" t="s">
        <v>3</v>
      </c>
      <c r="E123" s="14">
        <v>33480</v>
      </c>
      <c r="F123" s="6">
        <v>2150</v>
      </c>
      <c r="G123" s="15">
        <v>5140</v>
      </c>
      <c r="H123" s="100">
        <f t="shared" si="2"/>
        <v>40770</v>
      </c>
      <c r="I123" s="19">
        <v>40770</v>
      </c>
      <c r="J123" s="1">
        <f t="shared" si="3"/>
        <v>0</v>
      </c>
    </row>
    <row r="124" spans="2:10" x14ac:dyDescent="0.25">
      <c r="B124" s="5">
        <v>2004</v>
      </c>
      <c r="C124" s="4" t="s">
        <v>0</v>
      </c>
      <c r="E124" s="14">
        <v>38210</v>
      </c>
      <c r="F124" s="6">
        <v>2240</v>
      </c>
      <c r="G124" s="15">
        <v>5890</v>
      </c>
      <c r="H124" s="100">
        <f t="shared" si="2"/>
        <v>46340</v>
      </c>
      <c r="I124" s="19">
        <v>46340</v>
      </c>
      <c r="J124" s="1">
        <f t="shared" si="3"/>
        <v>0</v>
      </c>
    </row>
    <row r="125" spans="2:10" x14ac:dyDescent="0.25">
      <c r="B125" s="5"/>
      <c r="C125" s="4" t="s">
        <v>1</v>
      </c>
      <c r="E125" s="14">
        <v>43020</v>
      </c>
      <c r="F125" s="6">
        <v>1970</v>
      </c>
      <c r="G125" s="15">
        <v>6210</v>
      </c>
      <c r="H125" s="100">
        <f t="shared" si="2"/>
        <v>51200</v>
      </c>
      <c r="I125" s="19">
        <v>51200</v>
      </c>
      <c r="J125" s="1">
        <f t="shared" si="3"/>
        <v>0</v>
      </c>
    </row>
    <row r="126" spans="2:10" x14ac:dyDescent="0.25">
      <c r="B126" s="5"/>
      <c r="C126" s="4" t="s">
        <v>2</v>
      </c>
      <c r="E126" s="14">
        <v>41310</v>
      </c>
      <c r="F126" s="6">
        <v>2570</v>
      </c>
      <c r="G126" s="15">
        <v>6060</v>
      </c>
      <c r="H126" s="100">
        <f t="shared" si="2"/>
        <v>49940</v>
      </c>
      <c r="I126" s="19">
        <v>49940</v>
      </c>
      <c r="J126" s="1">
        <f t="shared" si="3"/>
        <v>0</v>
      </c>
    </row>
    <row r="127" spans="2:10" x14ac:dyDescent="0.25">
      <c r="B127" s="5"/>
      <c r="C127" s="4" t="s">
        <v>3</v>
      </c>
      <c r="E127" s="14">
        <v>34610</v>
      </c>
      <c r="F127" s="6">
        <v>2140</v>
      </c>
      <c r="G127" s="15">
        <v>4860</v>
      </c>
      <c r="H127" s="100">
        <f t="shared" si="2"/>
        <v>41610</v>
      </c>
      <c r="I127" s="19">
        <v>41610</v>
      </c>
      <c r="J127" s="1">
        <f t="shared" si="3"/>
        <v>0</v>
      </c>
    </row>
    <row r="128" spans="2:10" x14ac:dyDescent="0.25">
      <c r="B128" s="5">
        <v>2005</v>
      </c>
      <c r="C128" s="4" t="s">
        <v>0</v>
      </c>
      <c r="E128" s="14">
        <v>35380</v>
      </c>
      <c r="F128" s="6">
        <v>2410</v>
      </c>
      <c r="G128" s="15">
        <v>5470</v>
      </c>
      <c r="H128" s="100">
        <f t="shared" si="2"/>
        <v>43260</v>
      </c>
      <c r="I128" s="19">
        <v>43260</v>
      </c>
      <c r="J128" s="1">
        <f t="shared" si="3"/>
        <v>0</v>
      </c>
    </row>
    <row r="129" spans="2:10" x14ac:dyDescent="0.25">
      <c r="B129" s="5"/>
      <c r="C129" s="4" t="s">
        <v>1</v>
      </c>
      <c r="E129" s="14">
        <v>40820</v>
      </c>
      <c r="F129" s="6">
        <v>2220</v>
      </c>
      <c r="G129" s="15">
        <v>5690</v>
      </c>
      <c r="H129" s="100">
        <f t="shared" si="2"/>
        <v>48730</v>
      </c>
      <c r="I129" s="19">
        <v>48730</v>
      </c>
      <c r="J129" s="1">
        <f t="shared" si="3"/>
        <v>0</v>
      </c>
    </row>
    <row r="130" spans="2:10" x14ac:dyDescent="0.25">
      <c r="B130" s="5"/>
      <c r="C130" s="4" t="s">
        <v>2</v>
      </c>
      <c r="E130" s="14">
        <v>39940</v>
      </c>
      <c r="F130" s="6">
        <v>2330</v>
      </c>
      <c r="G130" s="15">
        <v>5040</v>
      </c>
      <c r="H130" s="100">
        <f t="shared" si="2"/>
        <v>47310</v>
      </c>
      <c r="I130" s="19">
        <v>47310</v>
      </c>
      <c r="J130" s="1">
        <f t="shared" si="3"/>
        <v>0</v>
      </c>
    </row>
    <row r="131" spans="2:10" x14ac:dyDescent="0.25">
      <c r="B131" s="5"/>
      <c r="C131" s="4" t="s">
        <v>3</v>
      </c>
      <c r="E131" s="14">
        <v>36660</v>
      </c>
      <c r="F131" s="6">
        <v>1680</v>
      </c>
      <c r="G131" s="15">
        <v>5090</v>
      </c>
      <c r="H131" s="100">
        <f t="shared" si="2"/>
        <v>43430</v>
      </c>
      <c r="I131" s="19">
        <v>43430</v>
      </c>
      <c r="J131" s="1">
        <f t="shared" si="3"/>
        <v>0</v>
      </c>
    </row>
    <row r="132" spans="2:10" x14ac:dyDescent="0.25">
      <c r="B132" s="5">
        <v>2006</v>
      </c>
      <c r="C132" s="4" t="s">
        <v>0</v>
      </c>
      <c r="E132" s="14">
        <v>42900</v>
      </c>
      <c r="F132" s="6">
        <v>2390</v>
      </c>
      <c r="G132" s="15">
        <v>5410</v>
      </c>
      <c r="H132" s="100">
        <f t="shared" si="2"/>
        <v>50700</v>
      </c>
      <c r="I132" s="19">
        <v>50700</v>
      </c>
      <c r="J132" s="1">
        <f t="shared" si="3"/>
        <v>0</v>
      </c>
    </row>
    <row r="133" spans="2:10" x14ac:dyDescent="0.25">
      <c r="B133" s="5"/>
      <c r="C133" s="4" t="s">
        <v>1</v>
      </c>
      <c r="E133" s="14">
        <v>38900</v>
      </c>
      <c r="F133" s="6">
        <v>2530</v>
      </c>
      <c r="G133" s="15">
        <v>8320</v>
      </c>
      <c r="H133" s="100">
        <f t="shared" si="2"/>
        <v>49750</v>
      </c>
      <c r="I133" s="19">
        <v>49750</v>
      </c>
      <c r="J133" s="1">
        <f t="shared" si="3"/>
        <v>0</v>
      </c>
    </row>
    <row r="134" spans="2:10" x14ac:dyDescent="0.25">
      <c r="B134" s="5"/>
      <c r="C134" s="4" t="s">
        <v>2</v>
      </c>
      <c r="E134" s="14">
        <v>36420</v>
      </c>
      <c r="F134" s="6">
        <v>2320</v>
      </c>
      <c r="G134" s="15">
        <v>4970</v>
      </c>
      <c r="H134" s="100">
        <f t="shared" si="2"/>
        <v>43710</v>
      </c>
      <c r="I134" s="19">
        <v>43710</v>
      </c>
      <c r="J134" s="1">
        <f t="shared" si="3"/>
        <v>0</v>
      </c>
    </row>
    <row r="135" spans="2:10" x14ac:dyDescent="0.25">
      <c r="B135" s="5"/>
      <c r="C135" s="4" t="s">
        <v>3</v>
      </c>
      <c r="E135" s="14">
        <v>30990</v>
      </c>
      <c r="F135" s="6">
        <v>1940</v>
      </c>
      <c r="G135" s="15">
        <v>4840</v>
      </c>
      <c r="H135" s="100">
        <f t="shared" si="2"/>
        <v>37770</v>
      </c>
      <c r="I135" s="19">
        <v>37770</v>
      </c>
      <c r="J135" s="1">
        <f t="shared" si="3"/>
        <v>0</v>
      </c>
    </row>
    <row r="136" spans="2:10" x14ac:dyDescent="0.25">
      <c r="B136" s="5">
        <v>2007</v>
      </c>
      <c r="C136" s="4" t="s">
        <v>0</v>
      </c>
      <c r="E136" s="14">
        <v>43040</v>
      </c>
      <c r="F136" s="6">
        <v>1950</v>
      </c>
      <c r="G136" s="15">
        <v>4680</v>
      </c>
      <c r="H136" s="100">
        <f t="shared" si="2"/>
        <v>49670</v>
      </c>
      <c r="I136" s="19">
        <v>49670</v>
      </c>
      <c r="J136" s="1">
        <f t="shared" si="3"/>
        <v>0</v>
      </c>
    </row>
    <row r="137" spans="2:10" x14ac:dyDescent="0.25">
      <c r="B137" s="5"/>
      <c r="C137" s="4" t="s">
        <v>1</v>
      </c>
      <c r="E137" s="14">
        <v>41470</v>
      </c>
      <c r="F137" s="6">
        <v>2740</v>
      </c>
      <c r="G137" s="15">
        <v>5800</v>
      </c>
      <c r="H137" s="100">
        <f t="shared" ref="H137:H197" si="4">SUM(D137:G137)</f>
        <v>50010</v>
      </c>
      <c r="I137" s="19">
        <v>50010</v>
      </c>
      <c r="J137" s="1">
        <f t="shared" ref="J137:J183" si="5">H137-I137</f>
        <v>0</v>
      </c>
    </row>
    <row r="138" spans="2:10" x14ac:dyDescent="0.25">
      <c r="B138" s="5"/>
      <c r="C138" s="4" t="s">
        <v>2</v>
      </c>
      <c r="E138" s="14">
        <v>40440</v>
      </c>
      <c r="F138" s="6">
        <v>2400</v>
      </c>
      <c r="G138" s="15">
        <v>4590</v>
      </c>
      <c r="H138" s="100">
        <f t="shared" si="4"/>
        <v>47430</v>
      </c>
      <c r="I138" s="19">
        <v>47440</v>
      </c>
      <c r="J138" s="1">
        <f t="shared" si="5"/>
        <v>-10</v>
      </c>
    </row>
    <row r="139" spans="2:10" x14ac:dyDescent="0.25">
      <c r="B139" s="5"/>
      <c r="C139" s="4" t="s">
        <v>3</v>
      </c>
      <c r="E139" s="14">
        <v>34950</v>
      </c>
      <c r="F139" s="6">
        <v>2750</v>
      </c>
      <c r="G139" s="15">
        <v>5550</v>
      </c>
      <c r="H139" s="100">
        <f t="shared" si="4"/>
        <v>43250</v>
      </c>
      <c r="I139" s="19">
        <v>43250</v>
      </c>
      <c r="J139" s="1">
        <f t="shared" si="5"/>
        <v>0</v>
      </c>
    </row>
    <row r="140" spans="2:10" x14ac:dyDescent="0.25">
      <c r="B140" s="5">
        <v>2008</v>
      </c>
      <c r="C140" s="4" t="s">
        <v>0</v>
      </c>
      <c r="E140" s="14">
        <v>29290</v>
      </c>
      <c r="F140" s="6">
        <v>1850</v>
      </c>
      <c r="G140" s="15">
        <v>4150</v>
      </c>
      <c r="H140" s="100">
        <f t="shared" si="4"/>
        <v>35290</v>
      </c>
      <c r="I140" s="19">
        <v>35300</v>
      </c>
      <c r="J140" s="1">
        <f t="shared" si="5"/>
        <v>-10</v>
      </c>
    </row>
    <row r="141" spans="2:10" x14ac:dyDescent="0.25">
      <c r="B141" s="5"/>
      <c r="C141" s="4" t="s">
        <v>1</v>
      </c>
      <c r="E141" s="14">
        <v>25400</v>
      </c>
      <c r="F141" s="6">
        <v>1840</v>
      </c>
      <c r="G141" s="15">
        <v>5930</v>
      </c>
      <c r="H141" s="100">
        <f t="shared" si="4"/>
        <v>33170</v>
      </c>
      <c r="I141" s="19">
        <v>33170</v>
      </c>
      <c r="J141" s="1">
        <f t="shared" si="5"/>
        <v>0</v>
      </c>
    </row>
    <row r="142" spans="2:10" x14ac:dyDescent="0.25">
      <c r="B142" s="5"/>
      <c r="C142" s="4" t="s">
        <v>2</v>
      </c>
      <c r="E142" s="14">
        <v>15670</v>
      </c>
      <c r="F142" s="6">
        <v>1200</v>
      </c>
      <c r="G142" s="15">
        <v>2870</v>
      </c>
      <c r="H142" s="100">
        <f t="shared" si="4"/>
        <v>19740</v>
      </c>
      <c r="I142" s="19">
        <v>19740</v>
      </c>
      <c r="J142" s="1">
        <f t="shared" si="5"/>
        <v>0</v>
      </c>
    </row>
    <row r="143" spans="2:10" x14ac:dyDescent="0.25">
      <c r="B143" s="5"/>
      <c r="C143" s="4" t="s">
        <v>3</v>
      </c>
      <c r="E143" s="14">
        <v>12010</v>
      </c>
      <c r="F143" s="6">
        <v>620</v>
      </c>
      <c r="G143" s="15">
        <v>2660</v>
      </c>
      <c r="H143" s="100">
        <f t="shared" si="4"/>
        <v>15290</v>
      </c>
      <c r="I143" s="19">
        <v>15300</v>
      </c>
      <c r="J143" s="1">
        <f t="shared" si="5"/>
        <v>-10</v>
      </c>
    </row>
    <row r="144" spans="2:10" x14ac:dyDescent="0.25">
      <c r="B144" s="5">
        <v>2009</v>
      </c>
      <c r="C144" s="4" t="s">
        <v>0</v>
      </c>
      <c r="E144" s="14">
        <v>12490</v>
      </c>
      <c r="F144" s="6">
        <v>800</v>
      </c>
      <c r="G144" s="15">
        <v>2050</v>
      </c>
      <c r="H144" s="100">
        <f t="shared" si="4"/>
        <v>15340</v>
      </c>
      <c r="I144" s="19">
        <v>15340</v>
      </c>
      <c r="J144" s="1">
        <f t="shared" si="5"/>
        <v>0</v>
      </c>
    </row>
    <row r="145" spans="2:10" x14ac:dyDescent="0.25">
      <c r="B145" s="5"/>
      <c r="C145" s="4" t="s">
        <v>1</v>
      </c>
      <c r="E145" s="14">
        <v>15360</v>
      </c>
      <c r="F145" s="6">
        <v>1010</v>
      </c>
      <c r="G145" s="15">
        <v>2380</v>
      </c>
      <c r="H145" s="100">
        <f t="shared" si="4"/>
        <v>18750</v>
      </c>
      <c r="I145" s="19">
        <v>18750</v>
      </c>
      <c r="J145" s="1">
        <f t="shared" si="5"/>
        <v>0</v>
      </c>
    </row>
    <row r="146" spans="2:10" x14ac:dyDescent="0.25">
      <c r="B146" s="5"/>
      <c r="C146" s="4" t="s">
        <v>2</v>
      </c>
      <c r="E146" s="14">
        <v>20160</v>
      </c>
      <c r="F146" s="6">
        <v>1100</v>
      </c>
      <c r="G146" s="15">
        <v>2520</v>
      </c>
      <c r="H146" s="100">
        <f t="shared" si="4"/>
        <v>23780</v>
      </c>
      <c r="I146" s="19">
        <v>23780</v>
      </c>
      <c r="J146" s="1">
        <f t="shared" si="5"/>
        <v>0</v>
      </c>
    </row>
    <row r="147" spans="2:10" x14ac:dyDescent="0.25">
      <c r="B147" s="5"/>
      <c r="C147" s="4" t="s">
        <v>3</v>
      </c>
      <c r="E147" s="14">
        <v>16990</v>
      </c>
      <c r="F147" s="6">
        <v>1000</v>
      </c>
      <c r="G147" s="15">
        <v>2360</v>
      </c>
      <c r="H147" s="100">
        <f t="shared" si="4"/>
        <v>20350</v>
      </c>
      <c r="I147" s="19">
        <v>20350</v>
      </c>
      <c r="J147" s="1">
        <f t="shared" si="5"/>
        <v>0</v>
      </c>
    </row>
    <row r="148" spans="2:10" x14ac:dyDescent="0.25">
      <c r="B148" s="5">
        <v>2010</v>
      </c>
      <c r="C148" s="4" t="s">
        <v>0</v>
      </c>
      <c r="E148" s="14">
        <v>21260</v>
      </c>
      <c r="F148" s="6">
        <v>1280</v>
      </c>
      <c r="G148" s="15">
        <v>2260</v>
      </c>
      <c r="H148" s="100">
        <f t="shared" si="4"/>
        <v>24800</v>
      </c>
      <c r="I148" s="19">
        <v>24800</v>
      </c>
      <c r="J148" s="1">
        <f t="shared" si="5"/>
        <v>0</v>
      </c>
    </row>
    <row r="149" spans="2:10" x14ac:dyDescent="0.25">
      <c r="B149" s="5"/>
      <c r="C149" s="4" t="s">
        <v>1</v>
      </c>
      <c r="E149" s="14">
        <v>24930</v>
      </c>
      <c r="F149" s="6">
        <v>1380</v>
      </c>
      <c r="G149" s="15">
        <v>2440</v>
      </c>
      <c r="H149" s="100">
        <f t="shared" si="4"/>
        <v>28750</v>
      </c>
      <c r="I149" s="19">
        <v>28750</v>
      </c>
      <c r="J149" s="1">
        <f t="shared" si="5"/>
        <v>0</v>
      </c>
    </row>
    <row r="150" spans="2:10" x14ac:dyDescent="0.25">
      <c r="B150" s="5"/>
      <c r="C150" s="4" t="s">
        <v>2</v>
      </c>
      <c r="E150" s="14">
        <v>22400</v>
      </c>
      <c r="F150" s="6">
        <v>1220</v>
      </c>
      <c r="G150" s="15">
        <v>2580</v>
      </c>
      <c r="H150" s="100">
        <f t="shared" si="4"/>
        <v>26200</v>
      </c>
      <c r="I150" s="19">
        <v>26200</v>
      </c>
      <c r="J150" s="1">
        <f t="shared" si="5"/>
        <v>0</v>
      </c>
    </row>
    <row r="151" spans="2:10" x14ac:dyDescent="0.25">
      <c r="B151" s="5"/>
      <c r="C151" s="4" t="s">
        <v>3</v>
      </c>
      <c r="E151" s="14">
        <v>16270</v>
      </c>
      <c r="F151" s="6">
        <v>1080</v>
      </c>
      <c r="G151" s="15">
        <v>1600</v>
      </c>
      <c r="H151" s="100">
        <f t="shared" si="4"/>
        <v>18950</v>
      </c>
      <c r="I151" s="19">
        <v>18950</v>
      </c>
      <c r="J151" s="1">
        <f t="shared" si="5"/>
        <v>0</v>
      </c>
    </row>
    <row r="152" spans="2:10" x14ac:dyDescent="0.25">
      <c r="B152" s="5">
        <v>2011</v>
      </c>
      <c r="C152" s="4" t="s">
        <v>0</v>
      </c>
      <c r="E152" s="14">
        <v>21120</v>
      </c>
      <c r="F152" s="6">
        <v>1330</v>
      </c>
      <c r="G152" s="15">
        <v>2060</v>
      </c>
      <c r="H152" s="100">
        <f t="shared" si="4"/>
        <v>24510</v>
      </c>
      <c r="I152" s="19">
        <v>24510</v>
      </c>
      <c r="J152" s="1">
        <f t="shared" si="5"/>
        <v>0</v>
      </c>
    </row>
    <row r="153" spans="2:10" x14ac:dyDescent="0.25">
      <c r="B153" s="5"/>
      <c r="C153" s="4" t="s">
        <v>1</v>
      </c>
      <c r="E153" s="14">
        <v>23390</v>
      </c>
      <c r="F153" s="12">
        <v>1210</v>
      </c>
      <c r="G153" s="15">
        <v>2540</v>
      </c>
      <c r="H153" s="100">
        <f t="shared" si="4"/>
        <v>27140</v>
      </c>
      <c r="I153" s="19">
        <v>27140</v>
      </c>
      <c r="J153" s="1">
        <f t="shared" si="5"/>
        <v>0</v>
      </c>
    </row>
    <row r="154" spans="2:10" x14ac:dyDescent="0.25">
      <c r="B154" s="5"/>
      <c r="C154" s="4" t="s">
        <v>2</v>
      </c>
      <c r="E154" s="14">
        <v>23660</v>
      </c>
      <c r="F154" s="12">
        <v>1430</v>
      </c>
      <c r="G154" s="15">
        <v>2590</v>
      </c>
      <c r="H154" s="100">
        <f t="shared" si="4"/>
        <v>27680</v>
      </c>
      <c r="I154" s="19">
        <v>27680</v>
      </c>
      <c r="J154" s="1">
        <f t="shared" si="5"/>
        <v>0</v>
      </c>
    </row>
    <row r="155" spans="2:10" x14ac:dyDescent="0.25">
      <c r="B155" s="5"/>
      <c r="C155" s="4" t="s">
        <v>3</v>
      </c>
      <c r="E155" s="14">
        <v>19620</v>
      </c>
      <c r="F155" s="12">
        <v>1010</v>
      </c>
      <c r="G155" s="15">
        <v>2690</v>
      </c>
      <c r="H155" s="100">
        <f t="shared" si="4"/>
        <v>23320</v>
      </c>
      <c r="I155" s="19">
        <v>23320</v>
      </c>
      <c r="J155" s="1">
        <f t="shared" si="5"/>
        <v>0</v>
      </c>
    </row>
    <row r="156" spans="2:10" x14ac:dyDescent="0.25">
      <c r="B156" s="5">
        <v>2012</v>
      </c>
      <c r="C156" s="4" t="s">
        <v>0</v>
      </c>
      <c r="E156" s="14">
        <v>20630</v>
      </c>
      <c r="F156" s="12">
        <v>1330</v>
      </c>
      <c r="G156" s="15">
        <v>2660</v>
      </c>
      <c r="H156" s="100">
        <f t="shared" si="4"/>
        <v>24620</v>
      </c>
      <c r="I156" s="19">
        <v>24620</v>
      </c>
      <c r="J156" s="1">
        <f t="shared" si="5"/>
        <v>0</v>
      </c>
    </row>
    <row r="157" spans="2:10" x14ac:dyDescent="0.25">
      <c r="B157" s="5"/>
      <c r="C157" s="4" t="s">
        <v>1</v>
      </c>
      <c r="E157" s="14">
        <v>19820</v>
      </c>
      <c r="F157" s="12">
        <v>1240</v>
      </c>
      <c r="G157" s="15">
        <v>2980</v>
      </c>
      <c r="H157" s="100">
        <f t="shared" si="4"/>
        <v>24040</v>
      </c>
      <c r="I157" s="19">
        <v>24040</v>
      </c>
      <c r="J157" s="1">
        <f t="shared" si="5"/>
        <v>0</v>
      </c>
    </row>
    <row r="158" spans="2:10" x14ac:dyDescent="0.25">
      <c r="B158" s="5"/>
      <c r="C158" s="4" t="s">
        <v>2</v>
      </c>
      <c r="E158" s="14">
        <v>22230</v>
      </c>
      <c r="F158" s="12">
        <v>1490</v>
      </c>
      <c r="G158" s="15">
        <v>2300</v>
      </c>
      <c r="H158" s="100">
        <f t="shared" si="4"/>
        <v>26020</v>
      </c>
      <c r="I158" s="19">
        <v>26020</v>
      </c>
      <c r="J158" s="1">
        <f t="shared" si="5"/>
        <v>0</v>
      </c>
    </row>
    <row r="159" spans="2:10" x14ac:dyDescent="0.25">
      <c r="B159" s="5"/>
      <c r="C159" s="4" t="s">
        <v>3</v>
      </c>
      <c r="E159" s="14">
        <v>17580</v>
      </c>
      <c r="F159" s="12">
        <v>1230</v>
      </c>
      <c r="G159" s="15">
        <v>2640</v>
      </c>
      <c r="H159" s="100">
        <f t="shared" si="4"/>
        <v>21450</v>
      </c>
      <c r="I159" s="19">
        <v>21450</v>
      </c>
      <c r="J159" s="1">
        <f t="shared" si="5"/>
        <v>0</v>
      </c>
    </row>
    <row r="160" spans="2:10" x14ac:dyDescent="0.25">
      <c r="B160" s="5">
        <v>2013</v>
      </c>
      <c r="C160" s="4" t="s">
        <v>0</v>
      </c>
      <c r="E160" s="14">
        <v>22350</v>
      </c>
      <c r="F160" s="12">
        <v>1330</v>
      </c>
      <c r="G160" s="15">
        <v>2760</v>
      </c>
      <c r="H160" s="100">
        <f t="shared" si="4"/>
        <v>26440</v>
      </c>
      <c r="I160" s="19">
        <v>26440</v>
      </c>
      <c r="J160" s="1">
        <f t="shared" si="5"/>
        <v>0</v>
      </c>
    </row>
    <row r="161" spans="2:10" x14ac:dyDescent="0.25">
      <c r="B161" s="5"/>
      <c r="C161" s="4" t="s">
        <v>1</v>
      </c>
      <c r="E161" s="14">
        <v>26420</v>
      </c>
      <c r="F161" s="12">
        <v>1560</v>
      </c>
      <c r="G161" s="15">
        <v>2860</v>
      </c>
      <c r="H161" s="100">
        <f t="shared" si="4"/>
        <v>30840</v>
      </c>
      <c r="I161" s="19">
        <v>30840</v>
      </c>
      <c r="J161" s="1">
        <f t="shared" si="5"/>
        <v>0</v>
      </c>
    </row>
    <row r="162" spans="2:10" x14ac:dyDescent="0.25">
      <c r="B162" s="5"/>
      <c r="C162" s="4" t="s">
        <v>2</v>
      </c>
      <c r="E162" s="14">
        <v>28370</v>
      </c>
      <c r="F162" s="12">
        <v>1540</v>
      </c>
      <c r="G162" s="15">
        <v>2730</v>
      </c>
      <c r="H162" s="100">
        <f t="shared" si="4"/>
        <v>32640</v>
      </c>
      <c r="I162" s="19">
        <v>32640</v>
      </c>
      <c r="J162" s="1">
        <f t="shared" si="5"/>
        <v>0</v>
      </c>
    </row>
    <row r="163" spans="2:10" x14ac:dyDescent="0.25">
      <c r="B163" s="5"/>
      <c r="C163" s="4" t="s">
        <v>3</v>
      </c>
      <c r="E163" s="14">
        <v>21680</v>
      </c>
      <c r="F163" s="12">
        <v>1310</v>
      </c>
      <c r="G163" s="15">
        <v>2530</v>
      </c>
      <c r="H163" s="100">
        <f t="shared" si="4"/>
        <v>25520</v>
      </c>
      <c r="I163" s="19">
        <v>25520</v>
      </c>
      <c r="J163" s="1">
        <f t="shared" si="5"/>
        <v>0</v>
      </c>
    </row>
    <row r="164" spans="2:10" x14ac:dyDescent="0.25">
      <c r="B164" s="5">
        <v>2014</v>
      </c>
      <c r="C164" s="4" t="s">
        <v>0</v>
      </c>
      <c r="E164" s="14">
        <v>30870</v>
      </c>
      <c r="F164" s="12">
        <v>1380</v>
      </c>
      <c r="G164" s="15">
        <v>3720</v>
      </c>
      <c r="H164" s="100">
        <f t="shared" si="4"/>
        <v>35970</v>
      </c>
      <c r="I164" s="19">
        <v>35970</v>
      </c>
      <c r="J164" s="1">
        <f t="shared" si="5"/>
        <v>0</v>
      </c>
    </row>
    <row r="165" spans="2:10" x14ac:dyDescent="0.25">
      <c r="B165" s="7"/>
      <c r="C165" s="4" t="s">
        <v>1</v>
      </c>
      <c r="E165" s="14">
        <v>30170</v>
      </c>
      <c r="F165" s="12">
        <v>1690</v>
      </c>
      <c r="G165" s="15">
        <v>3150</v>
      </c>
      <c r="H165" s="100">
        <f t="shared" si="4"/>
        <v>35010</v>
      </c>
      <c r="I165" s="19">
        <v>35010</v>
      </c>
      <c r="J165" s="1">
        <f t="shared" si="5"/>
        <v>0</v>
      </c>
    </row>
    <row r="166" spans="2:10" x14ac:dyDescent="0.25">
      <c r="B166" s="8"/>
      <c r="C166" s="9" t="s">
        <v>2</v>
      </c>
      <c r="E166" s="14">
        <v>29220</v>
      </c>
      <c r="F166" s="12">
        <v>1860</v>
      </c>
      <c r="G166" s="15">
        <v>2990</v>
      </c>
      <c r="H166" s="100">
        <f t="shared" si="4"/>
        <v>34070</v>
      </c>
      <c r="I166" s="19">
        <v>34070</v>
      </c>
      <c r="J166" s="1">
        <f t="shared" si="5"/>
        <v>0</v>
      </c>
    </row>
    <row r="167" spans="2:10" x14ac:dyDescent="0.25">
      <c r="B167" s="8"/>
      <c r="C167" s="8" t="s">
        <v>3</v>
      </c>
      <c r="E167" s="14">
        <v>21530</v>
      </c>
      <c r="F167" s="12">
        <v>1720</v>
      </c>
      <c r="G167" s="15">
        <v>3310</v>
      </c>
      <c r="H167" s="100">
        <f t="shared" si="4"/>
        <v>26560</v>
      </c>
      <c r="I167" s="19">
        <v>26560</v>
      </c>
      <c r="J167" s="1">
        <f t="shared" si="5"/>
        <v>0</v>
      </c>
    </row>
    <row r="168" spans="2:10" x14ac:dyDescent="0.25">
      <c r="B168" s="8">
        <v>2015</v>
      </c>
      <c r="C168" s="8" t="s">
        <v>0</v>
      </c>
      <c r="E168" s="14">
        <v>33630</v>
      </c>
      <c r="F168" s="12">
        <v>1690</v>
      </c>
      <c r="G168" s="15">
        <v>3360</v>
      </c>
      <c r="H168" s="100">
        <f t="shared" si="4"/>
        <v>38680</v>
      </c>
      <c r="I168" s="19">
        <v>38250</v>
      </c>
      <c r="J168" s="1">
        <f t="shared" si="5"/>
        <v>430</v>
      </c>
    </row>
    <row r="169" spans="2:10" x14ac:dyDescent="0.25">
      <c r="B169" s="8"/>
      <c r="C169" s="8" t="s">
        <v>1</v>
      </c>
      <c r="E169" s="14">
        <v>30450</v>
      </c>
      <c r="F169" s="12">
        <v>1800</v>
      </c>
      <c r="G169" s="15">
        <v>4270</v>
      </c>
      <c r="H169" s="100">
        <f t="shared" si="4"/>
        <v>36520</v>
      </c>
      <c r="I169" s="19">
        <v>36520</v>
      </c>
      <c r="J169" s="1">
        <f t="shared" si="5"/>
        <v>0</v>
      </c>
    </row>
    <row r="170" spans="2:10" x14ac:dyDescent="0.25">
      <c r="B170" s="8"/>
      <c r="C170" s="8" t="s">
        <v>2</v>
      </c>
      <c r="E170" s="14">
        <v>30810</v>
      </c>
      <c r="F170" s="12">
        <v>1820</v>
      </c>
      <c r="G170" s="15">
        <v>3640</v>
      </c>
      <c r="H170" s="100">
        <f t="shared" si="4"/>
        <v>36270</v>
      </c>
      <c r="I170" s="19">
        <v>36270</v>
      </c>
      <c r="J170" s="1">
        <f t="shared" si="5"/>
        <v>0</v>
      </c>
    </row>
    <row r="171" spans="2:10" x14ac:dyDescent="0.25">
      <c r="B171" s="8"/>
      <c r="C171" s="8" t="s">
        <v>3</v>
      </c>
      <c r="E171" s="14">
        <v>25700</v>
      </c>
      <c r="F171" s="12">
        <v>1680</v>
      </c>
      <c r="G171" s="15">
        <v>2860</v>
      </c>
      <c r="H171" s="100">
        <f t="shared" si="4"/>
        <v>30240</v>
      </c>
      <c r="I171" s="19">
        <v>30370</v>
      </c>
      <c r="J171" s="1">
        <f t="shared" si="5"/>
        <v>-130</v>
      </c>
    </row>
    <row r="172" spans="2:10" x14ac:dyDescent="0.25">
      <c r="B172" s="8">
        <v>2016</v>
      </c>
      <c r="C172" s="8" t="s">
        <v>0</v>
      </c>
      <c r="E172" s="14">
        <v>30500</v>
      </c>
      <c r="F172" s="12">
        <v>1410</v>
      </c>
      <c r="G172" s="15">
        <v>2830</v>
      </c>
      <c r="H172" s="100">
        <f t="shared" si="4"/>
        <v>34740</v>
      </c>
      <c r="I172" s="19">
        <v>34560</v>
      </c>
      <c r="J172" s="1">
        <f t="shared" si="5"/>
        <v>180</v>
      </c>
    </row>
    <row r="173" spans="2:10" x14ac:dyDescent="0.25">
      <c r="B173" s="8"/>
      <c r="C173" s="8" t="s">
        <v>1</v>
      </c>
      <c r="E173" s="14">
        <v>33490</v>
      </c>
      <c r="F173" s="12">
        <v>1360</v>
      </c>
      <c r="G173" s="15">
        <v>3450</v>
      </c>
      <c r="H173" s="100">
        <f t="shared" si="4"/>
        <v>38300</v>
      </c>
      <c r="I173" s="19">
        <v>38300</v>
      </c>
      <c r="J173" s="1">
        <f t="shared" si="5"/>
        <v>0</v>
      </c>
    </row>
    <row r="174" spans="2:10" x14ac:dyDescent="0.25">
      <c r="B174" s="8"/>
      <c r="C174" s="8" t="s">
        <v>2</v>
      </c>
      <c r="E174" s="14">
        <v>35870</v>
      </c>
      <c r="F174" s="12">
        <v>1900</v>
      </c>
      <c r="G174" s="15">
        <v>3690</v>
      </c>
      <c r="H174" s="100">
        <f t="shared" si="4"/>
        <v>41460</v>
      </c>
      <c r="I174" s="19">
        <v>41200</v>
      </c>
      <c r="J174" s="1">
        <f t="shared" si="5"/>
        <v>260</v>
      </c>
    </row>
    <row r="175" spans="2:10" x14ac:dyDescent="0.25">
      <c r="B175" s="8"/>
      <c r="C175" s="8" t="s">
        <v>3</v>
      </c>
      <c r="E175" s="14">
        <v>28300</v>
      </c>
      <c r="F175" s="12">
        <v>2140</v>
      </c>
      <c r="G175" s="15">
        <v>3190</v>
      </c>
      <c r="H175" s="100">
        <f t="shared" si="4"/>
        <v>33630</v>
      </c>
      <c r="I175" s="19">
        <v>34890</v>
      </c>
      <c r="J175" s="1">
        <f t="shared" si="5"/>
        <v>-1260</v>
      </c>
    </row>
    <row r="176" spans="2:10" x14ac:dyDescent="0.25">
      <c r="B176" s="8">
        <v>2017</v>
      </c>
      <c r="C176" s="8" t="s">
        <v>0</v>
      </c>
      <c r="E176" s="14">
        <v>34940</v>
      </c>
      <c r="F176" s="12">
        <v>1480</v>
      </c>
      <c r="G176" s="10">
        <v>2900</v>
      </c>
      <c r="H176" s="100">
        <f t="shared" si="4"/>
        <v>39320</v>
      </c>
      <c r="I176" s="19">
        <v>42310</v>
      </c>
      <c r="J176" s="1">
        <f t="shared" si="5"/>
        <v>-2990</v>
      </c>
    </row>
    <row r="177" spans="2:10" x14ac:dyDescent="0.25">
      <c r="B177" s="8"/>
      <c r="C177" s="8" t="s">
        <v>1</v>
      </c>
      <c r="E177" s="14">
        <v>35730</v>
      </c>
      <c r="F177" s="12">
        <v>1850</v>
      </c>
      <c r="G177" s="10">
        <v>4420</v>
      </c>
      <c r="H177" s="100">
        <f t="shared" si="4"/>
        <v>42000</v>
      </c>
      <c r="I177" s="19">
        <v>40850</v>
      </c>
      <c r="J177" s="1">
        <f t="shared" si="5"/>
        <v>1150</v>
      </c>
    </row>
    <row r="178" spans="2:10" x14ac:dyDescent="0.25">
      <c r="B178" s="8"/>
      <c r="C178" s="8" t="s">
        <v>2</v>
      </c>
      <c r="E178" s="14">
        <v>34020</v>
      </c>
      <c r="F178" s="12">
        <v>1510</v>
      </c>
      <c r="G178" s="10">
        <v>3170</v>
      </c>
      <c r="H178" s="100">
        <f t="shared" si="4"/>
        <v>38700</v>
      </c>
      <c r="I178" s="19">
        <v>38390</v>
      </c>
      <c r="J178" s="1">
        <f t="shared" si="5"/>
        <v>310</v>
      </c>
    </row>
    <row r="179" spans="2:10" x14ac:dyDescent="0.25">
      <c r="B179" s="8"/>
      <c r="C179" s="8" t="s">
        <v>3</v>
      </c>
      <c r="E179" s="14">
        <v>30610</v>
      </c>
      <c r="F179" s="12">
        <v>1260</v>
      </c>
      <c r="G179" s="10">
        <v>3200</v>
      </c>
      <c r="H179" s="100">
        <f t="shared" si="4"/>
        <v>35070</v>
      </c>
      <c r="I179" s="19">
        <v>34700</v>
      </c>
      <c r="J179" s="1">
        <f t="shared" si="5"/>
        <v>370</v>
      </c>
    </row>
    <row r="180" spans="2:10" x14ac:dyDescent="0.25">
      <c r="B180" s="8">
        <v>2018</v>
      </c>
      <c r="C180" s="8" t="s">
        <v>0</v>
      </c>
      <c r="E180" s="14">
        <v>34990</v>
      </c>
      <c r="F180" s="12">
        <v>1420</v>
      </c>
      <c r="G180" s="10">
        <v>2890</v>
      </c>
      <c r="H180" s="100">
        <f t="shared" si="4"/>
        <v>39300</v>
      </c>
      <c r="I180" s="19">
        <v>39480</v>
      </c>
      <c r="J180" s="1">
        <f t="shared" si="5"/>
        <v>-180</v>
      </c>
    </row>
    <row r="181" spans="2:10" x14ac:dyDescent="0.25">
      <c r="B181" s="8"/>
      <c r="C181" s="8" t="s">
        <v>1</v>
      </c>
      <c r="E181" s="14">
        <v>34720</v>
      </c>
      <c r="F181" s="12">
        <v>1820</v>
      </c>
      <c r="G181" s="10">
        <v>3960</v>
      </c>
      <c r="H181" s="100">
        <f t="shared" si="4"/>
        <v>40500</v>
      </c>
      <c r="I181" s="19">
        <v>40350</v>
      </c>
      <c r="J181" s="1">
        <f t="shared" si="5"/>
        <v>150</v>
      </c>
    </row>
    <row r="182" spans="2:10" x14ac:dyDescent="0.25">
      <c r="B182" s="8"/>
      <c r="C182" s="8" t="s">
        <v>2</v>
      </c>
      <c r="E182" s="14">
        <v>39380</v>
      </c>
      <c r="F182" s="12">
        <v>1430</v>
      </c>
      <c r="G182" s="10">
        <v>3710</v>
      </c>
      <c r="H182" s="100">
        <f t="shared" si="4"/>
        <v>44520</v>
      </c>
      <c r="I182" s="19">
        <v>44070</v>
      </c>
      <c r="J182" s="1">
        <f t="shared" si="5"/>
        <v>450</v>
      </c>
    </row>
    <row r="183" spans="2:10" x14ac:dyDescent="0.25">
      <c r="B183" s="8"/>
      <c r="C183" s="8" t="s">
        <v>3</v>
      </c>
      <c r="E183" s="14">
        <v>29100</v>
      </c>
      <c r="F183" s="12">
        <v>1330</v>
      </c>
      <c r="G183" s="10">
        <v>4980</v>
      </c>
      <c r="H183" s="100">
        <f t="shared" si="4"/>
        <v>35410</v>
      </c>
      <c r="I183" s="19">
        <v>34880</v>
      </c>
      <c r="J183" s="1">
        <f t="shared" si="5"/>
        <v>530</v>
      </c>
    </row>
    <row r="184" spans="2:10" x14ac:dyDescent="0.25">
      <c r="B184">
        <v>2019</v>
      </c>
      <c r="C184" s="8" t="s">
        <v>0</v>
      </c>
      <c r="E184" s="14">
        <v>31900</v>
      </c>
      <c r="F184" s="12">
        <v>1390</v>
      </c>
      <c r="G184" s="11">
        <v>4140</v>
      </c>
      <c r="H184" s="100">
        <f t="shared" si="4"/>
        <v>37430</v>
      </c>
    </row>
    <row r="185" spans="2:10" x14ac:dyDescent="0.25">
      <c r="C185" s="8" t="s">
        <v>1</v>
      </c>
      <c r="E185" s="14">
        <v>31830</v>
      </c>
      <c r="F185" s="12">
        <v>1690</v>
      </c>
      <c r="G185" s="11">
        <v>4600</v>
      </c>
      <c r="H185" s="100">
        <f t="shared" si="4"/>
        <v>38120</v>
      </c>
    </row>
    <row r="186" spans="2:10" x14ac:dyDescent="0.25">
      <c r="C186" s="8" t="s">
        <v>2</v>
      </c>
      <c r="E186" s="12">
        <v>35350</v>
      </c>
      <c r="F186" s="12">
        <v>1720</v>
      </c>
      <c r="G186" s="11">
        <v>4700</v>
      </c>
      <c r="H186" s="100">
        <f t="shared" si="4"/>
        <v>41770</v>
      </c>
    </row>
    <row r="187" spans="2:10" x14ac:dyDescent="0.25">
      <c r="C187" s="8" t="s">
        <v>3</v>
      </c>
      <c r="E187" s="12">
        <v>23980</v>
      </c>
      <c r="F187" s="12">
        <v>1330</v>
      </c>
      <c r="G187" s="11">
        <v>4390</v>
      </c>
      <c r="H187" s="100">
        <f t="shared" si="4"/>
        <v>29700</v>
      </c>
    </row>
    <row r="188" spans="2:10" x14ac:dyDescent="0.25">
      <c r="B188">
        <v>2020</v>
      </c>
      <c r="C188" s="8" t="s">
        <v>0</v>
      </c>
      <c r="E188" s="16">
        <v>28050</v>
      </c>
      <c r="F188" s="12">
        <v>1490</v>
      </c>
      <c r="G188" s="11">
        <v>3580</v>
      </c>
      <c r="H188" s="100">
        <f t="shared" si="4"/>
        <v>33120</v>
      </c>
    </row>
    <row r="189" spans="2:10" x14ac:dyDescent="0.25">
      <c r="C189" s="8" t="s">
        <v>1</v>
      </c>
      <c r="E189" s="16">
        <v>13560</v>
      </c>
      <c r="F189" s="12" t="s">
        <v>22</v>
      </c>
      <c r="G189" s="11">
        <v>1100</v>
      </c>
      <c r="H189" s="100">
        <f t="shared" si="4"/>
        <v>14660</v>
      </c>
    </row>
    <row r="190" spans="2:10" x14ac:dyDescent="0.25">
      <c r="C190" s="8" t="s">
        <v>2</v>
      </c>
      <c r="E190" s="16">
        <v>31460</v>
      </c>
      <c r="F190" s="12" t="s">
        <v>22</v>
      </c>
      <c r="G190" s="11">
        <v>3520</v>
      </c>
      <c r="H190" s="100">
        <f t="shared" si="4"/>
        <v>34980</v>
      </c>
    </row>
    <row r="191" spans="2:10" x14ac:dyDescent="0.25">
      <c r="C191" s="8" t="s">
        <v>3</v>
      </c>
      <c r="E191" s="16">
        <v>29390</v>
      </c>
      <c r="F191" s="12" t="s">
        <v>22</v>
      </c>
      <c r="G191" s="11">
        <v>4190</v>
      </c>
      <c r="H191" s="100">
        <f t="shared" si="4"/>
        <v>33580</v>
      </c>
    </row>
    <row r="192" spans="2:10" x14ac:dyDescent="0.25">
      <c r="B192">
        <v>2021</v>
      </c>
      <c r="C192" s="8" t="s">
        <v>0</v>
      </c>
      <c r="E192" s="16">
        <v>37000</v>
      </c>
      <c r="F192" s="12" t="s">
        <v>22</v>
      </c>
      <c r="G192" s="11">
        <v>4730</v>
      </c>
      <c r="H192" s="100">
        <f t="shared" si="4"/>
        <v>41730</v>
      </c>
    </row>
    <row r="193" spans="2:8" x14ac:dyDescent="0.25">
      <c r="C193" s="8" t="s">
        <v>1</v>
      </c>
      <c r="E193" s="16">
        <v>37580</v>
      </c>
      <c r="F193" s="12" t="s">
        <v>22</v>
      </c>
      <c r="G193" s="11">
        <v>4790</v>
      </c>
      <c r="H193" s="100">
        <f t="shared" si="4"/>
        <v>42370</v>
      </c>
    </row>
    <row r="194" spans="2:8" x14ac:dyDescent="0.25">
      <c r="C194" s="8" t="s">
        <v>2</v>
      </c>
      <c r="E194" s="17">
        <v>38260</v>
      </c>
      <c r="F194" s="12" t="s">
        <v>22</v>
      </c>
      <c r="G194" s="11">
        <v>2960</v>
      </c>
      <c r="H194" s="100">
        <f t="shared" si="4"/>
        <v>41220</v>
      </c>
    </row>
    <row r="195" spans="2:8" x14ac:dyDescent="0.25">
      <c r="C195" s="8" t="s">
        <v>3</v>
      </c>
      <c r="E195" s="16">
        <v>28590</v>
      </c>
      <c r="F195" s="12" t="s">
        <v>22</v>
      </c>
      <c r="G195" s="11">
        <v>3340</v>
      </c>
      <c r="H195" s="100">
        <f t="shared" si="4"/>
        <v>31930</v>
      </c>
    </row>
    <row r="196" spans="2:8" x14ac:dyDescent="0.25">
      <c r="B196">
        <v>2022</v>
      </c>
      <c r="C196" s="8" t="s">
        <v>0</v>
      </c>
      <c r="E196" s="16">
        <v>35280</v>
      </c>
      <c r="F196" s="12" t="s">
        <v>22</v>
      </c>
      <c r="G196" s="11">
        <v>3330</v>
      </c>
      <c r="H196" s="100">
        <f t="shared" si="4"/>
        <v>38610</v>
      </c>
    </row>
    <row r="197" spans="2:8" x14ac:dyDescent="0.25">
      <c r="C197" s="8" t="s">
        <v>1</v>
      </c>
      <c r="E197" s="16">
        <v>46930</v>
      </c>
      <c r="F197" s="12">
        <v>1230</v>
      </c>
      <c r="G197" s="11">
        <v>4990</v>
      </c>
      <c r="H197" s="100">
        <f t="shared" si="4"/>
        <v>53150</v>
      </c>
    </row>
  </sheetData>
  <phoneticPr fontId="3" type="noConversion"/>
  <hyperlinks>
    <hyperlink ref="E6" r:id="rId1" xr:uid="{267FBEBB-858F-4E14-A218-F48DC4488B27}"/>
    <hyperlink ref="F6" r:id="rId2" xr:uid="{2A6DF855-CC29-445E-81F3-ADC9B793E579}"/>
    <hyperlink ref="G6" r:id="rId3" xr:uid="{3703F422-00A5-4DB5-82AD-4858A9356276}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465D-DFAD-41E8-917B-72A26512C594}">
  <dimension ref="B3:O768"/>
  <sheetViews>
    <sheetView zoomScale="75" zoomScaleNormal="75" workbookViewId="0">
      <selection activeCell="G17" sqref="G17"/>
    </sheetView>
  </sheetViews>
  <sheetFormatPr defaultRowHeight="15" x14ac:dyDescent="0.25"/>
  <cols>
    <col min="1" max="1" width="2.7109375" customWidth="1"/>
    <col min="2" max="2" width="8.7109375" customWidth="1"/>
    <col min="3" max="3" width="4.7109375" customWidth="1"/>
    <col min="4" max="4" width="15.7109375" style="21" customWidth="1"/>
    <col min="5" max="7" width="15.7109375" customWidth="1"/>
    <col min="8" max="8" width="15.7109375" style="95" customWidth="1"/>
    <col min="9" max="10" width="15.7109375" customWidth="1"/>
    <col min="11" max="11" width="2.7109375" customWidth="1"/>
    <col min="12" max="12" width="8.7109375" style="29" customWidth="1"/>
    <col min="13" max="13" width="15.7109375" style="29" customWidth="1"/>
    <col min="14" max="14" width="15.7109375" style="30" customWidth="1"/>
    <col min="15" max="15" width="15.7109375" style="29" customWidth="1"/>
  </cols>
  <sheetData>
    <row r="3" spans="2:15" x14ac:dyDescent="0.25">
      <c r="D3" s="21" t="s">
        <v>4</v>
      </c>
      <c r="E3" t="s">
        <v>5</v>
      </c>
      <c r="F3" t="s">
        <v>6</v>
      </c>
      <c r="G3" t="s">
        <v>18</v>
      </c>
      <c r="H3" s="95" t="s">
        <v>7</v>
      </c>
      <c r="I3" t="s">
        <v>8</v>
      </c>
      <c r="J3" t="s">
        <v>9</v>
      </c>
      <c r="L3" s="29" t="s">
        <v>41</v>
      </c>
    </row>
    <row r="4" spans="2:15" ht="135" customHeight="1" x14ac:dyDescent="0.25">
      <c r="B4" s="2" t="s">
        <v>17</v>
      </c>
      <c r="C4" s="2"/>
      <c r="D4" s="22" t="s">
        <v>26</v>
      </c>
      <c r="E4" s="3"/>
      <c r="F4" s="3"/>
      <c r="G4" s="3"/>
      <c r="H4" s="96" t="s">
        <v>4</v>
      </c>
      <c r="I4" s="2"/>
      <c r="J4" s="2"/>
    </row>
    <row r="5" spans="2:15" ht="45" customHeight="1" x14ac:dyDescent="0.25">
      <c r="B5" s="2" t="s">
        <v>16</v>
      </c>
      <c r="C5" s="2"/>
      <c r="D5" s="22" t="s">
        <v>27</v>
      </c>
      <c r="E5" s="3"/>
      <c r="F5" s="3"/>
      <c r="G5" s="3"/>
      <c r="H5" s="97"/>
      <c r="I5" s="2"/>
      <c r="J5" s="2"/>
    </row>
    <row r="6" spans="2:15" ht="15.75" customHeight="1" x14ac:dyDescent="0.25">
      <c r="B6" s="2" t="s">
        <v>13</v>
      </c>
      <c r="C6" s="2"/>
      <c r="D6" s="23" t="s">
        <v>24</v>
      </c>
      <c r="E6" s="3"/>
      <c r="F6" s="3"/>
      <c r="G6" s="3"/>
      <c r="H6" s="97"/>
      <c r="I6" s="20"/>
      <c r="J6" s="2"/>
    </row>
    <row r="7" spans="2:15" ht="15.75" customHeight="1" x14ac:dyDescent="0.25">
      <c r="B7" s="2" t="s">
        <v>15</v>
      </c>
      <c r="C7" s="2"/>
      <c r="D7" s="22" t="s">
        <v>28</v>
      </c>
      <c r="E7" s="3"/>
      <c r="F7" s="3"/>
      <c r="G7" s="3"/>
      <c r="H7" s="99"/>
      <c r="J7" s="2"/>
    </row>
    <row r="8" spans="2:15" x14ac:dyDescent="0.25">
      <c r="B8">
        <v>1975</v>
      </c>
      <c r="C8" s="4" t="s">
        <v>0</v>
      </c>
      <c r="D8" s="24">
        <v>9179.4362270000001</v>
      </c>
      <c r="E8" s="1"/>
      <c r="H8" s="100">
        <f>SUM(D8:G8)</f>
        <v>9179.4362270000001</v>
      </c>
      <c r="I8" s="13">
        <v>9179.4362270000001</v>
      </c>
      <c r="J8" s="1">
        <f>H8-I8</f>
        <v>0</v>
      </c>
      <c r="L8" s="29">
        <v>1975</v>
      </c>
      <c r="M8" s="29" t="s">
        <v>29</v>
      </c>
      <c r="N8" s="30">
        <v>9179.4362270000001</v>
      </c>
    </row>
    <row r="9" spans="2:15" x14ac:dyDescent="0.25">
      <c r="C9" s="4" t="s">
        <v>1</v>
      </c>
      <c r="D9" s="24">
        <v>9423.1380740000004</v>
      </c>
      <c r="E9" s="1"/>
      <c r="H9" s="100">
        <f t="shared" ref="H9:H72" si="0">SUM(D9:G9)</f>
        <v>9423.1380740000004</v>
      </c>
      <c r="I9" s="13">
        <v>9423.1380740000004</v>
      </c>
      <c r="J9" s="1">
        <f t="shared" ref="J9:J72" si="1">H9-I9</f>
        <v>0</v>
      </c>
      <c r="L9" s="29">
        <v>1975</v>
      </c>
      <c r="M9" s="29" t="s">
        <v>30</v>
      </c>
      <c r="N9" s="30">
        <v>9179.4362270000001</v>
      </c>
    </row>
    <row r="10" spans="2:15" x14ac:dyDescent="0.25">
      <c r="C10" s="4" t="s">
        <v>2</v>
      </c>
      <c r="D10" s="24">
        <v>9707.4568949999993</v>
      </c>
      <c r="E10" s="1"/>
      <c r="H10" s="100">
        <f t="shared" si="0"/>
        <v>9707.4568949999993</v>
      </c>
      <c r="I10" s="13">
        <v>9707.4568949999993</v>
      </c>
      <c r="J10" s="1">
        <f t="shared" si="1"/>
        <v>0</v>
      </c>
      <c r="L10" s="29">
        <v>1975</v>
      </c>
      <c r="M10" s="29" t="s">
        <v>31</v>
      </c>
      <c r="N10" s="30">
        <v>9179.4362270000001</v>
      </c>
      <c r="O10" s="32">
        <f>AVERAGE(N8:N10)</f>
        <v>9179.4362270000001</v>
      </c>
    </row>
    <row r="11" spans="2:15" x14ac:dyDescent="0.25">
      <c r="C11" s="4" t="s">
        <v>3</v>
      </c>
      <c r="D11" s="24">
        <v>9808.9993310000009</v>
      </c>
      <c r="E11" s="1"/>
      <c r="H11" s="100">
        <f t="shared" si="0"/>
        <v>9808.9993310000009</v>
      </c>
      <c r="I11" s="13">
        <v>9808.9993310000009</v>
      </c>
      <c r="J11" s="1">
        <f t="shared" si="1"/>
        <v>0</v>
      </c>
      <c r="L11" s="29">
        <v>1975</v>
      </c>
      <c r="M11" s="29" t="s">
        <v>32</v>
      </c>
      <c r="N11" s="30">
        <v>9423.1380740000004</v>
      </c>
      <c r="O11" s="31">
        <f t="shared" ref="O11:O74" si="2">AVERAGE(N9:N11)</f>
        <v>9260.6701759999996</v>
      </c>
    </row>
    <row r="12" spans="2:15" x14ac:dyDescent="0.25">
      <c r="B12">
        <v>1976</v>
      </c>
      <c r="C12" s="4" t="s">
        <v>0</v>
      </c>
      <c r="D12" s="24">
        <v>10012.084199999999</v>
      </c>
      <c r="E12" s="1"/>
      <c r="H12" s="100">
        <f t="shared" si="0"/>
        <v>10012.084199999999</v>
      </c>
      <c r="I12" s="13">
        <v>10012.084199999999</v>
      </c>
      <c r="J12" s="1">
        <f t="shared" si="1"/>
        <v>0</v>
      </c>
      <c r="L12" s="29">
        <v>1975</v>
      </c>
      <c r="M12" s="29" t="s">
        <v>33</v>
      </c>
      <c r="N12" s="30">
        <v>9423.1380740000004</v>
      </c>
      <c r="O12" s="31">
        <f t="shared" si="2"/>
        <v>9341.9041250000009</v>
      </c>
    </row>
    <row r="13" spans="2:15" x14ac:dyDescent="0.25">
      <c r="C13" s="4" t="s">
        <v>1</v>
      </c>
      <c r="D13" s="24">
        <v>10276.09454</v>
      </c>
      <c r="E13" s="1"/>
      <c r="H13" s="100">
        <f t="shared" si="0"/>
        <v>10276.09454</v>
      </c>
      <c r="I13" s="13">
        <v>10276.09454</v>
      </c>
      <c r="J13" s="1">
        <f t="shared" si="1"/>
        <v>0</v>
      </c>
      <c r="L13" s="29">
        <v>1975</v>
      </c>
      <c r="M13" s="29" t="s">
        <v>34</v>
      </c>
      <c r="N13" s="30">
        <v>9423.1380740000004</v>
      </c>
      <c r="O13" s="32">
        <f t="shared" si="2"/>
        <v>9423.1380740000004</v>
      </c>
    </row>
    <row r="14" spans="2:15" x14ac:dyDescent="0.25">
      <c r="C14" s="4" t="s">
        <v>2</v>
      </c>
      <c r="D14" s="24">
        <v>10519.79638</v>
      </c>
      <c r="E14" s="1"/>
      <c r="H14" s="100">
        <f t="shared" si="0"/>
        <v>10519.79638</v>
      </c>
      <c r="I14" s="13">
        <v>10519.79638</v>
      </c>
      <c r="J14" s="1">
        <f t="shared" si="1"/>
        <v>0</v>
      </c>
      <c r="L14" s="29">
        <v>1975</v>
      </c>
      <c r="M14" s="29" t="s">
        <v>35</v>
      </c>
      <c r="N14" s="30">
        <v>9707.4568949999993</v>
      </c>
      <c r="O14" s="31">
        <f t="shared" si="2"/>
        <v>9517.9110143333328</v>
      </c>
    </row>
    <row r="15" spans="2:15" x14ac:dyDescent="0.25">
      <c r="C15" s="4" t="s">
        <v>3</v>
      </c>
      <c r="D15" s="24">
        <v>10682.264279999999</v>
      </c>
      <c r="E15" s="1"/>
      <c r="H15" s="100">
        <f t="shared" si="0"/>
        <v>10682.264279999999</v>
      </c>
      <c r="I15" s="13">
        <v>10682.264279999999</v>
      </c>
      <c r="J15" s="1">
        <f t="shared" si="1"/>
        <v>0</v>
      </c>
      <c r="L15" s="29">
        <v>1975</v>
      </c>
      <c r="M15" s="29" t="s">
        <v>36</v>
      </c>
      <c r="N15" s="30">
        <v>9707.4568949999993</v>
      </c>
      <c r="O15" s="31">
        <f t="shared" si="2"/>
        <v>9612.6839546666652</v>
      </c>
    </row>
    <row r="16" spans="2:15" x14ac:dyDescent="0.25">
      <c r="B16">
        <v>1977</v>
      </c>
      <c r="C16" s="4" t="s">
        <v>0</v>
      </c>
      <c r="D16" s="24">
        <v>10763.498229999999</v>
      </c>
      <c r="E16" s="1"/>
      <c r="H16" s="100">
        <f t="shared" si="0"/>
        <v>10763.498229999999</v>
      </c>
      <c r="I16" s="13">
        <v>10763.498229999999</v>
      </c>
      <c r="J16" s="1">
        <f t="shared" si="1"/>
        <v>0</v>
      </c>
      <c r="L16" s="29">
        <v>1975</v>
      </c>
      <c r="M16" s="29" t="s">
        <v>37</v>
      </c>
      <c r="N16" s="30">
        <v>9707.4568949999993</v>
      </c>
      <c r="O16" s="32">
        <f t="shared" si="2"/>
        <v>9707.4568949999993</v>
      </c>
    </row>
    <row r="17" spans="2:15" x14ac:dyDescent="0.25">
      <c r="C17" s="4" t="s">
        <v>1</v>
      </c>
      <c r="D17" s="24">
        <v>10925.966130000001</v>
      </c>
      <c r="E17" s="1"/>
      <c r="H17" s="100">
        <f t="shared" si="0"/>
        <v>10925.966130000001</v>
      </c>
      <c r="I17" s="13">
        <v>10925.966130000001</v>
      </c>
      <c r="J17" s="1">
        <f t="shared" si="1"/>
        <v>0</v>
      </c>
      <c r="L17" s="29">
        <v>1975</v>
      </c>
      <c r="M17" s="29" t="s">
        <v>38</v>
      </c>
      <c r="N17" s="30">
        <v>9808.9993310000009</v>
      </c>
      <c r="O17" s="31">
        <f t="shared" si="2"/>
        <v>9741.3043736666659</v>
      </c>
    </row>
    <row r="18" spans="2:15" x14ac:dyDescent="0.25">
      <c r="C18" s="4" t="s">
        <v>2</v>
      </c>
      <c r="D18" s="24">
        <v>11250.901919999998</v>
      </c>
      <c r="E18" s="1"/>
      <c r="H18" s="100">
        <f t="shared" si="0"/>
        <v>11250.901919999998</v>
      </c>
      <c r="I18" s="13">
        <v>11250.901919999998</v>
      </c>
      <c r="J18" s="1">
        <f t="shared" si="1"/>
        <v>0</v>
      </c>
      <c r="L18" s="29">
        <v>1975</v>
      </c>
      <c r="M18" s="29" t="s">
        <v>39</v>
      </c>
      <c r="N18" s="30">
        <v>9808.9993310000009</v>
      </c>
      <c r="O18" s="31">
        <f t="shared" si="2"/>
        <v>9775.1518523333343</v>
      </c>
    </row>
    <row r="19" spans="2:15" x14ac:dyDescent="0.25">
      <c r="C19" s="4" t="s">
        <v>3</v>
      </c>
      <c r="D19" s="24">
        <v>11596.146210000001</v>
      </c>
      <c r="E19" s="1"/>
      <c r="H19" s="100">
        <f t="shared" si="0"/>
        <v>11596.146210000001</v>
      </c>
      <c r="I19" s="13">
        <v>11596.146210000001</v>
      </c>
      <c r="J19" s="1">
        <f t="shared" si="1"/>
        <v>0</v>
      </c>
      <c r="L19" s="29">
        <v>1975</v>
      </c>
      <c r="M19" s="29" t="s">
        <v>40</v>
      </c>
      <c r="N19" s="30">
        <v>9808.9993310000009</v>
      </c>
      <c r="O19" s="32">
        <f t="shared" si="2"/>
        <v>9808.9993310000009</v>
      </c>
    </row>
    <row r="20" spans="2:15" ht="15.75" x14ac:dyDescent="0.25">
      <c r="B20" s="5">
        <v>1978</v>
      </c>
      <c r="C20" s="4" t="s">
        <v>0</v>
      </c>
      <c r="D20" s="25">
        <v>11860.156540000002</v>
      </c>
      <c r="E20" s="14"/>
      <c r="F20" s="14"/>
      <c r="G20" s="15"/>
      <c r="H20" s="100">
        <f t="shared" si="0"/>
        <v>11860.156540000002</v>
      </c>
      <c r="I20" s="13">
        <v>11860.156540000002</v>
      </c>
      <c r="J20" s="1">
        <f t="shared" si="1"/>
        <v>0</v>
      </c>
      <c r="L20" s="29">
        <v>1976</v>
      </c>
      <c r="M20" s="29" t="s">
        <v>29</v>
      </c>
      <c r="N20" s="30">
        <v>10012.084199999999</v>
      </c>
      <c r="O20" s="31">
        <f t="shared" si="2"/>
        <v>9876.6942873333337</v>
      </c>
    </row>
    <row r="21" spans="2:15" ht="15.75" x14ac:dyDescent="0.25">
      <c r="B21" s="5"/>
      <c r="C21" s="4" t="s">
        <v>1</v>
      </c>
      <c r="D21" s="25">
        <v>12428.794180000003</v>
      </c>
      <c r="E21" s="14"/>
      <c r="F21" s="14"/>
      <c r="G21" s="15"/>
      <c r="H21" s="100">
        <f t="shared" si="0"/>
        <v>12428.794180000003</v>
      </c>
      <c r="I21" s="13">
        <v>12428.794180000003</v>
      </c>
      <c r="J21" s="1">
        <f t="shared" si="1"/>
        <v>0</v>
      </c>
      <c r="L21" s="29">
        <v>1976</v>
      </c>
      <c r="M21" s="29" t="s">
        <v>30</v>
      </c>
      <c r="N21" s="30">
        <v>10012.084199999999</v>
      </c>
      <c r="O21" s="31">
        <f t="shared" si="2"/>
        <v>9944.3892436666665</v>
      </c>
    </row>
    <row r="22" spans="2:15" ht="15.75" x14ac:dyDescent="0.25">
      <c r="B22" s="5"/>
      <c r="C22" s="4" t="s">
        <v>2</v>
      </c>
      <c r="D22" s="25">
        <v>13302.05913</v>
      </c>
      <c r="E22" s="14"/>
      <c r="F22" s="14"/>
      <c r="G22" s="15"/>
      <c r="H22" s="100">
        <f t="shared" si="0"/>
        <v>13302.05913</v>
      </c>
      <c r="I22" s="13">
        <v>13302.05913</v>
      </c>
      <c r="J22" s="1">
        <f t="shared" si="1"/>
        <v>0</v>
      </c>
      <c r="L22" s="29">
        <v>1976</v>
      </c>
      <c r="M22" s="29" t="s">
        <v>31</v>
      </c>
      <c r="N22" s="30">
        <v>10012.084199999999</v>
      </c>
      <c r="O22" s="31">
        <f t="shared" si="2"/>
        <v>10012.084199999999</v>
      </c>
    </row>
    <row r="23" spans="2:15" ht="15.75" x14ac:dyDescent="0.25">
      <c r="B23" s="5"/>
      <c r="C23" s="4" t="s">
        <v>3</v>
      </c>
      <c r="D23" s="25">
        <v>14236.24955</v>
      </c>
      <c r="E23" s="14"/>
      <c r="F23" s="14"/>
      <c r="G23" s="15"/>
      <c r="H23" s="100">
        <f t="shared" si="0"/>
        <v>14236.24955</v>
      </c>
      <c r="I23" s="13">
        <v>14236.24955</v>
      </c>
      <c r="J23" s="1">
        <f t="shared" si="1"/>
        <v>0</v>
      </c>
      <c r="L23" s="29">
        <v>1976</v>
      </c>
      <c r="M23" s="29" t="s">
        <v>32</v>
      </c>
      <c r="N23" s="30">
        <v>10276.09454</v>
      </c>
      <c r="O23" s="31">
        <f t="shared" si="2"/>
        <v>10100.087646666667</v>
      </c>
    </row>
    <row r="24" spans="2:15" ht="15.75" x14ac:dyDescent="0.25">
      <c r="B24" s="5">
        <v>1979</v>
      </c>
      <c r="C24" s="4" t="s">
        <v>0</v>
      </c>
      <c r="D24" s="25">
        <v>14987.663569999999</v>
      </c>
      <c r="E24" s="14"/>
      <c r="F24" s="14"/>
      <c r="G24" s="15"/>
      <c r="H24" s="100">
        <f t="shared" si="0"/>
        <v>14987.663569999999</v>
      </c>
      <c r="I24" s="13">
        <v>14987.663569999999</v>
      </c>
      <c r="J24" s="1">
        <f t="shared" si="1"/>
        <v>0</v>
      </c>
      <c r="L24" s="29">
        <v>1976</v>
      </c>
      <c r="M24" s="29" t="s">
        <v>33</v>
      </c>
      <c r="N24" s="30">
        <v>10276.09454</v>
      </c>
      <c r="O24" s="31">
        <f t="shared" si="2"/>
        <v>10188.091093333334</v>
      </c>
    </row>
    <row r="25" spans="2:15" ht="15.75" x14ac:dyDescent="0.25">
      <c r="B25" s="5"/>
      <c r="C25" s="4" t="s">
        <v>1</v>
      </c>
      <c r="D25" s="25">
        <v>16145.24735</v>
      </c>
      <c r="E25" s="14"/>
      <c r="F25" s="14"/>
      <c r="G25" s="15"/>
      <c r="H25" s="100">
        <f t="shared" si="0"/>
        <v>16145.24735</v>
      </c>
      <c r="I25" s="13">
        <v>16145.247349999998</v>
      </c>
      <c r="J25" s="1">
        <f t="shared" si="1"/>
        <v>0</v>
      </c>
      <c r="L25" s="29">
        <v>1976</v>
      </c>
      <c r="M25" s="29" t="s">
        <v>34</v>
      </c>
      <c r="N25" s="30">
        <v>10276.09454</v>
      </c>
      <c r="O25" s="31">
        <f t="shared" si="2"/>
        <v>10276.09454</v>
      </c>
    </row>
    <row r="26" spans="2:15" ht="15.75" x14ac:dyDescent="0.25">
      <c r="B26" s="5"/>
      <c r="C26" s="4" t="s">
        <v>2</v>
      </c>
      <c r="D26" s="25">
        <v>17384.065070000001</v>
      </c>
      <c r="E26" s="14"/>
      <c r="F26" s="14"/>
      <c r="G26" s="15"/>
      <c r="H26" s="100">
        <f t="shared" si="0"/>
        <v>17384.065070000001</v>
      </c>
      <c r="I26" s="13">
        <v>17384.065070000001</v>
      </c>
      <c r="J26" s="1">
        <f t="shared" si="1"/>
        <v>0</v>
      </c>
      <c r="L26" s="29">
        <v>1976</v>
      </c>
      <c r="M26" s="29" t="s">
        <v>35</v>
      </c>
      <c r="N26" s="30">
        <v>10519.79638</v>
      </c>
      <c r="O26" s="31">
        <f t="shared" si="2"/>
        <v>10357.328486666667</v>
      </c>
    </row>
    <row r="27" spans="2:15" ht="15.75" x14ac:dyDescent="0.25">
      <c r="B27" s="5"/>
      <c r="C27" s="4" t="s">
        <v>3</v>
      </c>
      <c r="D27" s="25">
        <v>18541.648840000002</v>
      </c>
      <c r="E27" s="14"/>
      <c r="F27" s="14"/>
      <c r="G27" s="15"/>
      <c r="H27" s="100">
        <f t="shared" si="0"/>
        <v>18541.648840000002</v>
      </c>
      <c r="I27" s="13">
        <v>18541.648840000002</v>
      </c>
      <c r="J27" s="1">
        <f t="shared" si="1"/>
        <v>0</v>
      </c>
      <c r="L27" s="29">
        <v>1976</v>
      </c>
      <c r="M27" s="29" t="s">
        <v>36</v>
      </c>
      <c r="N27" s="30">
        <v>10519.79638</v>
      </c>
      <c r="O27" s="31">
        <f t="shared" si="2"/>
        <v>10438.562433333333</v>
      </c>
    </row>
    <row r="28" spans="2:15" ht="15.75" x14ac:dyDescent="0.25">
      <c r="B28" s="5">
        <v>1980</v>
      </c>
      <c r="C28" s="4" t="s">
        <v>0</v>
      </c>
      <c r="D28" s="25">
        <v>19272.754379999998</v>
      </c>
      <c r="E28" s="14"/>
      <c r="F28" s="14"/>
      <c r="G28" s="15"/>
      <c r="H28" s="100">
        <f t="shared" si="0"/>
        <v>19272.754379999998</v>
      </c>
      <c r="I28" s="13">
        <v>19272.754379999998</v>
      </c>
      <c r="J28" s="1">
        <f t="shared" si="1"/>
        <v>0</v>
      </c>
      <c r="L28" s="29">
        <v>1976</v>
      </c>
      <c r="M28" s="29" t="s">
        <v>37</v>
      </c>
      <c r="N28" s="30">
        <v>10519.79638</v>
      </c>
      <c r="O28" s="31">
        <f t="shared" si="2"/>
        <v>10519.79638</v>
      </c>
    </row>
    <row r="29" spans="2:15" ht="15.75" x14ac:dyDescent="0.25">
      <c r="B29" s="5"/>
      <c r="C29" s="4" t="s">
        <v>1</v>
      </c>
      <c r="D29" s="25">
        <v>20044.476890000002</v>
      </c>
      <c r="E29" s="14"/>
      <c r="F29" s="14"/>
      <c r="G29" s="15"/>
      <c r="H29" s="100">
        <f t="shared" si="0"/>
        <v>20044.476890000002</v>
      </c>
      <c r="I29" s="13">
        <v>20044.476890000002</v>
      </c>
      <c r="J29" s="1">
        <f t="shared" si="1"/>
        <v>0</v>
      </c>
      <c r="L29" s="29">
        <v>1976</v>
      </c>
      <c r="M29" s="29" t="s">
        <v>38</v>
      </c>
      <c r="N29" s="30">
        <v>10682.264279999999</v>
      </c>
      <c r="O29" s="31">
        <f t="shared" si="2"/>
        <v>10573.952346666667</v>
      </c>
    </row>
    <row r="30" spans="2:15" ht="15.75" x14ac:dyDescent="0.25">
      <c r="B30" s="5"/>
      <c r="C30" s="4" t="s">
        <v>2</v>
      </c>
      <c r="D30" s="25">
        <v>20856.81638</v>
      </c>
      <c r="E30" s="14"/>
      <c r="F30" s="14"/>
      <c r="G30" s="15"/>
      <c r="H30" s="100">
        <f t="shared" si="0"/>
        <v>20856.81638</v>
      </c>
      <c r="I30" s="13">
        <v>20856.81638</v>
      </c>
      <c r="J30" s="1">
        <f t="shared" si="1"/>
        <v>0</v>
      </c>
      <c r="L30" s="29">
        <v>1976</v>
      </c>
      <c r="M30" s="29" t="s">
        <v>39</v>
      </c>
      <c r="N30" s="30">
        <v>10682.264279999999</v>
      </c>
      <c r="O30" s="31">
        <f t="shared" si="2"/>
        <v>10628.108313333332</v>
      </c>
    </row>
    <row r="31" spans="2:15" ht="15.75" x14ac:dyDescent="0.25">
      <c r="B31" s="5"/>
      <c r="C31" s="4" t="s">
        <v>3</v>
      </c>
      <c r="D31" s="25">
        <v>20897.433359999999</v>
      </c>
      <c r="E31" s="14"/>
      <c r="F31" s="14"/>
      <c r="G31" s="15"/>
      <c r="H31" s="100">
        <f t="shared" si="0"/>
        <v>20897.433359999999</v>
      </c>
      <c r="I31" s="13">
        <v>20897.433359999999</v>
      </c>
      <c r="J31" s="1">
        <f t="shared" si="1"/>
        <v>0</v>
      </c>
      <c r="L31" s="29">
        <v>1976</v>
      </c>
      <c r="M31" s="29" t="s">
        <v>40</v>
      </c>
      <c r="N31" s="30">
        <v>10682.264279999999</v>
      </c>
      <c r="O31" s="31">
        <f t="shared" si="2"/>
        <v>10682.264279999999</v>
      </c>
    </row>
    <row r="32" spans="2:15" ht="15.75" x14ac:dyDescent="0.25">
      <c r="B32" s="5">
        <v>1981</v>
      </c>
      <c r="C32" s="4" t="s">
        <v>0</v>
      </c>
      <c r="D32" s="25">
        <v>20938.050329999998</v>
      </c>
      <c r="E32" s="14"/>
      <c r="F32" s="14"/>
      <c r="G32" s="15"/>
      <c r="H32" s="100">
        <f t="shared" si="0"/>
        <v>20938.050329999998</v>
      </c>
      <c r="I32" s="13">
        <v>20938.050329999998</v>
      </c>
      <c r="J32" s="1">
        <f t="shared" si="1"/>
        <v>0</v>
      </c>
      <c r="L32" s="29">
        <v>1977</v>
      </c>
      <c r="M32" s="29" t="s">
        <v>29</v>
      </c>
      <c r="N32" s="30">
        <v>10763.498229999999</v>
      </c>
      <c r="O32" s="31">
        <f t="shared" si="2"/>
        <v>10709.342263333332</v>
      </c>
    </row>
    <row r="33" spans="2:15" ht="15.75" x14ac:dyDescent="0.25">
      <c r="B33" s="5"/>
      <c r="C33" s="4" t="s">
        <v>1</v>
      </c>
      <c r="D33" s="25">
        <v>21506.687969999999</v>
      </c>
      <c r="E33" s="14"/>
      <c r="F33" s="14"/>
      <c r="G33" s="15"/>
      <c r="H33" s="100">
        <f t="shared" si="0"/>
        <v>21506.687969999999</v>
      </c>
      <c r="I33" s="13">
        <v>21506.687969999999</v>
      </c>
      <c r="J33" s="1">
        <f t="shared" si="1"/>
        <v>0</v>
      </c>
      <c r="L33" s="29">
        <v>1977</v>
      </c>
      <c r="M33" s="29" t="s">
        <v>30</v>
      </c>
      <c r="N33" s="30">
        <v>10763.498229999999</v>
      </c>
      <c r="O33" s="31">
        <f t="shared" si="2"/>
        <v>10736.420246666667</v>
      </c>
    </row>
    <row r="34" spans="2:15" ht="15.75" x14ac:dyDescent="0.25">
      <c r="B34" s="5"/>
      <c r="C34" s="4" t="s">
        <v>2</v>
      </c>
      <c r="D34" s="25">
        <v>21851.932260000001</v>
      </c>
      <c r="E34" s="14"/>
      <c r="F34" s="14"/>
      <c r="G34" s="15"/>
      <c r="H34" s="100">
        <f t="shared" si="0"/>
        <v>21851.932260000001</v>
      </c>
      <c r="I34" s="13">
        <v>21851.932260000001</v>
      </c>
      <c r="J34" s="1">
        <f t="shared" si="1"/>
        <v>0</v>
      </c>
      <c r="L34" s="29">
        <v>1977</v>
      </c>
      <c r="M34" s="29" t="s">
        <v>31</v>
      </c>
      <c r="N34" s="30">
        <v>10763.498229999999</v>
      </c>
      <c r="O34" s="31">
        <f t="shared" si="2"/>
        <v>10763.498229999999</v>
      </c>
    </row>
    <row r="35" spans="2:15" ht="15.75" x14ac:dyDescent="0.25">
      <c r="B35" s="5"/>
      <c r="C35" s="4" t="s">
        <v>3</v>
      </c>
      <c r="D35" s="25">
        <v>21425.454030000001</v>
      </c>
      <c r="E35" s="14"/>
      <c r="F35" s="14"/>
      <c r="G35" s="15"/>
      <c r="H35" s="100">
        <f t="shared" si="0"/>
        <v>21425.454030000001</v>
      </c>
      <c r="I35" s="13">
        <v>21425.454030000001</v>
      </c>
      <c r="J35" s="1">
        <f t="shared" si="1"/>
        <v>0</v>
      </c>
      <c r="L35" s="29">
        <v>1977</v>
      </c>
      <c r="M35" s="29" t="s">
        <v>32</v>
      </c>
      <c r="N35" s="30">
        <v>10925.966130000001</v>
      </c>
      <c r="O35" s="31">
        <f t="shared" si="2"/>
        <v>10817.654196666666</v>
      </c>
    </row>
    <row r="36" spans="2:15" ht="15.75" x14ac:dyDescent="0.25">
      <c r="B36" s="5">
        <v>1982</v>
      </c>
      <c r="C36" s="4" t="s">
        <v>0</v>
      </c>
      <c r="D36" s="25">
        <v>20897.433359999999</v>
      </c>
      <c r="E36" s="14"/>
      <c r="F36" s="14"/>
      <c r="G36" s="15"/>
      <c r="H36" s="100">
        <f t="shared" si="0"/>
        <v>20897.433359999999</v>
      </c>
      <c r="I36" s="13">
        <v>20897.433359999999</v>
      </c>
      <c r="J36" s="1">
        <f t="shared" si="1"/>
        <v>0</v>
      </c>
      <c r="L36" s="29">
        <v>1977</v>
      </c>
      <c r="M36" s="29" t="s">
        <v>33</v>
      </c>
      <c r="N36" s="30">
        <v>10925.966130000001</v>
      </c>
      <c r="O36" s="31">
        <f t="shared" si="2"/>
        <v>10871.810163333334</v>
      </c>
    </row>
    <row r="37" spans="2:15" ht="15.75" x14ac:dyDescent="0.25">
      <c r="B37" s="5"/>
      <c r="C37" s="4" t="s">
        <v>1</v>
      </c>
      <c r="D37" s="25">
        <v>21811.315279999999</v>
      </c>
      <c r="E37" s="14"/>
      <c r="F37" s="14"/>
      <c r="G37" s="15"/>
      <c r="H37" s="100">
        <f t="shared" si="0"/>
        <v>21811.315279999999</v>
      </c>
      <c r="I37" s="13">
        <v>21811.315279999999</v>
      </c>
      <c r="J37" s="1">
        <f t="shared" si="1"/>
        <v>0</v>
      </c>
      <c r="L37" s="29">
        <v>1977</v>
      </c>
      <c r="M37" s="29" t="s">
        <v>34</v>
      </c>
      <c r="N37" s="30">
        <v>10925.966130000001</v>
      </c>
      <c r="O37" s="31">
        <f t="shared" si="2"/>
        <v>10925.966130000001</v>
      </c>
    </row>
    <row r="38" spans="2:15" ht="15.75" x14ac:dyDescent="0.25">
      <c r="B38" s="5"/>
      <c r="C38" s="4" t="s">
        <v>2</v>
      </c>
      <c r="D38" s="25">
        <v>22359.64444</v>
      </c>
      <c r="E38" s="14"/>
      <c r="F38" s="14"/>
      <c r="G38" s="15"/>
      <c r="H38" s="100">
        <f t="shared" si="0"/>
        <v>22359.64444</v>
      </c>
      <c r="I38" s="13">
        <v>22359.64444</v>
      </c>
      <c r="J38" s="1">
        <f t="shared" si="1"/>
        <v>0</v>
      </c>
      <c r="L38" s="29">
        <v>1977</v>
      </c>
      <c r="M38" s="29" t="s">
        <v>35</v>
      </c>
      <c r="N38" s="30">
        <v>11250.90192</v>
      </c>
      <c r="O38" s="31">
        <f t="shared" si="2"/>
        <v>11034.278060000002</v>
      </c>
    </row>
    <row r="39" spans="2:15" ht="15.75" x14ac:dyDescent="0.25">
      <c r="B39" s="5"/>
      <c r="C39" s="4" t="s">
        <v>3</v>
      </c>
      <c r="D39" s="25">
        <v>22684.580230000003</v>
      </c>
      <c r="E39" s="14"/>
      <c r="F39" s="14"/>
      <c r="G39" s="15"/>
      <c r="H39" s="100">
        <f t="shared" si="0"/>
        <v>22684.580230000003</v>
      </c>
      <c r="I39" s="13">
        <v>22684.580230000003</v>
      </c>
      <c r="J39" s="1">
        <f t="shared" si="1"/>
        <v>0</v>
      </c>
      <c r="L39" s="29">
        <v>1977</v>
      </c>
      <c r="M39" s="29" t="s">
        <v>36</v>
      </c>
      <c r="N39" s="30">
        <v>11250.90192</v>
      </c>
      <c r="O39" s="31">
        <f t="shared" si="2"/>
        <v>11142.58999</v>
      </c>
    </row>
    <row r="40" spans="2:15" ht="15.75" x14ac:dyDescent="0.25">
      <c r="B40" s="5">
        <v>1983</v>
      </c>
      <c r="C40" s="4" t="s">
        <v>0</v>
      </c>
      <c r="D40" s="25">
        <v>23354.760310000001</v>
      </c>
      <c r="E40" s="14"/>
      <c r="F40" s="14"/>
      <c r="G40" s="15"/>
      <c r="H40" s="100">
        <f t="shared" si="0"/>
        <v>23354.760310000001</v>
      </c>
      <c r="I40" s="13">
        <v>23354.760310000001</v>
      </c>
      <c r="J40" s="1">
        <f t="shared" si="1"/>
        <v>0</v>
      </c>
      <c r="L40" s="29">
        <v>1977</v>
      </c>
      <c r="M40" s="29" t="s">
        <v>37</v>
      </c>
      <c r="N40" s="30">
        <v>11250.90192</v>
      </c>
      <c r="O40" s="31">
        <f t="shared" si="2"/>
        <v>11250.901919999998</v>
      </c>
    </row>
    <row r="41" spans="2:15" ht="15.75" x14ac:dyDescent="0.25">
      <c r="B41" s="5"/>
      <c r="C41" s="4" t="s">
        <v>1</v>
      </c>
      <c r="D41" s="25">
        <v>24167.0998</v>
      </c>
      <c r="E41" s="14"/>
      <c r="F41" s="14"/>
      <c r="G41" s="15"/>
      <c r="H41" s="100">
        <f t="shared" si="0"/>
        <v>24167.0998</v>
      </c>
      <c r="I41" s="13">
        <v>24167.0998</v>
      </c>
      <c r="J41" s="1">
        <f t="shared" si="1"/>
        <v>0</v>
      </c>
      <c r="L41" s="29">
        <v>1977</v>
      </c>
      <c r="M41" s="29" t="s">
        <v>38</v>
      </c>
      <c r="N41" s="30">
        <v>11596.146210000001</v>
      </c>
      <c r="O41" s="31">
        <f t="shared" si="2"/>
        <v>11365.98335</v>
      </c>
    </row>
    <row r="42" spans="2:15" ht="15.75" x14ac:dyDescent="0.25">
      <c r="B42" s="5"/>
      <c r="C42" s="4" t="s">
        <v>2</v>
      </c>
      <c r="D42" s="25">
        <v>25182.524160000001</v>
      </c>
      <c r="E42" s="14"/>
      <c r="F42" s="14"/>
      <c r="G42" s="15"/>
      <c r="H42" s="100">
        <f t="shared" si="0"/>
        <v>25182.524160000001</v>
      </c>
      <c r="I42" s="13">
        <v>25182.524160000001</v>
      </c>
      <c r="J42" s="1">
        <f t="shared" si="1"/>
        <v>0</v>
      </c>
      <c r="L42" s="29">
        <v>1977</v>
      </c>
      <c r="M42" s="29" t="s">
        <v>39</v>
      </c>
      <c r="N42" s="30">
        <v>11596.146210000001</v>
      </c>
      <c r="O42" s="31">
        <f t="shared" si="2"/>
        <v>11481.064780000001</v>
      </c>
    </row>
    <row r="43" spans="2:15" ht="15.75" x14ac:dyDescent="0.25">
      <c r="B43" s="5"/>
      <c r="C43" s="4" t="s">
        <v>3</v>
      </c>
      <c r="D43" s="25">
        <v>25385.609039999999</v>
      </c>
      <c r="E43" s="14"/>
      <c r="F43" s="14"/>
      <c r="G43" s="15"/>
      <c r="H43" s="100">
        <f t="shared" si="0"/>
        <v>25385.609039999999</v>
      </c>
      <c r="I43" s="13">
        <v>25385.609039999999</v>
      </c>
      <c r="J43" s="1">
        <f t="shared" si="1"/>
        <v>0</v>
      </c>
      <c r="L43" s="29">
        <v>1977</v>
      </c>
      <c r="M43" s="29" t="s">
        <v>40</v>
      </c>
      <c r="N43" s="30">
        <v>11596.146210000001</v>
      </c>
      <c r="O43" s="31">
        <f t="shared" si="2"/>
        <v>11596.146210000001</v>
      </c>
    </row>
    <row r="44" spans="2:15" ht="15.75" x14ac:dyDescent="0.25">
      <c r="B44" s="5">
        <v>1984</v>
      </c>
      <c r="C44" s="4" t="s">
        <v>0</v>
      </c>
      <c r="D44" s="25">
        <v>25588.693910000002</v>
      </c>
      <c r="E44" s="14"/>
      <c r="F44" s="14"/>
      <c r="G44" s="15"/>
      <c r="H44" s="100">
        <f t="shared" si="0"/>
        <v>25588.693910000002</v>
      </c>
      <c r="I44" s="13">
        <v>25588.693910000002</v>
      </c>
      <c r="J44" s="1">
        <f t="shared" si="1"/>
        <v>0</v>
      </c>
      <c r="L44" s="29">
        <v>1978</v>
      </c>
      <c r="M44" s="29" t="s">
        <v>29</v>
      </c>
      <c r="N44" s="30">
        <v>11860.15654</v>
      </c>
      <c r="O44" s="31">
        <f t="shared" si="2"/>
        <v>11684.149653333334</v>
      </c>
    </row>
    <row r="45" spans="2:15" ht="15.75" x14ac:dyDescent="0.25">
      <c r="B45" s="5"/>
      <c r="C45" s="4" t="s">
        <v>1</v>
      </c>
      <c r="D45" s="25">
        <v>26401.0334</v>
      </c>
      <c r="E45" s="14"/>
      <c r="F45" s="14"/>
      <c r="G45" s="15"/>
      <c r="H45" s="100">
        <f t="shared" si="0"/>
        <v>26401.0334</v>
      </c>
      <c r="I45" s="13">
        <v>26401.0334</v>
      </c>
      <c r="J45" s="1">
        <f t="shared" si="1"/>
        <v>0</v>
      </c>
      <c r="L45" s="29">
        <v>1978</v>
      </c>
      <c r="M45" s="29" t="s">
        <v>30</v>
      </c>
      <c r="N45" s="30">
        <v>11860.15654</v>
      </c>
      <c r="O45" s="31">
        <f t="shared" si="2"/>
        <v>11772.153096666667</v>
      </c>
    </row>
    <row r="46" spans="2:15" ht="15.75" x14ac:dyDescent="0.25">
      <c r="B46" s="5"/>
      <c r="C46" s="4" t="s">
        <v>2</v>
      </c>
      <c r="D46" s="25">
        <v>27416.457760000001</v>
      </c>
      <c r="E46" s="14"/>
      <c r="F46" s="14"/>
      <c r="G46" s="15"/>
      <c r="H46" s="100">
        <f t="shared" si="0"/>
        <v>27416.457760000001</v>
      </c>
      <c r="I46" s="13">
        <v>27416.457760000001</v>
      </c>
      <c r="J46" s="1">
        <f t="shared" si="1"/>
        <v>0</v>
      </c>
      <c r="L46" s="29">
        <v>1978</v>
      </c>
      <c r="M46" s="29" t="s">
        <v>31</v>
      </c>
      <c r="N46" s="30">
        <v>11860.15654</v>
      </c>
      <c r="O46" s="31">
        <f t="shared" si="2"/>
        <v>11860.156540000002</v>
      </c>
    </row>
    <row r="47" spans="2:15" ht="15.75" x14ac:dyDescent="0.25">
      <c r="B47" s="5"/>
      <c r="C47" s="4" t="s">
        <v>3</v>
      </c>
      <c r="D47" s="25">
        <v>27822.627499999999</v>
      </c>
      <c r="E47" s="14"/>
      <c r="F47" s="14"/>
      <c r="G47" s="15"/>
      <c r="H47" s="100">
        <f t="shared" si="0"/>
        <v>27822.627499999999</v>
      </c>
      <c r="I47" s="13">
        <v>27822.627499999999</v>
      </c>
      <c r="J47" s="1">
        <f t="shared" si="1"/>
        <v>0</v>
      </c>
      <c r="L47" s="29">
        <v>1978</v>
      </c>
      <c r="M47" s="29" t="s">
        <v>32</v>
      </c>
      <c r="N47" s="30">
        <v>12428.794180000001</v>
      </c>
      <c r="O47" s="31">
        <f t="shared" si="2"/>
        <v>12049.702420000001</v>
      </c>
    </row>
    <row r="48" spans="2:15" ht="15.75" x14ac:dyDescent="0.25">
      <c r="B48" s="5">
        <v>1985</v>
      </c>
      <c r="C48" s="4" t="s">
        <v>0</v>
      </c>
      <c r="D48" s="25">
        <v>27822.627499999999</v>
      </c>
      <c r="E48" s="14"/>
      <c r="F48" s="14"/>
      <c r="G48" s="15"/>
      <c r="H48" s="100">
        <f t="shared" si="0"/>
        <v>27822.627499999999</v>
      </c>
      <c r="I48" s="13">
        <v>27822.627499999999</v>
      </c>
      <c r="J48" s="1">
        <f t="shared" si="1"/>
        <v>0</v>
      </c>
      <c r="L48" s="29">
        <v>1978</v>
      </c>
      <c r="M48" s="29" t="s">
        <v>33</v>
      </c>
      <c r="N48" s="30">
        <v>12428.794180000001</v>
      </c>
      <c r="O48" s="31">
        <f t="shared" si="2"/>
        <v>12239.248300000001</v>
      </c>
    </row>
    <row r="49" spans="2:15" ht="15.75" x14ac:dyDescent="0.25">
      <c r="B49" s="5"/>
      <c r="C49" s="4" t="s">
        <v>1</v>
      </c>
      <c r="D49" s="25">
        <v>28838.051859999996</v>
      </c>
      <c r="E49" s="14"/>
      <c r="F49" s="14"/>
      <c r="G49" s="15"/>
      <c r="H49" s="100">
        <f t="shared" si="0"/>
        <v>28838.051859999996</v>
      </c>
      <c r="I49" s="13">
        <v>28838.051859999996</v>
      </c>
      <c r="J49" s="1">
        <f t="shared" si="1"/>
        <v>0</v>
      </c>
      <c r="L49" s="29">
        <v>1978</v>
      </c>
      <c r="M49" s="29" t="s">
        <v>34</v>
      </c>
      <c r="N49" s="30">
        <v>12428.794180000001</v>
      </c>
      <c r="O49" s="31">
        <f t="shared" si="2"/>
        <v>12428.794180000003</v>
      </c>
    </row>
    <row r="50" spans="2:15" ht="15.75" x14ac:dyDescent="0.25">
      <c r="B50" s="5"/>
      <c r="C50" s="4" t="s">
        <v>2</v>
      </c>
      <c r="D50" s="25">
        <v>29447.306479999999</v>
      </c>
      <c r="E50" s="14"/>
      <c r="F50" s="14"/>
      <c r="G50" s="15"/>
      <c r="H50" s="100">
        <f t="shared" si="0"/>
        <v>29447.306479999999</v>
      </c>
      <c r="I50" s="13">
        <v>29447.306479999999</v>
      </c>
      <c r="J50" s="1">
        <f t="shared" si="1"/>
        <v>0</v>
      </c>
      <c r="L50" s="29">
        <v>1978</v>
      </c>
      <c r="M50" s="29" t="s">
        <v>35</v>
      </c>
      <c r="N50" s="30">
        <v>13302.05913</v>
      </c>
      <c r="O50" s="31">
        <f t="shared" si="2"/>
        <v>12719.882496666667</v>
      </c>
    </row>
    <row r="51" spans="2:15" ht="15.75" x14ac:dyDescent="0.25">
      <c r="B51" s="5"/>
      <c r="C51" s="4" t="s">
        <v>3</v>
      </c>
      <c r="D51" s="25">
        <v>30462.73084</v>
      </c>
      <c r="E51" s="14"/>
      <c r="F51" s="14"/>
      <c r="G51" s="15"/>
      <c r="H51" s="100">
        <f t="shared" si="0"/>
        <v>30462.73084</v>
      </c>
      <c r="I51" s="13">
        <v>30462.73084</v>
      </c>
      <c r="J51" s="1">
        <f t="shared" si="1"/>
        <v>0</v>
      </c>
      <c r="L51" s="29">
        <v>1978</v>
      </c>
      <c r="M51" s="29" t="s">
        <v>36</v>
      </c>
      <c r="N51" s="30">
        <v>13302.05913</v>
      </c>
      <c r="O51" s="31">
        <f t="shared" si="2"/>
        <v>13010.970813333333</v>
      </c>
    </row>
    <row r="52" spans="2:15" ht="15.75" x14ac:dyDescent="0.25">
      <c r="B52" s="5">
        <v>1986</v>
      </c>
      <c r="C52" s="4" t="s">
        <v>0</v>
      </c>
      <c r="D52" s="25">
        <v>31071.98546</v>
      </c>
      <c r="E52" s="14"/>
      <c r="F52" s="14"/>
      <c r="G52" s="15"/>
      <c r="H52" s="100">
        <f t="shared" si="0"/>
        <v>31071.98546</v>
      </c>
      <c r="I52" s="13">
        <v>31071.98546</v>
      </c>
      <c r="J52" s="1">
        <f t="shared" si="1"/>
        <v>0</v>
      </c>
      <c r="L52" s="29">
        <v>1978</v>
      </c>
      <c r="M52" s="29" t="s">
        <v>37</v>
      </c>
      <c r="N52" s="30">
        <v>13302.05913</v>
      </c>
      <c r="O52" s="31">
        <f t="shared" si="2"/>
        <v>13302.05913</v>
      </c>
    </row>
    <row r="53" spans="2:15" ht="15.75" x14ac:dyDescent="0.25">
      <c r="B53" s="5"/>
      <c r="C53" s="4" t="s">
        <v>1</v>
      </c>
      <c r="D53" s="25">
        <v>32493.579559999998</v>
      </c>
      <c r="E53" s="14"/>
      <c r="F53" s="14"/>
      <c r="G53" s="15"/>
      <c r="H53" s="100">
        <f t="shared" si="0"/>
        <v>32493.579559999998</v>
      </c>
      <c r="I53" s="13">
        <v>32493.579560000002</v>
      </c>
      <c r="J53" s="1">
        <f t="shared" si="1"/>
        <v>0</v>
      </c>
      <c r="L53" s="29">
        <v>1978</v>
      </c>
      <c r="M53" s="29" t="s">
        <v>38</v>
      </c>
      <c r="N53" s="30">
        <v>14236.24955</v>
      </c>
      <c r="O53" s="31">
        <f t="shared" si="2"/>
        <v>13613.455936666665</v>
      </c>
    </row>
    <row r="54" spans="2:15" ht="15.75" x14ac:dyDescent="0.25">
      <c r="B54" s="5"/>
      <c r="C54" s="4" t="s">
        <v>2</v>
      </c>
      <c r="D54" s="25">
        <v>33915.173669999996</v>
      </c>
      <c r="E54" s="14"/>
      <c r="F54" s="14"/>
      <c r="G54" s="15"/>
      <c r="H54" s="100">
        <f t="shared" si="0"/>
        <v>33915.173669999996</v>
      </c>
      <c r="I54" s="13">
        <v>33915.173669999996</v>
      </c>
      <c r="J54" s="1">
        <f t="shared" si="1"/>
        <v>0</v>
      </c>
      <c r="L54" s="29">
        <v>1978</v>
      </c>
      <c r="M54" s="29" t="s">
        <v>39</v>
      </c>
      <c r="N54" s="30">
        <v>14236.24955</v>
      </c>
      <c r="O54" s="31">
        <f t="shared" si="2"/>
        <v>13924.852743333335</v>
      </c>
    </row>
    <row r="55" spans="2:15" ht="15.75" x14ac:dyDescent="0.25">
      <c r="B55" s="5"/>
      <c r="C55" s="4" t="s">
        <v>3</v>
      </c>
      <c r="D55" s="25">
        <v>34930.598030000001</v>
      </c>
      <c r="E55" s="14"/>
      <c r="F55" s="14"/>
      <c r="G55" s="15"/>
      <c r="H55" s="100">
        <f t="shared" si="0"/>
        <v>34930.598030000001</v>
      </c>
      <c r="I55" s="13">
        <v>34930.598030000001</v>
      </c>
      <c r="J55" s="1">
        <f t="shared" si="1"/>
        <v>0</v>
      </c>
      <c r="L55" s="29">
        <v>1978</v>
      </c>
      <c r="M55" s="29" t="s">
        <v>40</v>
      </c>
      <c r="N55" s="30">
        <v>14236.24955</v>
      </c>
      <c r="O55" s="31">
        <f t="shared" si="2"/>
        <v>14236.24955</v>
      </c>
    </row>
    <row r="56" spans="2:15" ht="15.75" x14ac:dyDescent="0.25">
      <c r="B56" s="5">
        <v>1987</v>
      </c>
      <c r="C56" s="4" t="s">
        <v>0</v>
      </c>
      <c r="D56" s="25">
        <v>35946.022389999998</v>
      </c>
      <c r="E56" s="14"/>
      <c r="F56" s="14"/>
      <c r="G56" s="15"/>
      <c r="H56" s="100">
        <f t="shared" si="0"/>
        <v>35946.022389999998</v>
      </c>
      <c r="I56" s="13">
        <v>35946.022389999998</v>
      </c>
      <c r="J56" s="1">
        <f t="shared" si="1"/>
        <v>0</v>
      </c>
      <c r="L56" s="29">
        <v>1979</v>
      </c>
      <c r="M56" s="29" t="s">
        <v>29</v>
      </c>
      <c r="N56" s="30">
        <v>14987.663570000001</v>
      </c>
      <c r="O56" s="31">
        <f t="shared" si="2"/>
        <v>14486.720890000002</v>
      </c>
    </row>
    <row r="57" spans="2:15" ht="15.75" x14ac:dyDescent="0.25">
      <c r="B57" s="5"/>
      <c r="C57" s="4" t="s">
        <v>1</v>
      </c>
      <c r="D57" s="25">
        <v>37570.701370000002</v>
      </c>
      <c r="E57" s="14"/>
      <c r="F57" s="14"/>
      <c r="G57" s="15"/>
      <c r="H57" s="100">
        <f t="shared" si="0"/>
        <v>37570.701370000002</v>
      </c>
      <c r="I57" s="13">
        <v>37570.701370000002</v>
      </c>
      <c r="J57" s="1">
        <f t="shared" si="1"/>
        <v>0</v>
      </c>
      <c r="L57" s="29">
        <v>1979</v>
      </c>
      <c r="M57" s="29" t="s">
        <v>30</v>
      </c>
      <c r="N57" s="30">
        <v>14987.663570000001</v>
      </c>
      <c r="O57" s="31">
        <f t="shared" si="2"/>
        <v>14737.192230000001</v>
      </c>
    </row>
    <row r="58" spans="2:15" ht="15.75" x14ac:dyDescent="0.25">
      <c r="B58" s="5"/>
      <c r="C58" s="4" t="s">
        <v>2</v>
      </c>
      <c r="D58" s="25">
        <v>39398.465219999998</v>
      </c>
      <c r="E58" s="14"/>
      <c r="F58" s="14"/>
      <c r="G58" s="15"/>
      <c r="H58" s="100">
        <f t="shared" si="0"/>
        <v>39398.465219999998</v>
      </c>
      <c r="I58" s="13">
        <v>39398.465219999998</v>
      </c>
      <c r="J58" s="1">
        <f t="shared" si="1"/>
        <v>0</v>
      </c>
      <c r="L58" s="29">
        <v>1979</v>
      </c>
      <c r="M58" s="29" t="s">
        <v>31</v>
      </c>
      <c r="N58" s="30">
        <v>14987.663570000001</v>
      </c>
      <c r="O58" s="31">
        <f t="shared" si="2"/>
        <v>14987.663569999999</v>
      </c>
    </row>
    <row r="59" spans="2:15" ht="15.75" x14ac:dyDescent="0.25">
      <c r="B59" s="5"/>
      <c r="C59" s="4" t="s">
        <v>3</v>
      </c>
      <c r="D59" s="25">
        <v>41731.767119999997</v>
      </c>
      <c r="E59" s="14"/>
      <c r="F59" s="14"/>
      <c r="G59" s="15"/>
      <c r="H59" s="100">
        <f t="shared" si="0"/>
        <v>41731.767119999997</v>
      </c>
      <c r="I59" s="13">
        <v>41731.767119999997</v>
      </c>
      <c r="J59" s="1">
        <f t="shared" si="1"/>
        <v>0</v>
      </c>
      <c r="L59" s="29">
        <v>1979</v>
      </c>
      <c r="M59" s="29" t="s">
        <v>32</v>
      </c>
      <c r="N59" s="30">
        <v>16145.24735</v>
      </c>
      <c r="O59" s="31">
        <f t="shared" si="2"/>
        <v>15373.52483</v>
      </c>
    </row>
    <row r="60" spans="2:15" ht="15.75" x14ac:dyDescent="0.25">
      <c r="B60" s="5">
        <v>1988</v>
      </c>
      <c r="C60" s="4" t="s">
        <v>0</v>
      </c>
      <c r="D60" s="25">
        <v>43482.750350000002</v>
      </c>
      <c r="E60" s="14"/>
      <c r="F60" s="14"/>
      <c r="G60" s="15"/>
      <c r="H60" s="100">
        <f t="shared" si="0"/>
        <v>43482.750350000002</v>
      </c>
      <c r="I60" s="13">
        <v>43482.750350000002</v>
      </c>
      <c r="J60" s="1">
        <f t="shared" si="1"/>
        <v>0</v>
      </c>
      <c r="L60" s="29">
        <v>1979</v>
      </c>
      <c r="M60" s="29" t="s">
        <v>33</v>
      </c>
      <c r="N60" s="30">
        <v>16145.24735</v>
      </c>
      <c r="O60" s="31">
        <f t="shared" si="2"/>
        <v>15759.38609</v>
      </c>
    </row>
    <row r="61" spans="2:15" ht="15.75" x14ac:dyDescent="0.25">
      <c r="B61" s="5"/>
      <c r="C61" s="4" t="s">
        <v>1</v>
      </c>
      <c r="D61" s="25">
        <v>46109.225209999997</v>
      </c>
      <c r="E61" s="14"/>
      <c r="F61" s="14"/>
      <c r="G61" s="15"/>
      <c r="H61" s="100">
        <f t="shared" si="0"/>
        <v>46109.225209999997</v>
      </c>
      <c r="I61" s="13">
        <v>46109.225209999997</v>
      </c>
      <c r="J61" s="1">
        <f t="shared" si="1"/>
        <v>0</v>
      </c>
      <c r="L61" s="29">
        <v>1979</v>
      </c>
      <c r="M61" s="29" t="s">
        <v>34</v>
      </c>
      <c r="N61" s="30">
        <v>16145.24735</v>
      </c>
      <c r="O61" s="31">
        <f t="shared" si="2"/>
        <v>16145.24735</v>
      </c>
    </row>
    <row r="62" spans="2:15" ht="15.75" x14ac:dyDescent="0.25">
      <c r="B62" s="5"/>
      <c r="C62" s="4" t="s">
        <v>2</v>
      </c>
      <c r="D62" s="25">
        <v>52237.66653000001</v>
      </c>
      <c r="E62" s="14"/>
      <c r="F62" s="14"/>
      <c r="G62" s="15"/>
      <c r="H62" s="100">
        <f t="shared" si="0"/>
        <v>52237.66653000001</v>
      </c>
      <c r="I62" s="13">
        <v>52237.66653000001</v>
      </c>
      <c r="J62" s="1">
        <f t="shared" si="1"/>
        <v>0</v>
      </c>
      <c r="L62" s="29">
        <v>1979</v>
      </c>
      <c r="M62" s="29" t="s">
        <v>35</v>
      </c>
      <c r="N62" s="30">
        <v>17384.065070000001</v>
      </c>
      <c r="O62" s="31">
        <f t="shared" si="2"/>
        <v>16558.186590000001</v>
      </c>
    </row>
    <row r="63" spans="2:15" ht="15.75" x14ac:dyDescent="0.25">
      <c r="B63" s="5"/>
      <c r="C63" s="4" t="s">
        <v>3</v>
      </c>
      <c r="D63" s="25">
        <v>55447.802459999999</v>
      </c>
      <c r="E63" s="14"/>
      <c r="F63" s="14"/>
      <c r="G63" s="15"/>
      <c r="H63" s="100">
        <f t="shared" si="0"/>
        <v>55447.802459999999</v>
      </c>
      <c r="I63" s="13">
        <v>55447.802459999999</v>
      </c>
      <c r="J63" s="1">
        <f t="shared" si="1"/>
        <v>0</v>
      </c>
      <c r="L63" s="29">
        <v>1979</v>
      </c>
      <c r="M63" s="29" t="s">
        <v>36</v>
      </c>
      <c r="N63" s="30">
        <v>17384.065070000001</v>
      </c>
      <c r="O63" s="31">
        <f t="shared" si="2"/>
        <v>16971.125830000001</v>
      </c>
    </row>
    <row r="64" spans="2:15" ht="15.75" x14ac:dyDescent="0.25">
      <c r="B64" s="5">
        <v>1989</v>
      </c>
      <c r="C64" s="4" t="s">
        <v>0</v>
      </c>
      <c r="D64" s="25">
        <v>56615.124619999995</v>
      </c>
      <c r="E64" s="14"/>
      <c r="F64" s="14"/>
      <c r="G64" s="15"/>
      <c r="H64" s="100">
        <f t="shared" si="0"/>
        <v>56615.124619999995</v>
      </c>
      <c r="I64" s="13">
        <v>56615.124619999995</v>
      </c>
      <c r="J64" s="1">
        <f t="shared" si="1"/>
        <v>0</v>
      </c>
      <c r="L64" s="29">
        <v>1979</v>
      </c>
      <c r="M64" s="29" t="s">
        <v>37</v>
      </c>
      <c r="N64" s="30">
        <v>17384.065070000001</v>
      </c>
      <c r="O64" s="31">
        <f t="shared" si="2"/>
        <v>17384.065070000001</v>
      </c>
    </row>
    <row r="65" spans="2:15" ht="15.75" x14ac:dyDescent="0.25">
      <c r="B65" s="5"/>
      <c r="C65" s="4" t="s">
        <v>1</v>
      </c>
      <c r="D65" s="25">
        <v>58657.938390000003</v>
      </c>
      <c r="E65" s="14"/>
      <c r="F65" s="14"/>
      <c r="G65" s="15"/>
      <c r="H65" s="100">
        <f t="shared" si="0"/>
        <v>58657.938390000003</v>
      </c>
      <c r="I65" s="13">
        <v>58657.938390000003</v>
      </c>
      <c r="J65" s="1">
        <f t="shared" si="1"/>
        <v>0</v>
      </c>
      <c r="L65" s="29">
        <v>1979</v>
      </c>
      <c r="M65" s="29" t="s">
        <v>38</v>
      </c>
      <c r="N65" s="30">
        <v>18541.648840000002</v>
      </c>
      <c r="O65" s="31">
        <f t="shared" si="2"/>
        <v>17769.926326666668</v>
      </c>
    </row>
    <row r="66" spans="2:15" ht="15.75" x14ac:dyDescent="0.25">
      <c r="B66" s="5"/>
      <c r="C66" s="4" t="s">
        <v>2</v>
      </c>
      <c r="D66" s="25">
        <v>60700.75217</v>
      </c>
      <c r="E66" s="14"/>
      <c r="F66" s="14"/>
      <c r="G66" s="15"/>
      <c r="H66" s="100">
        <f t="shared" si="0"/>
        <v>60700.75217</v>
      </c>
      <c r="I66" s="13">
        <v>60700.75217</v>
      </c>
      <c r="J66" s="1">
        <f t="shared" si="1"/>
        <v>0</v>
      </c>
      <c r="L66" s="29">
        <v>1979</v>
      </c>
      <c r="M66" s="29" t="s">
        <v>39</v>
      </c>
      <c r="N66" s="30">
        <v>18541.648840000002</v>
      </c>
      <c r="O66" s="31">
        <f t="shared" si="2"/>
        <v>18155.787583333335</v>
      </c>
    </row>
    <row r="67" spans="2:15" ht="15.75" x14ac:dyDescent="0.25">
      <c r="B67" s="5"/>
      <c r="C67" s="4" t="s">
        <v>3</v>
      </c>
      <c r="D67" s="25">
        <v>59533.430009999989</v>
      </c>
      <c r="E67" s="14"/>
      <c r="F67" s="14"/>
      <c r="G67" s="15"/>
      <c r="H67" s="100">
        <f t="shared" si="0"/>
        <v>59533.430009999989</v>
      </c>
      <c r="I67" s="13">
        <v>59533.430009999989</v>
      </c>
      <c r="J67" s="1">
        <f t="shared" si="1"/>
        <v>0</v>
      </c>
      <c r="L67" s="29">
        <v>1979</v>
      </c>
      <c r="M67" s="29" t="s">
        <v>40</v>
      </c>
      <c r="N67" s="30">
        <v>18541.648840000002</v>
      </c>
      <c r="O67" s="31">
        <f t="shared" si="2"/>
        <v>18541.648840000002</v>
      </c>
    </row>
    <row r="68" spans="2:15" ht="15.75" x14ac:dyDescent="0.25">
      <c r="B68" s="5">
        <v>1990</v>
      </c>
      <c r="C68" s="4" t="s">
        <v>0</v>
      </c>
      <c r="D68" s="25">
        <v>58249.72479</v>
      </c>
      <c r="E68" s="14"/>
      <c r="F68" s="14"/>
      <c r="G68" s="15"/>
      <c r="H68" s="100">
        <f t="shared" si="0"/>
        <v>58249.72479</v>
      </c>
      <c r="I68" s="13">
        <v>58249.72479</v>
      </c>
      <c r="J68" s="1">
        <f t="shared" si="1"/>
        <v>0</v>
      </c>
      <c r="L68" s="29">
        <v>1980</v>
      </c>
      <c r="M68" s="29" t="s">
        <v>29</v>
      </c>
      <c r="N68" s="30">
        <v>19272.754379999998</v>
      </c>
      <c r="O68" s="31">
        <f t="shared" si="2"/>
        <v>18785.350686666668</v>
      </c>
    </row>
    <row r="69" spans="2:15" ht="15.75" x14ac:dyDescent="0.25">
      <c r="B69" s="5"/>
      <c r="C69" s="4" t="s">
        <v>1</v>
      </c>
      <c r="D69" s="25">
        <v>57726.00099</v>
      </c>
      <c r="E69" s="14"/>
      <c r="F69" s="14"/>
      <c r="G69" s="15"/>
      <c r="H69" s="100">
        <f t="shared" si="0"/>
        <v>57726.00099</v>
      </c>
      <c r="I69" s="13">
        <v>57726.00099</v>
      </c>
      <c r="J69" s="1">
        <f t="shared" si="1"/>
        <v>0</v>
      </c>
      <c r="L69" s="29">
        <v>1980</v>
      </c>
      <c r="M69" s="29" t="s">
        <v>30</v>
      </c>
      <c r="N69" s="30">
        <v>19272.754379999998</v>
      </c>
      <c r="O69" s="31">
        <f t="shared" si="2"/>
        <v>19029.052533333332</v>
      </c>
    </row>
    <row r="70" spans="2:15" ht="15.75" x14ac:dyDescent="0.25">
      <c r="B70" s="5"/>
      <c r="C70" s="4" t="s">
        <v>2</v>
      </c>
      <c r="D70" s="25">
        <v>58773.448590000007</v>
      </c>
      <c r="E70" s="14"/>
      <c r="F70" s="14"/>
      <c r="G70" s="15"/>
      <c r="H70" s="100">
        <f t="shared" si="0"/>
        <v>58773.448590000007</v>
      </c>
      <c r="I70" s="13">
        <v>58773.448590000007</v>
      </c>
      <c r="J70" s="1">
        <f t="shared" si="1"/>
        <v>0</v>
      </c>
      <c r="L70" s="29">
        <v>1980</v>
      </c>
      <c r="M70" s="29" t="s">
        <v>31</v>
      </c>
      <c r="N70" s="30">
        <v>19272.754379999998</v>
      </c>
      <c r="O70" s="31">
        <f t="shared" si="2"/>
        <v>19272.754379999998</v>
      </c>
    </row>
    <row r="71" spans="2:15" ht="15.75" x14ac:dyDescent="0.25">
      <c r="B71" s="5"/>
      <c r="C71" s="4" t="s">
        <v>3</v>
      </c>
      <c r="D71" s="25">
        <v>57900.57559</v>
      </c>
      <c r="E71" s="14"/>
      <c r="F71" s="14"/>
      <c r="G71" s="15"/>
      <c r="H71" s="100">
        <f t="shared" si="0"/>
        <v>57900.57559</v>
      </c>
      <c r="I71" s="13">
        <v>57900.57559</v>
      </c>
      <c r="J71" s="1">
        <f t="shared" si="1"/>
        <v>0</v>
      </c>
      <c r="L71" s="29">
        <v>1980</v>
      </c>
      <c r="M71" s="29" t="s">
        <v>32</v>
      </c>
      <c r="N71" s="30">
        <v>20044.476890000002</v>
      </c>
      <c r="O71" s="31">
        <f t="shared" si="2"/>
        <v>19529.995216666666</v>
      </c>
    </row>
    <row r="72" spans="2:15" ht="15.75" x14ac:dyDescent="0.25">
      <c r="B72" s="5">
        <v>1991</v>
      </c>
      <c r="C72" s="4" t="s">
        <v>0</v>
      </c>
      <c r="D72" s="25">
        <v>57085.89411999999</v>
      </c>
      <c r="E72" s="14"/>
      <c r="F72" s="14"/>
      <c r="G72" s="15"/>
      <c r="H72" s="100">
        <f t="shared" si="0"/>
        <v>57085.89411999999</v>
      </c>
      <c r="I72" s="13">
        <v>57085.89411999999</v>
      </c>
      <c r="J72" s="1">
        <f t="shared" si="1"/>
        <v>0</v>
      </c>
      <c r="L72" s="29">
        <v>1980</v>
      </c>
      <c r="M72" s="29" t="s">
        <v>33</v>
      </c>
      <c r="N72" s="30">
        <v>20044.476890000002</v>
      </c>
      <c r="O72" s="31">
        <f t="shared" si="2"/>
        <v>19787.236053333338</v>
      </c>
    </row>
    <row r="73" spans="2:15" ht="15.75" x14ac:dyDescent="0.25">
      <c r="B73" s="5"/>
      <c r="C73" s="4" t="s">
        <v>1</v>
      </c>
      <c r="D73" s="25">
        <v>56853.127990000001</v>
      </c>
      <c r="E73" s="14"/>
      <c r="F73" s="14"/>
      <c r="G73" s="15"/>
      <c r="H73" s="100">
        <f t="shared" ref="H73:H136" si="3">SUM(D73:G73)</f>
        <v>56853.127990000001</v>
      </c>
      <c r="I73" s="13">
        <v>56853.127990000001</v>
      </c>
      <c r="J73" s="1">
        <f t="shared" ref="J73:J136" si="4">H73-I73</f>
        <v>0</v>
      </c>
      <c r="L73" s="29">
        <v>1980</v>
      </c>
      <c r="M73" s="29" t="s">
        <v>34</v>
      </c>
      <c r="N73" s="30">
        <v>20044.476890000002</v>
      </c>
      <c r="O73" s="31">
        <f t="shared" si="2"/>
        <v>20044.476890000002</v>
      </c>
    </row>
    <row r="74" spans="2:15" ht="15.75" x14ac:dyDescent="0.25">
      <c r="B74" s="5"/>
      <c r="C74" s="4" t="s">
        <v>2</v>
      </c>
      <c r="D74" s="25">
        <v>57958.767119999997</v>
      </c>
      <c r="E74" s="14"/>
      <c r="F74" s="14"/>
      <c r="G74" s="15"/>
      <c r="H74" s="100">
        <f t="shared" si="3"/>
        <v>57958.767119999997</v>
      </c>
      <c r="I74" s="13">
        <v>57958.767119999997</v>
      </c>
      <c r="J74" s="1">
        <f t="shared" si="4"/>
        <v>0</v>
      </c>
      <c r="L74" s="29">
        <v>1980</v>
      </c>
      <c r="M74" s="29" t="s">
        <v>35</v>
      </c>
      <c r="N74" s="30">
        <v>20856.81638</v>
      </c>
      <c r="O74" s="31">
        <f t="shared" si="2"/>
        <v>20315.256720000001</v>
      </c>
    </row>
    <row r="75" spans="2:15" ht="15.75" x14ac:dyDescent="0.25">
      <c r="B75" s="5"/>
      <c r="C75" s="4" t="s">
        <v>3</v>
      </c>
      <c r="D75" s="25">
        <v>57435.043319999997</v>
      </c>
      <c r="E75" s="14"/>
      <c r="F75" s="14"/>
      <c r="G75" s="15"/>
      <c r="H75" s="100">
        <f t="shared" si="3"/>
        <v>57435.043319999997</v>
      </c>
      <c r="I75" s="13">
        <v>57435.043319999997</v>
      </c>
      <c r="J75" s="1">
        <f t="shared" si="4"/>
        <v>0</v>
      </c>
      <c r="L75" s="29">
        <v>1980</v>
      </c>
      <c r="M75" s="29" t="s">
        <v>36</v>
      </c>
      <c r="N75" s="30">
        <v>20856.81638</v>
      </c>
      <c r="O75" s="31">
        <f t="shared" ref="O75:O138" si="5">AVERAGE(N73:N75)</f>
        <v>20586.036550000001</v>
      </c>
    </row>
    <row r="76" spans="2:15" ht="15.75" x14ac:dyDescent="0.25">
      <c r="B76" s="5">
        <v>1992</v>
      </c>
      <c r="C76" s="4" t="s">
        <v>0</v>
      </c>
      <c r="D76" s="25">
        <v>56503.978790000001</v>
      </c>
      <c r="E76" s="14"/>
      <c r="F76" s="14"/>
      <c r="G76" s="15"/>
      <c r="H76" s="100">
        <f t="shared" si="3"/>
        <v>56503.978790000001</v>
      </c>
      <c r="I76" s="13">
        <v>56503.978790000001</v>
      </c>
      <c r="J76" s="1">
        <f t="shared" si="4"/>
        <v>0</v>
      </c>
      <c r="L76" s="29">
        <v>1980</v>
      </c>
      <c r="M76" s="29" t="s">
        <v>37</v>
      </c>
      <c r="N76" s="30">
        <v>20856.81638</v>
      </c>
      <c r="O76" s="31">
        <f t="shared" si="5"/>
        <v>20856.81638</v>
      </c>
    </row>
    <row r="77" spans="2:15" ht="15.75" x14ac:dyDescent="0.25">
      <c r="B77" s="5"/>
      <c r="C77" s="4" t="s">
        <v>1</v>
      </c>
      <c r="D77" s="25">
        <v>55165.573530000001</v>
      </c>
      <c r="E77" s="14"/>
      <c r="F77" s="14"/>
      <c r="G77" s="15"/>
      <c r="H77" s="100">
        <f t="shared" si="3"/>
        <v>55165.573530000001</v>
      </c>
      <c r="I77" s="13">
        <v>55165.573530000001</v>
      </c>
      <c r="J77" s="1">
        <f t="shared" si="4"/>
        <v>0</v>
      </c>
      <c r="L77" s="29">
        <v>1980</v>
      </c>
      <c r="M77" s="29" t="s">
        <v>38</v>
      </c>
      <c r="N77" s="30">
        <v>20897.433359999999</v>
      </c>
      <c r="O77" s="31">
        <f t="shared" si="5"/>
        <v>20870.355373333336</v>
      </c>
    </row>
    <row r="78" spans="2:15" ht="15.75" x14ac:dyDescent="0.25">
      <c r="B78" s="5"/>
      <c r="C78" s="4" t="s">
        <v>2</v>
      </c>
      <c r="D78" s="25">
        <v>55328.303829999997</v>
      </c>
      <c r="E78" s="14"/>
      <c r="F78" s="14"/>
      <c r="G78" s="15"/>
      <c r="H78" s="100">
        <f t="shared" si="3"/>
        <v>55328.303829999997</v>
      </c>
      <c r="I78" s="13">
        <v>55328.303829999997</v>
      </c>
      <c r="J78" s="1">
        <f t="shared" si="4"/>
        <v>0</v>
      </c>
      <c r="L78" s="29">
        <v>1980</v>
      </c>
      <c r="M78" s="29" t="s">
        <v>39</v>
      </c>
      <c r="N78" s="30">
        <v>20897.433359999999</v>
      </c>
      <c r="O78" s="31">
        <f t="shared" si="5"/>
        <v>20883.894366666664</v>
      </c>
    </row>
    <row r="79" spans="2:15" ht="15.75" x14ac:dyDescent="0.25">
      <c r="B79" s="5"/>
      <c r="C79" s="4" t="s">
        <v>3</v>
      </c>
      <c r="D79" s="25">
        <v>53212.809860000001</v>
      </c>
      <c r="E79" s="14"/>
      <c r="F79" s="14"/>
      <c r="G79" s="15"/>
      <c r="H79" s="100">
        <f t="shared" si="3"/>
        <v>53212.809860000001</v>
      </c>
      <c r="I79" s="13">
        <v>53212.809860000001</v>
      </c>
      <c r="J79" s="1">
        <f t="shared" si="4"/>
        <v>0</v>
      </c>
      <c r="L79" s="29">
        <v>1980</v>
      </c>
      <c r="M79" s="29" t="s">
        <v>40</v>
      </c>
      <c r="N79" s="30">
        <v>20897.433359999999</v>
      </c>
      <c r="O79" s="31">
        <f t="shared" si="5"/>
        <v>20897.433359999999</v>
      </c>
    </row>
    <row r="80" spans="2:15" ht="15.75" x14ac:dyDescent="0.25">
      <c r="B80" s="5">
        <v>1993</v>
      </c>
      <c r="C80" s="4" t="s">
        <v>0</v>
      </c>
      <c r="D80" s="25">
        <v>53484.027039999994</v>
      </c>
      <c r="E80" s="14"/>
      <c r="F80" s="14"/>
      <c r="G80" s="15"/>
      <c r="H80" s="100">
        <f t="shared" si="3"/>
        <v>53484.027039999994</v>
      </c>
      <c r="I80" s="13">
        <v>53484.027039999994</v>
      </c>
      <c r="J80" s="1">
        <f t="shared" si="4"/>
        <v>0</v>
      </c>
      <c r="L80" s="29">
        <v>1981</v>
      </c>
      <c r="M80" s="29" t="s">
        <v>29</v>
      </c>
      <c r="N80" s="30">
        <v>20938.050329999998</v>
      </c>
      <c r="O80" s="31">
        <f t="shared" si="5"/>
        <v>20910.97235</v>
      </c>
    </row>
    <row r="81" spans="2:15" ht="15.75" x14ac:dyDescent="0.25">
      <c r="B81" s="5"/>
      <c r="C81" s="4" t="s">
        <v>1</v>
      </c>
      <c r="D81" s="25">
        <v>53917.974520000011</v>
      </c>
      <c r="E81" s="14"/>
      <c r="F81" s="14"/>
      <c r="G81" s="15"/>
      <c r="H81" s="100">
        <f t="shared" si="3"/>
        <v>53917.974520000011</v>
      </c>
      <c r="I81" s="13">
        <v>53917.974520000011</v>
      </c>
      <c r="J81" s="1">
        <f t="shared" si="4"/>
        <v>0</v>
      </c>
      <c r="L81" s="29">
        <v>1981</v>
      </c>
      <c r="M81" s="29" t="s">
        <v>30</v>
      </c>
      <c r="N81" s="30">
        <v>20938.050329999998</v>
      </c>
      <c r="O81" s="31">
        <f t="shared" si="5"/>
        <v>20924.511339999997</v>
      </c>
    </row>
    <row r="82" spans="2:15" ht="15.75" x14ac:dyDescent="0.25">
      <c r="B82" s="5"/>
      <c r="C82" s="4" t="s">
        <v>2</v>
      </c>
      <c r="D82" s="25">
        <v>55057.086660000001</v>
      </c>
      <c r="E82" s="14"/>
      <c r="F82" s="14"/>
      <c r="G82" s="15"/>
      <c r="H82" s="100">
        <f t="shared" si="3"/>
        <v>55057.086660000001</v>
      </c>
      <c r="I82" s="13">
        <v>55057.086660000001</v>
      </c>
      <c r="J82" s="1">
        <f t="shared" si="4"/>
        <v>0</v>
      </c>
      <c r="L82" s="29">
        <v>1981</v>
      </c>
      <c r="M82" s="29" t="s">
        <v>31</v>
      </c>
      <c r="N82" s="30">
        <v>20938.050329999998</v>
      </c>
      <c r="O82" s="31">
        <f t="shared" si="5"/>
        <v>20938.050329999998</v>
      </c>
    </row>
    <row r="83" spans="2:15" ht="15.75" x14ac:dyDescent="0.25">
      <c r="B83" s="5"/>
      <c r="C83" s="4" t="s">
        <v>3</v>
      </c>
      <c r="D83" s="25">
        <v>54026.461389999989</v>
      </c>
      <c r="E83" s="14"/>
      <c r="F83" s="14"/>
      <c r="G83" s="15"/>
      <c r="H83" s="100">
        <f t="shared" si="3"/>
        <v>54026.461389999989</v>
      </c>
      <c r="I83" s="13">
        <v>54026.461389999989</v>
      </c>
      <c r="J83" s="1">
        <f t="shared" si="4"/>
        <v>0</v>
      </c>
      <c r="L83" s="29">
        <v>1981</v>
      </c>
      <c r="M83" s="29" t="s">
        <v>32</v>
      </c>
      <c r="N83" s="30">
        <v>21506.687969999999</v>
      </c>
      <c r="O83" s="31">
        <f t="shared" si="5"/>
        <v>21127.59621</v>
      </c>
    </row>
    <row r="84" spans="2:15" ht="15.75" x14ac:dyDescent="0.25">
      <c r="B84" s="5">
        <v>1994</v>
      </c>
      <c r="C84" s="4" t="s">
        <v>0</v>
      </c>
      <c r="D84" s="25">
        <v>54623.139170000002</v>
      </c>
      <c r="E84" s="14"/>
      <c r="F84" s="14"/>
      <c r="G84" s="15"/>
      <c r="H84" s="100">
        <f t="shared" si="3"/>
        <v>54623.139170000002</v>
      </c>
      <c r="I84" s="13">
        <v>54623.139170000002</v>
      </c>
      <c r="J84" s="1">
        <f t="shared" si="4"/>
        <v>0</v>
      </c>
      <c r="L84" s="29">
        <v>1981</v>
      </c>
      <c r="M84" s="29" t="s">
        <v>33</v>
      </c>
      <c r="N84" s="30">
        <v>21506.687969999999</v>
      </c>
      <c r="O84" s="31">
        <f t="shared" si="5"/>
        <v>21317.142089999998</v>
      </c>
    </row>
    <row r="85" spans="2:15" ht="15.75" x14ac:dyDescent="0.25">
      <c r="B85" s="5"/>
      <c r="C85" s="4" t="s">
        <v>1</v>
      </c>
      <c r="D85" s="25">
        <v>55382.547270000003</v>
      </c>
      <c r="E85" s="14"/>
      <c r="F85" s="14"/>
      <c r="G85" s="15"/>
      <c r="H85" s="100">
        <f t="shared" si="3"/>
        <v>55382.547270000003</v>
      </c>
      <c r="I85" s="13">
        <v>55382.547270000003</v>
      </c>
      <c r="J85" s="1">
        <f t="shared" si="4"/>
        <v>0</v>
      </c>
      <c r="L85" s="29">
        <v>1981</v>
      </c>
      <c r="M85" s="29" t="s">
        <v>34</v>
      </c>
      <c r="N85" s="30">
        <v>21506.687969999999</v>
      </c>
      <c r="O85" s="31">
        <f t="shared" si="5"/>
        <v>21506.687969999999</v>
      </c>
    </row>
    <row r="86" spans="2:15" ht="15.75" x14ac:dyDescent="0.25">
      <c r="B86" s="5"/>
      <c r="C86" s="4" t="s">
        <v>2</v>
      </c>
      <c r="D86" s="25">
        <v>56304.685659999996</v>
      </c>
      <c r="E86" s="14"/>
      <c r="F86" s="14"/>
      <c r="G86" s="15"/>
      <c r="H86" s="100">
        <f t="shared" si="3"/>
        <v>56304.685659999996</v>
      </c>
      <c r="I86" s="13">
        <v>56304.685659999996</v>
      </c>
      <c r="J86" s="1">
        <f t="shared" si="4"/>
        <v>0</v>
      </c>
      <c r="L86" s="29">
        <v>1981</v>
      </c>
      <c r="M86" s="29" t="s">
        <v>35</v>
      </c>
      <c r="N86" s="30">
        <v>21851.932260000001</v>
      </c>
      <c r="O86" s="31">
        <f t="shared" si="5"/>
        <v>21621.769400000001</v>
      </c>
    </row>
    <row r="87" spans="2:15" ht="15.75" x14ac:dyDescent="0.25">
      <c r="B87" s="5"/>
      <c r="C87" s="4" t="s">
        <v>3</v>
      </c>
      <c r="D87" s="25">
        <v>55924.981619999999</v>
      </c>
      <c r="E87" s="14"/>
      <c r="F87" s="14"/>
      <c r="G87" s="15"/>
      <c r="H87" s="100">
        <f t="shared" si="3"/>
        <v>55924.981619999999</v>
      </c>
      <c r="I87" s="13">
        <v>55924.981619999999</v>
      </c>
      <c r="J87" s="1">
        <f t="shared" si="4"/>
        <v>0</v>
      </c>
      <c r="L87" s="29">
        <v>1981</v>
      </c>
      <c r="M87" s="29" t="s">
        <v>36</v>
      </c>
      <c r="N87" s="30">
        <v>21851.932260000001</v>
      </c>
      <c r="O87" s="31">
        <f t="shared" si="5"/>
        <v>21736.850829999999</v>
      </c>
    </row>
    <row r="88" spans="2:15" ht="15.75" x14ac:dyDescent="0.25">
      <c r="B88" s="5">
        <v>1995</v>
      </c>
      <c r="C88" s="4" t="s">
        <v>0</v>
      </c>
      <c r="D88" s="25">
        <v>55436.79069999999</v>
      </c>
      <c r="E88" s="14"/>
      <c r="F88" s="14"/>
      <c r="G88" s="15"/>
      <c r="H88" s="100">
        <f t="shared" si="3"/>
        <v>55436.79069999999</v>
      </c>
      <c r="I88" s="13">
        <v>55436.79069999999</v>
      </c>
      <c r="J88" s="1">
        <f t="shared" si="4"/>
        <v>0</v>
      </c>
      <c r="L88" s="29">
        <v>1981</v>
      </c>
      <c r="M88" s="29" t="s">
        <v>37</v>
      </c>
      <c r="N88" s="30">
        <v>21851.932260000001</v>
      </c>
      <c r="O88" s="31">
        <f t="shared" si="5"/>
        <v>21851.932260000001</v>
      </c>
    </row>
    <row r="89" spans="2:15" ht="15.75" x14ac:dyDescent="0.25">
      <c r="B89" s="5"/>
      <c r="C89" s="4" t="s">
        <v>1</v>
      </c>
      <c r="D89" s="25">
        <v>56033.468489999999</v>
      </c>
      <c r="E89" s="14"/>
      <c r="F89" s="14"/>
      <c r="G89" s="15"/>
      <c r="H89" s="100">
        <f t="shared" si="3"/>
        <v>56033.468489999999</v>
      </c>
      <c r="I89" s="13">
        <v>56033.468489999999</v>
      </c>
      <c r="J89" s="1">
        <f t="shared" si="4"/>
        <v>0</v>
      </c>
      <c r="L89" s="29">
        <v>1981</v>
      </c>
      <c r="M89" s="29" t="s">
        <v>38</v>
      </c>
      <c r="N89" s="30">
        <v>21425.454030000001</v>
      </c>
      <c r="O89" s="31">
        <f t="shared" si="5"/>
        <v>21709.772850000001</v>
      </c>
    </row>
    <row r="90" spans="2:15" ht="15.75" x14ac:dyDescent="0.25">
      <c r="B90" s="5"/>
      <c r="C90" s="4" t="s">
        <v>2</v>
      </c>
      <c r="D90" s="25">
        <v>56521.659399999997</v>
      </c>
      <c r="E90" s="14"/>
      <c r="F90" s="14"/>
      <c r="G90" s="15"/>
      <c r="H90" s="100">
        <f t="shared" si="3"/>
        <v>56521.659399999997</v>
      </c>
      <c r="I90" s="13">
        <v>56521.659399999997</v>
      </c>
      <c r="J90" s="1">
        <f t="shared" si="4"/>
        <v>0</v>
      </c>
      <c r="L90" s="29">
        <v>1981</v>
      </c>
      <c r="M90" s="29" t="s">
        <v>39</v>
      </c>
      <c r="N90" s="30">
        <v>21425.454030000001</v>
      </c>
      <c r="O90" s="31">
        <f t="shared" si="5"/>
        <v>21567.613440000001</v>
      </c>
    </row>
    <row r="91" spans="2:15" ht="15.75" x14ac:dyDescent="0.25">
      <c r="B91" s="5"/>
      <c r="C91" s="4" t="s">
        <v>3</v>
      </c>
      <c r="D91" s="25">
        <v>55762.25131</v>
      </c>
      <c r="E91" s="14"/>
      <c r="F91" s="14"/>
      <c r="G91" s="15"/>
      <c r="H91" s="100">
        <f t="shared" si="3"/>
        <v>55762.25131</v>
      </c>
      <c r="I91" s="13">
        <v>55762.25131</v>
      </c>
      <c r="J91" s="1">
        <f t="shared" si="4"/>
        <v>0</v>
      </c>
      <c r="L91" s="29">
        <v>1981</v>
      </c>
      <c r="M91" s="29" t="s">
        <v>40</v>
      </c>
      <c r="N91" s="30">
        <v>21425.454030000001</v>
      </c>
      <c r="O91" s="31">
        <f t="shared" si="5"/>
        <v>21425.454030000001</v>
      </c>
    </row>
    <row r="92" spans="2:15" ht="15.75" x14ac:dyDescent="0.25">
      <c r="B92" s="5">
        <v>1996</v>
      </c>
      <c r="C92" s="4" t="s">
        <v>0</v>
      </c>
      <c r="D92" s="25">
        <v>56575.902840000002</v>
      </c>
      <c r="E92" s="14"/>
      <c r="F92" s="14"/>
      <c r="G92" s="15"/>
      <c r="H92" s="100">
        <f t="shared" si="3"/>
        <v>56575.902840000002</v>
      </c>
      <c r="I92" s="13">
        <v>56575.902840000002</v>
      </c>
      <c r="J92" s="1">
        <f t="shared" si="4"/>
        <v>0</v>
      </c>
      <c r="L92" s="29">
        <v>1982</v>
      </c>
      <c r="M92" s="29" t="s">
        <v>29</v>
      </c>
      <c r="N92" s="30">
        <v>20897.433359999999</v>
      </c>
      <c r="O92" s="31">
        <f t="shared" si="5"/>
        <v>21249.44714</v>
      </c>
    </row>
    <row r="93" spans="2:15" ht="15.75" x14ac:dyDescent="0.25">
      <c r="B93" s="5"/>
      <c r="C93" s="4" t="s">
        <v>1</v>
      </c>
      <c r="D93" s="25">
        <v>56630.146269999997</v>
      </c>
      <c r="E93" s="14"/>
      <c r="F93" s="14"/>
      <c r="G93" s="15"/>
      <c r="H93" s="100">
        <f t="shared" si="3"/>
        <v>56630.146269999997</v>
      </c>
      <c r="I93" s="13">
        <v>56630.146269999997</v>
      </c>
      <c r="J93" s="1">
        <f t="shared" si="4"/>
        <v>0</v>
      </c>
      <c r="L93" s="29">
        <v>1982</v>
      </c>
      <c r="M93" s="29" t="s">
        <v>30</v>
      </c>
      <c r="N93" s="30">
        <v>20897.433359999999</v>
      </c>
      <c r="O93" s="31">
        <f t="shared" si="5"/>
        <v>21073.44025</v>
      </c>
    </row>
    <row r="94" spans="2:15" ht="15.75" x14ac:dyDescent="0.25">
      <c r="B94" s="5"/>
      <c r="C94" s="4" t="s">
        <v>2</v>
      </c>
      <c r="D94" s="25">
        <v>58854.127110000001</v>
      </c>
      <c r="E94" s="14"/>
      <c r="F94" s="14"/>
      <c r="G94" s="15"/>
      <c r="H94" s="100">
        <f t="shared" si="3"/>
        <v>58854.127110000001</v>
      </c>
      <c r="I94" s="13">
        <v>58854.127110000001</v>
      </c>
      <c r="J94" s="1">
        <f t="shared" si="4"/>
        <v>0</v>
      </c>
      <c r="L94" s="29">
        <v>1982</v>
      </c>
      <c r="M94" s="29" t="s">
        <v>31</v>
      </c>
      <c r="N94" s="30">
        <v>20897.433359999999</v>
      </c>
      <c r="O94" s="31">
        <f t="shared" si="5"/>
        <v>20897.433359999999</v>
      </c>
    </row>
    <row r="95" spans="2:15" ht="15.75" x14ac:dyDescent="0.25">
      <c r="B95" s="5"/>
      <c r="C95" s="4" t="s">
        <v>3</v>
      </c>
      <c r="D95" s="25">
        <v>59884.752379999998</v>
      </c>
      <c r="E95" s="14"/>
      <c r="F95" s="14"/>
      <c r="G95" s="15"/>
      <c r="H95" s="100">
        <f t="shared" si="3"/>
        <v>59884.752379999998</v>
      </c>
      <c r="I95" s="13">
        <v>59884.752379999998</v>
      </c>
      <c r="J95" s="1">
        <f t="shared" si="4"/>
        <v>0</v>
      </c>
      <c r="L95" s="29">
        <v>1982</v>
      </c>
      <c r="M95" s="29" t="s">
        <v>32</v>
      </c>
      <c r="N95" s="30">
        <v>21811.315279999999</v>
      </c>
      <c r="O95" s="31">
        <f t="shared" si="5"/>
        <v>21202.060666666668</v>
      </c>
    </row>
    <row r="96" spans="2:15" ht="15.75" x14ac:dyDescent="0.25">
      <c r="B96" s="5">
        <v>1997</v>
      </c>
      <c r="C96" s="4" t="s">
        <v>0</v>
      </c>
      <c r="D96" s="25">
        <v>60698.403910000001</v>
      </c>
      <c r="E96" s="14"/>
      <c r="F96" s="14"/>
      <c r="G96" s="15"/>
      <c r="H96" s="100">
        <f t="shared" si="3"/>
        <v>60698.403910000001</v>
      </c>
      <c r="I96" s="13">
        <v>60698.403910000001</v>
      </c>
      <c r="J96" s="1">
        <f t="shared" si="4"/>
        <v>0</v>
      </c>
      <c r="L96" s="29">
        <v>1982</v>
      </c>
      <c r="M96" s="29" t="s">
        <v>33</v>
      </c>
      <c r="N96" s="30">
        <v>21811.315279999999</v>
      </c>
      <c r="O96" s="31">
        <f t="shared" si="5"/>
        <v>21506.687973333334</v>
      </c>
    </row>
    <row r="97" spans="2:15" ht="15.75" x14ac:dyDescent="0.25">
      <c r="B97" s="5"/>
      <c r="C97" s="4" t="s">
        <v>1</v>
      </c>
      <c r="D97" s="25">
        <v>61946.002919999999</v>
      </c>
      <c r="E97" s="14"/>
      <c r="F97" s="6"/>
      <c r="G97" s="15"/>
      <c r="H97" s="100">
        <f t="shared" si="3"/>
        <v>61946.002919999999</v>
      </c>
      <c r="I97" s="13">
        <v>61946.002919999999</v>
      </c>
      <c r="J97" s="1">
        <f t="shared" si="4"/>
        <v>0</v>
      </c>
      <c r="L97" s="29">
        <v>1982</v>
      </c>
      <c r="M97" s="29" t="s">
        <v>34</v>
      </c>
      <c r="N97" s="30">
        <v>21811.315279999999</v>
      </c>
      <c r="O97" s="31">
        <f t="shared" si="5"/>
        <v>21811.315279999999</v>
      </c>
    </row>
    <row r="98" spans="2:15" ht="15.75" x14ac:dyDescent="0.25">
      <c r="B98" s="5"/>
      <c r="C98" s="4" t="s">
        <v>2</v>
      </c>
      <c r="D98" s="25">
        <v>65092.122150000003</v>
      </c>
      <c r="E98" s="14"/>
      <c r="F98" s="6"/>
      <c r="G98" s="15"/>
      <c r="H98" s="100">
        <f t="shared" si="3"/>
        <v>65092.122150000003</v>
      </c>
      <c r="I98" s="13">
        <v>65092.12215000001</v>
      </c>
      <c r="J98" s="1">
        <f t="shared" si="4"/>
        <v>0</v>
      </c>
      <c r="L98" s="29">
        <v>1982</v>
      </c>
      <c r="M98" s="29" t="s">
        <v>35</v>
      </c>
      <c r="N98" s="30">
        <v>22359.64444</v>
      </c>
      <c r="O98" s="31">
        <f t="shared" si="5"/>
        <v>21994.091666666664</v>
      </c>
    </row>
    <row r="99" spans="2:15" ht="15.75" x14ac:dyDescent="0.25">
      <c r="B99" s="5"/>
      <c r="C99" s="4" t="s">
        <v>3</v>
      </c>
      <c r="D99" s="25">
        <v>64603.931239999998</v>
      </c>
      <c r="E99" s="14"/>
      <c r="F99" s="6"/>
      <c r="G99" s="15"/>
      <c r="H99" s="100">
        <f t="shared" si="3"/>
        <v>64603.931239999998</v>
      </c>
      <c r="I99" s="13">
        <v>64603.931239999991</v>
      </c>
      <c r="J99" s="1">
        <f t="shared" si="4"/>
        <v>0</v>
      </c>
      <c r="L99" s="29">
        <v>1982</v>
      </c>
      <c r="M99" s="29" t="s">
        <v>36</v>
      </c>
      <c r="N99" s="30">
        <v>22359.64444</v>
      </c>
      <c r="O99" s="31">
        <f t="shared" si="5"/>
        <v>22176.868053333335</v>
      </c>
    </row>
    <row r="100" spans="2:15" ht="15.75" x14ac:dyDescent="0.25">
      <c r="B100" s="5">
        <v>1998</v>
      </c>
      <c r="C100" s="4" t="s">
        <v>0</v>
      </c>
      <c r="D100" s="25">
        <v>66231.234289999993</v>
      </c>
      <c r="E100" s="14"/>
      <c r="F100" s="6"/>
      <c r="G100" s="15"/>
      <c r="H100" s="100">
        <f t="shared" si="3"/>
        <v>66231.234289999993</v>
      </c>
      <c r="I100" s="13">
        <v>66231.234289999993</v>
      </c>
      <c r="J100" s="1">
        <f t="shared" si="4"/>
        <v>0</v>
      </c>
      <c r="L100" s="29">
        <v>1982</v>
      </c>
      <c r="M100" s="29" t="s">
        <v>37</v>
      </c>
      <c r="N100" s="30">
        <v>22359.64444</v>
      </c>
      <c r="O100" s="31">
        <f t="shared" si="5"/>
        <v>22359.64444</v>
      </c>
    </row>
    <row r="101" spans="2:15" ht="15.75" x14ac:dyDescent="0.25">
      <c r="B101" s="5"/>
      <c r="C101" s="4" t="s">
        <v>1</v>
      </c>
      <c r="D101" s="25">
        <v>69757.057579999993</v>
      </c>
      <c r="E101" s="14"/>
      <c r="F101" s="6"/>
      <c r="G101" s="15"/>
      <c r="H101" s="100">
        <f t="shared" si="3"/>
        <v>69757.057579999993</v>
      </c>
      <c r="I101" s="13">
        <v>69757.057579999993</v>
      </c>
      <c r="J101" s="1">
        <f t="shared" si="4"/>
        <v>0</v>
      </c>
      <c r="L101" s="29">
        <v>1982</v>
      </c>
      <c r="M101" s="29" t="s">
        <v>38</v>
      </c>
      <c r="N101" s="30">
        <v>22684.58023</v>
      </c>
      <c r="O101" s="31">
        <f t="shared" si="5"/>
        <v>22467.95637</v>
      </c>
    </row>
    <row r="102" spans="2:15" ht="15.75" x14ac:dyDescent="0.25">
      <c r="B102" s="5"/>
      <c r="C102" s="4" t="s">
        <v>2</v>
      </c>
      <c r="D102" s="25">
        <v>72794.689939999997</v>
      </c>
      <c r="E102" s="14"/>
      <c r="F102" s="6"/>
      <c r="G102" s="15"/>
      <c r="H102" s="100">
        <f t="shared" si="3"/>
        <v>72794.689939999997</v>
      </c>
      <c r="I102" s="13">
        <v>72794.689939999997</v>
      </c>
      <c r="J102" s="1">
        <f t="shared" si="4"/>
        <v>0</v>
      </c>
      <c r="L102" s="29">
        <v>1982</v>
      </c>
      <c r="M102" s="29" t="s">
        <v>39</v>
      </c>
      <c r="N102" s="30">
        <v>22684.58023</v>
      </c>
      <c r="O102" s="31">
        <f t="shared" si="5"/>
        <v>22576.268299999996</v>
      </c>
    </row>
    <row r="103" spans="2:15" ht="15.75" x14ac:dyDescent="0.25">
      <c r="B103" s="5"/>
      <c r="C103" s="4" t="s">
        <v>3</v>
      </c>
      <c r="D103" s="25">
        <v>72469.229330000002</v>
      </c>
      <c r="E103" s="14"/>
      <c r="F103" s="6"/>
      <c r="G103" s="15"/>
      <c r="H103" s="100">
        <f t="shared" si="3"/>
        <v>72469.229330000002</v>
      </c>
      <c r="I103" s="13">
        <v>72469.229330000002</v>
      </c>
      <c r="J103" s="1">
        <f t="shared" si="4"/>
        <v>0</v>
      </c>
      <c r="L103" s="29">
        <v>1982</v>
      </c>
      <c r="M103" s="29" t="s">
        <v>40</v>
      </c>
      <c r="N103" s="30">
        <v>22684.58023</v>
      </c>
      <c r="O103" s="31">
        <f t="shared" si="5"/>
        <v>22684.580230000003</v>
      </c>
    </row>
    <row r="104" spans="2:15" ht="15.75" x14ac:dyDescent="0.25">
      <c r="B104" s="5">
        <v>1999</v>
      </c>
      <c r="C104" s="4" t="s">
        <v>0</v>
      </c>
      <c r="D104" s="25">
        <v>72903.176810000004</v>
      </c>
      <c r="E104" s="14"/>
      <c r="F104" s="6"/>
      <c r="G104" s="15"/>
      <c r="H104" s="100">
        <f t="shared" si="3"/>
        <v>72903.176810000004</v>
      </c>
      <c r="I104" s="13">
        <v>72903.176810000004</v>
      </c>
      <c r="J104" s="1">
        <f t="shared" si="4"/>
        <v>0</v>
      </c>
      <c r="L104" s="29">
        <v>1983</v>
      </c>
      <c r="M104" s="29" t="s">
        <v>29</v>
      </c>
      <c r="N104" s="30">
        <v>23354.760310000001</v>
      </c>
      <c r="O104" s="31">
        <f t="shared" si="5"/>
        <v>22907.973589999998</v>
      </c>
    </row>
    <row r="105" spans="2:15" ht="15.75" x14ac:dyDescent="0.25">
      <c r="B105" s="5"/>
      <c r="C105" s="4" t="s">
        <v>1</v>
      </c>
      <c r="D105" s="25">
        <v>75995.052609999999</v>
      </c>
      <c r="E105" s="14"/>
      <c r="F105" s="6"/>
      <c r="G105" s="15"/>
      <c r="H105" s="100">
        <f t="shared" si="3"/>
        <v>75995.052609999999</v>
      </c>
      <c r="I105" s="13">
        <v>75995.052609999999</v>
      </c>
      <c r="J105" s="1">
        <f t="shared" si="4"/>
        <v>0</v>
      </c>
      <c r="L105" s="29">
        <v>1983</v>
      </c>
      <c r="M105" s="29" t="s">
        <v>30</v>
      </c>
      <c r="N105" s="30">
        <v>23354.760310000001</v>
      </c>
      <c r="O105" s="31">
        <f t="shared" si="5"/>
        <v>23131.36695</v>
      </c>
    </row>
    <row r="106" spans="2:15" ht="15.75" x14ac:dyDescent="0.25">
      <c r="B106" s="5"/>
      <c r="C106" s="4" t="s">
        <v>2</v>
      </c>
      <c r="D106" s="25">
        <v>80443.014299999995</v>
      </c>
      <c r="E106" s="14"/>
      <c r="F106" s="6"/>
      <c r="G106" s="15"/>
      <c r="H106" s="100">
        <f t="shared" si="3"/>
        <v>80443.014299999995</v>
      </c>
      <c r="I106" s="13">
        <v>80443.014299999995</v>
      </c>
      <c r="J106" s="1">
        <f t="shared" si="4"/>
        <v>0</v>
      </c>
      <c r="L106" s="29">
        <v>1983</v>
      </c>
      <c r="M106" s="29" t="s">
        <v>31</v>
      </c>
      <c r="N106" s="30">
        <v>23354.760310000001</v>
      </c>
      <c r="O106" s="31">
        <f t="shared" si="5"/>
        <v>23354.760310000001</v>
      </c>
    </row>
    <row r="107" spans="2:15" ht="15.75" x14ac:dyDescent="0.25">
      <c r="B107" s="5"/>
      <c r="C107" s="4" t="s">
        <v>3</v>
      </c>
      <c r="D107" s="25">
        <v>82504.26483</v>
      </c>
      <c r="E107" s="14"/>
      <c r="F107" s="6"/>
      <c r="G107" s="15"/>
      <c r="H107" s="100">
        <f t="shared" si="3"/>
        <v>82504.26483</v>
      </c>
      <c r="I107" s="13">
        <v>82504.26483</v>
      </c>
      <c r="J107" s="1">
        <f t="shared" si="4"/>
        <v>0</v>
      </c>
      <c r="L107" s="29">
        <v>1983</v>
      </c>
      <c r="M107" s="29" t="s">
        <v>32</v>
      </c>
      <c r="N107" s="30">
        <v>24167.0998</v>
      </c>
      <c r="O107" s="31">
        <f t="shared" si="5"/>
        <v>23625.540140000001</v>
      </c>
    </row>
    <row r="108" spans="2:15" ht="15.75" x14ac:dyDescent="0.25">
      <c r="B108" s="5">
        <v>2000</v>
      </c>
      <c r="C108" s="4" t="s">
        <v>0</v>
      </c>
      <c r="D108" s="25">
        <v>84619.758799999996</v>
      </c>
      <c r="E108" s="14"/>
      <c r="F108" s="6"/>
      <c r="G108" s="15"/>
      <c r="H108" s="100">
        <f t="shared" si="3"/>
        <v>84619.758799999996</v>
      </c>
      <c r="I108" s="13">
        <v>84619.758799999996</v>
      </c>
      <c r="J108" s="1">
        <f t="shared" si="4"/>
        <v>0</v>
      </c>
      <c r="L108" s="29">
        <v>1983</v>
      </c>
      <c r="M108" s="29" t="s">
        <v>33</v>
      </c>
      <c r="N108" s="30">
        <v>24167.0998</v>
      </c>
      <c r="O108" s="31">
        <f t="shared" si="5"/>
        <v>23896.31997</v>
      </c>
    </row>
    <row r="109" spans="2:15" ht="15.75" x14ac:dyDescent="0.25">
      <c r="B109" s="5"/>
      <c r="C109" s="4" t="s">
        <v>1</v>
      </c>
      <c r="D109" s="25">
        <v>89230.450789999988</v>
      </c>
      <c r="E109" s="14"/>
      <c r="F109" s="6"/>
      <c r="G109" s="15"/>
      <c r="H109" s="100">
        <f t="shared" si="3"/>
        <v>89230.450789999988</v>
      </c>
      <c r="I109" s="13">
        <v>89230.450789999988</v>
      </c>
      <c r="J109" s="1">
        <f t="shared" si="4"/>
        <v>0</v>
      </c>
      <c r="L109" s="29">
        <v>1983</v>
      </c>
      <c r="M109" s="29" t="s">
        <v>34</v>
      </c>
      <c r="N109" s="30">
        <v>24167.0998</v>
      </c>
      <c r="O109" s="31">
        <f t="shared" si="5"/>
        <v>24167.0998</v>
      </c>
    </row>
    <row r="110" spans="2:15" ht="15.75" x14ac:dyDescent="0.25">
      <c r="B110" s="5"/>
      <c r="C110" s="4" t="s">
        <v>2</v>
      </c>
      <c r="D110" s="25">
        <v>90911.997279999996</v>
      </c>
      <c r="E110" s="14"/>
      <c r="F110" s="6"/>
      <c r="G110" s="15"/>
      <c r="H110" s="100">
        <f t="shared" si="3"/>
        <v>90911.997279999996</v>
      </c>
      <c r="I110" s="13">
        <v>90911.997279999996</v>
      </c>
      <c r="J110" s="1">
        <f t="shared" si="4"/>
        <v>0</v>
      </c>
      <c r="L110" s="29">
        <v>1983</v>
      </c>
      <c r="M110" s="29" t="s">
        <v>35</v>
      </c>
      <c r="N110" s="30">
        <v>25182.524160000001</v>
      </c>
      <c r="O110" s="31">
        <f t="shared" si="5"/>
        <v>24505.574586666666</v>
      </c>
    </row>
    <row r="111" spans="2:15" ht="15.75" x14ac:dyDescent="0.25">
      <c r="B111" s="5"/>
      <c r="C111" s="4" t="s">
        <v>3</v>
      </c>
      <c r="D111" s="25">
        <v>93624.169030000005</v>
      </c>
      <c r="E111" s="14"/>
      <c r="F111" s="6"/>
      <c r="G111" s="15"/>
      <c r="H111" s="100">
        <f t="shared" si="3"/>
        <v>93624.169030000005</v>
      </c>
      <c r="I111" s="13">
        <v>93624.169030000005</v>
      </c>
      <c r="J111" s="1">
        <f t="shared" si="4"/>
        <v>0</v>
      </c>
      <c r="L111" s="29">
        <v>1983</v>
      </c>
      <c r="M111" s="29" t="s">
        <v>36</v>
      </c>
      <c r="N111" s="30">
        <v>25182.524160000001</v>
      </c>
      <c r="O111" s="31">
        <f t="shared" si="5"/>
        <v>24844.049373333331</v>
      </c>
    </row>
    <row r="112" spans="2:15" ht="15.75" x14ac:dyDescent="0.25">
      <c r="B112" s="5">
        <v>2001</v>
      </c>
      <c r="C112" s="4" t="s">
        <v>0</v>
      </c>
      <c r="D112" s="25">
        <v>93135.97812</v>
      </c>
      <c r="E112" s="14"/>
      <c r="F112" s="6"/>
      <c r="G112" s="15"/>
      <c r="H112" s="100">
        <f t="shared" si="3"/>
        <v>93135.97812</v>
      </c>
      <c r="I112" s="13">
        <v>93135.97812</v>
      </c>
      <c r="J112" s="1">
        <f t="shared" si="4"/>
        <v>0</v>
      </c>
      <c r="L112" s="29">
        <v>1983</v>
      </c>
      <c r="M112" s="29" t="s">
        <v>37</v>
      </c>
      <c r="N112" s="30">
        <v>25182.524160000001</v>
      </c>
      <c r="O112" s="31">
        <f t="shared" si="5"/>
        <v>25182.524160000001</v>
      </c>
    </row>
    <row r="113" spans="2:15" ht="15.75" x14ac:dyDescent="0.25">
      <c r="B113" s="5"/>
      <c r="C113" s="4" t="s">
        <v>1</v>
      </c>
      <c r="D113" s="25">
        <v>96499.071089999998</v>
      </c>
      <c r="E113" s="14"/>
      <c r="F113" s="6"/>
      <c r="G113" s="15"/>
      <c r="H113" s="100">
        <f t="shared" si="3"/>
        <v>96499.071089999998</v>
      </c>
      <c r="I113" s="13">
        <v>96499.071089999998</v>
      </c>
      <c r="J113" s="1">
        <f t="shared" si="4"/>
        <v>0</v>
      </c>
      <c r="L113" s="29">
        <v>1983</v>
      </c>
      <c r="M113" s="29" t="s">
        <v>38</v>
      </c>
      <c r="N113" s="30">
        <v>25385.609039999999</v>
      </c>
      <c r="O113" s="31">
        <f t="shared" si="5"/>
        <v>25250.219119999998</v>
      </c>
    </row>
    <row r="114" spans="2:15" ht="15.75" x14ac:dyDescent="0.25">
      <c r="B114" s="5"/>
      <c r="C114" s="4" t="s">
        <v>2</v>
      </c>
      <c r="D114" s="25">
        <v>99970.650940000007</v>
      </c>
      <c r="E114" s="14"/>
      <c r="F114" s="6"/>
      <c r="G114" s="15"/>
      <c r="H114" s="100">
        <f t="shared" si="3"/>
        <v>99970.650940000007</v>
      </c>
      <c r="I114" s="13">
        <v>99970.650940000007</v>
      </c>
      <c r="J114" s="1">
        <f t="shared" si="4"/>
        <v>0</v>
      </c>
      <c r="L114" s="29">
        <v>1983</v>
      </c>
      <c r="M114" s="29" t="s">
        <v>39</v>
      </c>
      <c r="N114" s="30">
        <v>25385.609039999999</v>
      </c>
      <c r="O114" s="31">
        <f t="shared" si="5"/>
        <v>25317.914079999999</v>
      </c>
    </row>
    <row r="115" spans="2:15" ht="15.75" x14ac:dyDescent="0.25">
      <c r="B115" s="5"/>
      <c r="C115" s="4" t="s">
        <v>3</v>
      </c>
      <c r="D115" s="25">
        <v>97963.64383999999</v>
      </c>
      <c r="E115" s="14"/>
      <c r="F115" s="6"/>
      <c r="G115" s="15"/>
      <c r="H115" s="100">
        <f t="shared" si="3"/>
        <v>97963.64383999999</v>
      </c>
      <c r="I115" s="13">
        <v>97963.64383999999</v>
      </c>
      <c r="J115" s="1">
        <f t="shared" si="4"/>
        <v>0</v>
      </c>
      <c r="L115" s="29">
        <v>1983</v>
      </c>
      <c r="M115" s="29" t="s">
        <v>40</v>
      </c>
      <c r="N115" s="30">
        <v>25385.609039999999</v>
      </c>
      <c r="O115" s="31">
        <f t="shared" si="5"/>
        <v>25385.609039999999</v>
      </c>
    </row>
    <row r="116" spans="2:15" ht="15.75" x14ac:dyDescent="0.25">
      <c r="B116" s="5">
        <v>2002</v>
      </c>
      <c r="C116" s="4" t="s">
        <v>0</v>
      </c>
      <c r="D116" s="25">
        <v>101164.00649666668</v>
      </c>
      <c r="E116" s="14"/>
      <c r="F116" s="6"/>
      <c r="G116" s="15"/>
      <c r="H116" s="100">
        <f t="shared" si="3"/>
        <v>101164.00649666668</v>
      </c>
      <c r="I116" s="13">
        <v>101164.00649666668</v>
      </c>
      <c r="J116" s="1">
        <f t="shared" si="4"/>
        <v>0</v>
      </c>
      <c r="L116" s="29">
        <v>1984</v>
      </c>
      <c r="M116" s="29" t="s">
        <v>29</v>
      </c>
      <c r="N116" s="30">
        <v>25588.693910000002</v>
      </c>
      <c r="O116" s="31">
        <f t="shared" si="5"/>
        <v>25453.303996666666</v>
      </c>
    </row>
    <row r="117" spans="2:15" ht="15.75" x14ac:dyDescent="0.25">
      <c r="B117" s="5"/>
      <c r="C117" s="4" t="s">
        <v>1</v>
      </c>
      <c r="D117" s="25">
        <v>109425.7337</v>
      </c>
      <c r="E117" s="14"/>
      <c r="F117" s="6"/>
      <c r="G117" s="15"/>
      <c r="H117" s="100">
        <f t="shared" si="3"/>
        <v>109425.7337</v>
      </c>
      <c r="I117" s="13">
        <v>109425.7337</v>
      </c>
      <c r="J117" s="1">
        <f t="shared" si="4"/>
        <v>0</v>
      </c>
      <c r="L117" s="29">
        <v>1984</v>
      </c>
      <c r="M117" s="29" t="s">
        <v>30</v>
      </c>
      <c r="N117" s="30">
        <v>25588.693910000002</v>
      </c>
      <c r="O117" s="31">
        <f t="shared" si="5"/>
        <v>25520.998953333332</v>
      </c>
    </row>
    <row r="118" spans="2:15" ht="15.75" x14ac:dyDescent="0.25">
      <c r="B118" s="5"/>
      <c r="C118" s="4" t="s">
        <v>2</v>
      </c>
      <c r="D118" s="25">
        <v>116844.42753333335</v>
      </c>
      <c r="E118" s="14"/>
      <c r="F118" s="6"/>
      <c r="G118" s="15"/>
      <c r="H118" s="100">
        <f t="shared" si="3"/>
        <v>116844.42753333335</v>
      </c>
      <c r="I118" s="13">
        <v>116844.42753333335</v>
      </c>
      <c r="J118" s="1">
        <f t="shared" si="4"/>
        <v>0</v>
      </c>
      <c r="L118" s="29">
        <v>1984</v>
      </c>
      <c r="M118" s="29" t="s">
        <v>31</v>
      </c>
      <c r="N118" s="30">
        <v>25588.693910000002</v>
      </c>
      <c r="O118" s="31">
        <f t="shared" si="5"/>
        <v>25588.693910000002</v>
      </c>
    </row>
    <row r="119" spans="2:15" ht="15.75" x14ac:dyDescent="0.25">
      <c r="B119" s="5"/>
      <c r="C119" s="4" t="s">
        <v>3</v>
      </c>
      <c r="D119" s="25">
        <v>122644.49723333334</v>
      </c>
      <c r="E119" s="14"/>
      <c r="F119" s="6"/>
      <c r="G119" s="15"/>
      <c r="H119" s="100">
        <f t="shared" si="3"/>
        <v>122644.49723333334</v>
      </c>
      <c r="I119" s="13">
        <v>122644.49723333334</v>
      </c>
      <c r="J119" s="1">
        <f t="shared" si="4"/>
        <v>0</v>
      </c>
      <c r="L119" s="29">
        <v>1984</v>
      </c>
      <c r="M119" s="29" t="s">
        <v>32</v>
      </c>
      <c r="N119" s="30">
        <v>26401.0334</v>
      </c>
      <c r="O119" s="31">
        <f t="shared" si="5"/>
        <v>25859.473740000001</v>
      </c>
    </row>
    <row r="120" spans="2:15" ht="15.75" x14ac:dyDescent="0.25">
      <c r="B120" s="5">
        <v>2003</v>
      </c>
      <c r="C120" s="4" t="s">
        <v>0</v>
      </c>
      <c r="D120" s="25">
        <v>124836.38403333334</v>
      </c>
      <c r="E120" s="14"/>
      <c r="F120" s="6"/>
      <c r="G120" s="15"/>
      <c r="H120" s="100">
        <f t="shared" si="3"/>
        <v>124836.38403333334</v>
      </c>
      <c r="I120" s="13">
        <v>124836.38403333334</v>
      </c>
      <c r="J120" s="1">
        <f t="shared" si="4"/>
        <v>0</v>
      </c>
      <c r="L120" s="29">
        <v>1984</v>
      </c>
      <c r="M120" s="29" t="s">
        <v>33</v>
      </c>
      <c r="N120" s="30">
        <v>26401.0334</v>
      </c>
      <c r="O120" s="31">
        <f t="shared" si="5"/>
        <v>26130.253570000001</v>
      </c>
    </row>
    <row r="121" spans="2:15" ht="15.75" x14ac:dyDescent="0.25">
      <c r="B121" s="5"/>
      <c r="C121" s="4" t="s">
        <v>1</v>
      </c>
      <c r="D121" s="25">
        <v>128680.61629999999</v>
      </c>
      <c r="E121" s="14"/>
      <c r="F121" s="6"/>
      <c r="G121" s="15"/>
      <c r="H121" s="100">
        <f t="shared" si="3"/>
        <v>128680.61629999999</v>
      </c>
      <c r="I121" s="13">
        <v>128680.61629999999</v>
      </c>
      <c r="J121" s="1">
        <f t="shared" si="4"/>
        <v>0</v>
      </c>
      <c r="L121" s="29">
        <v>1984</v>
      </c>
      <c r="M121" s="29" t="s">
        <v>34</v>
      </c>
      <c r="N121" s="30">
        <v>26401.0334</v>
      </c>
      <c r="O121" s="31">
        <f t="shared" si="5"/>
        <v>26401.0334</v>
      </c>
    </row>
    <row r="122" spans="2:15" ht="15.75" x14ac:dyDescent="0.25">
      <c r="B122" s="5"/>
      <c r="C122" s="4" t="s">
        <v>2</v>
      </c>
      <c r="D122" s="25">
        <v>132221.35649999999</v>
      </c>
      <c r="E122" s="14"/>
      <c r="F122" s="6"/>
      <c r="G122" s="15"/>
      <c r="H122" s="100">
        <f t="shared" si="3"/>
        <v>132221.35649999999</v>
      </c>
      <c r="I122" s="13">
        <v>132221.35649999999</v>
      </c>
      <c r="J122" s="1">
        <f t="shared" si="4"/>
        <v>0</v>
      </c>
      <c r="L122" s="29">
        <v>1984</v>
      </c>
      <c r="M122" s="29" t="s">
        <v>35</v>
      </c>
      <c r="N122" s="30">
        <v>27416.457760000001</v>
      </c>
      <c r="O122" s="31">
        <f t="shared" si="5"/>
        <v>26739.50818666667</v>
      </c>
    </row>
    <row r="123" spans="2:15" ht="15.75" x14ac:dyDescent="0.25">
      <c r="B123" s="5"/>
      <c r="C123" s="4" t="s">
        <v>3</v>
      </c>
      <c r="D123" s="25">
        <v>134919.06336666667</v>
      </c>
      <c r="E123" s="14"/>
      <c r="F123" s="6"/>
      <c r="G123" s="15"/>
      <c r="H123" s="100">
        <f t="shared" si="3"/>
        <v>134919.06336666667</v>
      </c>
      <c r="I123" s="13">
        <v>134919.06336666667</v>
      </c>
      <c r="J123" s="1">
        <f t="shared" si="4"/>
        <v>0</v>
      </c>
      <c r="L123" s="29">
        <v>1984</v>
      </c>
      <c r="M123" s="29" t="s">
        <v>36</v>
      </c>
      <c r="N123" s="30">
        <v>27416.457760000001</v>
      </c>
      <c r="O123" s="31">
        <f t="shared" si="5"/>
        <v>27077.982973333335</v>
      </c>
    </row>
    <row r="124" spans="2:15" ht="15.75" x14ac:dyDescent="0.25">
      <c r="B124" s="5">
        <v>2004</v>
      </c>
      <c r="C124" s="4" t="s">
        <v>0</v>
      </c>
      <c r="D124" s="25">
        <v>136200.47409999999</v>
      </c>
      <c r="E124" s="14"/>
      <c r="F124" s="6"/>
      <c r="G124" s="15"/>
      <c r="H124" s="100">
        <f t="shared" si="3"/>
        <v>136200.47409999999</v>
      </c>
      <c r="I124" s="13">
        <v>136200.47409999999</v>
      </c>
      <c r="J124" s="1">
        <f t="shared" si="4"/>
        <v>0</v>
      </c>
      <c r="L124" s="29">
        <v>1984</v>
      </c>
      <c r="M124" s="29" t="s">
        <v>37</v>
      </c>
      <c r="N124" s="30">
        <v>27416.457760000001</v>
      </c>
      <c r="O124" s="31">
        <f t="shared" si="5"/>
        <v>27416.457760000001</v>
      </c>
    </row>
    <row r="125" spans="2:15" ht="15.75" x14ac:dyDescent="0.25">
      <c r="B125" s="5"/>
      <c r="C125" s="4" t="s">
        <v>1</v>
      </c>
      <c r="D125" s="25">
        <v>144124.98796666667</v>
      </c>
      <c r="E125" s="14"/>
      <c r="F125" s="6"/>
      <c r="G125" s="15"/>
      <c r="H125" s="100">
        <f t="shared" si="3"/>
        <v>144124.98796666667</v>
      </c>
      <c r="I125" s="13">
        <v>144124.98796666667</v>
      </c>
      <c r="J125" s="1">
        <f t="shared" si="4"/>
        <v>0</v>
      </c>
      <c r="L125" s="29">
        <v>1984</v>
      </c>
      <c r="M125" s="29" t="s">
        <v>38</v>
      </c>
      <c r="N125" s="30">
        <v>27822.627499999999</v>
      </c>
      <c r="O125" s="31">
        <f t="shared" si="5"/>
        <v>27551.847673333334</v>
      </c>
    </row>
    <row r="126" spans="2:15" ht="15.75" x14ac:dyDescent="0.25">
      <c r="B126" s="5"/>
      <c r="C126" s="4" t="s">
        <v>2</v>
      </c>
      <c r="D126" s="25">
        <v>150565.76300000001</v>
      </c>
      <c r="E126" s="14"/>
      <c r="F126" s="6"/>
      <c r="G126" s="15"/>
      <c r="H126" s="100">
        <f t="shared" si="3"/>
        <v>150565.76300000001</v>
      </c>
      <c r="I126" s="13">
        <v>150565.76300000001</v>
      </c>
      <c r="J126" s="1">
        <f t="shared" si="4"/>
        <v>0</v>
      </c>
      <c r="L126" s="29">
        <v>1984</v>
      </c>
      <c r="M126" s="29" t="s">
        <v>39</v>
      </c>
      <c r="N126" s="30">
        <v>27822.627499999999</v>
      </c>
      <c r="O126" s="31">
        <f t="shared" si="5"/>
        <v>27687.237586666666</v>
      </c>
    </row>
    <row r="127" spans="2:15" ht="15.75" x14ac:dyDescent="0.25">
      <c r="B127" s="5"/>
      <c r="C127" s="4" t="s">
        <v>3</v>
      </c>
      <c r="D127" s="25">
        <v>151543.68176666668</v>
      </c>
      <c r="E127" s="14"/>
      <c r="F127" s="6"/>
      <c r="G127" s="15"/>
      <c r="H127" s="100">
        <f t="shared" si="3"/>
        <v>151543.68176666668</v>
      </c>
      <c r="I127" s="13">
        <v>151543.68176666668</v>
      </c>
      <c r="J127" s="1">
        <f t="shared" si="4"/>
        <v>0</v>
      </c>
      <c r="L127" s="29">
        <v>1984</v>
      </c>
      <c r="M127" s="29" t="s">
        <v>40</v>
      </c>
      <c r="N127" s="30">
        <v>27822.627499999999</v>
      </c>
      <c r="O127" s="31">
        <f t="shared" si="5"/>
        <v>27822.627499999999</v>
      </c>
    </row>
    <row r="128" spans="2:15" ht="15.75" x14ac:dyDescent="0.25">
      <c r="B128" s="5">
        <v>2005</v>
      </c>
      <c r="C128" s="4" t="s">
        <v>0</v>
      </c>
      <c r="D128" s="25">
        <v>150948.22530000002</v>
      </c>
      <c r="E128" s="14"/>
      <c r="F128" s="6"/>
      <c r="G128" s="15"/>
      <c r="H128" s="100">
        <f t="shared" si="3"/>
        <v>150948.22530000002</v>
      </c>
      <c r="I128" s="13">
        <v>150948.22530000002</v>
      </c>
      <c r="J128" s="1">
        <f t="shared" si="4"/>
        <v>0</v>
      </c>
      <c r="L128" s="29">
        <v>1985</v>
      </c>
      <c r="M128" s="29" t="s">
        <v>29</v>
      </c>
      <c r="N128" s="30">
        <v>27822.627499999999</v>
      </c>
      <c r="O128" s="31">
        <f t="shared" si="5"/>
        <v>27822.627499999999</v>
      </c>
    </row>
    <row r="129" spans="2:15" ht="15.75" x14ac:dyDescent="0.25">
      <c r="B129" s="5"/>
      <c r="C129" s="4" t="s">
        <v>1</v>
      </c>
      <c r="D129" s="25">
        <v>155393.30220000001</v>
      </c>
      <c r="E129" s="14"/>
      <c r="F129" s="6"/>
      <c r="G129" s="15"/>
      <c r="H129" s="100">
        <f t="shared" si="3"/>
        <v>155393.30220000001</v>
      </c>
      <c r="I129" s="13">
        <v>155393.30220000001</v>
      </c>
      <c r="J129" s="1">
        <f t="shared" si="4"/>
        <v>0</v>
      </c>
      <c r="L129" s="29">
        <v>1985</v>
      </c>
      <c r="M129" s="29" t="s">
        <v>30</v>
      </c>
      <c r="N129" s="30">
        <v>27822.627499999999</v>
      </c>
      <c r="O129" s="31">
        <f t="shared" si="5"/>
        <v>27822.627499999999</v>
      </c>
    </row>
    <row r="130" spans="2:15" ht="15.75" x14ac:dyDescent="0.25">
      <c r="B130" s="5"/>
      <c r="C130" s="4" t="s">
        <v>2</v>
      </c>
      <c r="D130" s="25">
        <v>159133.37726666665</v>
      </c>
      <c r="E130" s="14"/>
      <c r="F130" s="6"/>
      <c r="G130" s="15"/>
      <c r="H130" s="100">
        <f t="shared" si="3"/>
        <v>159133.37726666665</v>
      </c>
      <c r="I130" s="13">
        <v>159133.37726666665</v>
      </c>
      <c r="J130" s="1">
        <f t="shared" si="4"/>
        <v>0</v>
      </c>
      <c r="L130" s="29">
        <v>1985</v>
      </c>
      <c r="M130" s="29" t="s">
        <v>31</v>
      </c>
      <c r="N130" s="30">
        <v>27822.627499999999</v>
      </c>
      <c r="O130" s="31">
        <f t="shared" si="5"/>
        <v>27822.627499999999</v>
      </c>
    </row>
    <row r="131" spans="2:15" ht="15.75" x14ac:dyDescent="0.25">
      <c r="B131" s="5"/>
      <c r="C131" s="4" t="s">
        <v>3</v>
      </c>
      <c r="D131" s="25">
        <v>159470.27823333335</v>
      </c>
      <c r="E131" s="14"/>
      <c r="F131" s="6"/>
      <c r="G131" s="15"/>
      <c r="H131" s="100">
        <f t="shared" si="3"/>
        <v>159470.27823333335</v>
      </c>
      <c r="I131" s="13">
        <v>159470.27823333335</v>
      </c>
      <c r="J131" s="1">
        <f t="shared" si="4"/>
        <v>0</v>
      </c>
      <c r="L131" s="29">
        <v>1985</v>
      </c>
      <c r="M131" s="29" t="s">
        <v>32</v>
      </c>
      <c r="N131" s="30">
        <v>28838.05186</v>
      </c>
      <c r="O131" s="31">
        <f t="shared" si="5"/>
        <v>28161.102286666664</v>
      </c>
    </row>
    <row r="132" spans="2:15" ht="15.75" x14ac:dyDescent="0.25">
      <c r="B132" s="5">
        <v>2006</v>
      </c>
      <c r="C132" s="4" t="s">
        <v>0</v>
      </c>
      <c r="D132" s="25">
        <v>160577.23403333334</v>
      </c>
      <c r="E132" s="14"/>
      <c r="F132" s="6"/>
      <c r="G132" s="15"/>
      <c r="H132" s="100">
        <f t="shared" si="3"/>
        <v>160577.23403333334</v>
      </c>
      <c r="I132" s="13">
        <v>160577.23403333334</v>
      </c>
      <c r="J132" s="1">
        <f t="shared" si="4"/>
        <v>0</v>
      </c>
      <c r="L132" s="29">
        <v>1985</v>
      </c>
      <c r="M132" s="29" t="s">
        <v>33</v>
      </c>
      <c r="N132" s="30">
        <v>28838.05186</v>
      </c>
      <c r="O132" s="31">
        <f t="shared" si="5"/>
        <v>28499.57707333333</v>
      </c>
    </row>
    <row r="133" spans="2:15" ht="15.75" x14ac:dyDescent="0.25">
      <c r="B133" s="5"/>
      <c r="C133" s="4" t="s">
        <v>1</v>
      </c>
      <c r="D133" s="25">
        <v>166610.5273333333</v>
      </c>
      <c r="E133" s="14"/>
      <c r="F133" s="6"/>
      <c r="G133" s="15"/>
      <c r="H133" s="100">
        <f t="shared" si="3"/>
        <v>166610.5273333333</v>
      </c>
      <c r="I133" s="13">
        <v>166610.5273333333</v>
      </c>
      <c r="J133" s="1">
        <f t="shared" si="4"/>
        <v>0</v>
      </c>
      <c r="L133" s="29">
        <v>1985</v>
      </c>
      <c r="M133" s="29" t="s">
        <v>34</v>
      </c>
      <c r="N133" s="30">
        <v>28838.05186</v>
      </c>
      <c r="O133" s="31">
        <f t="shared" si="5"/>
        <v>28838.051859999996</v>
      </c>
    </row>
    <row r="134" spans="2:15" ht="15.75" x14ac:dyDescent="0.25">
      <c r="B134" s="5"/>
      <c r="C134" s="4" t="s">
        <v>2</v>
      </c>
      <c r="D134" s="25">
        <v>171793.02473333335</v>
      </c>
      <c r="E134" s="14"/>
      <c r="F134" s="6"/>
      <c r="G134" s="15"/>
      <c r="H134" s="100">
        <f t="shared" si="3"/>
        <v>171793.02473333335</v>
      </c>
      <c r="I134" s="13">
        <v>171793.02473333335</v>
      </c>
      <c r="J134" s="1">
        <f t="shared" si="4"/>
        <v>0</v>
      </c>
      <c r="L134" s="29">
        <v>1985</v>
      </c>
      <c r="M134" s="29" t="s">
        <v>35</v>
      </c>
      <c r="N134" s="30">
        <v>29447.306479999999</v>
      </c>
      <c r="O134" s="31">
        <f t="shared" si="5"/>
        <v>29041.136733333333</v>
      </c>
    </row>
    <row r="135" spans="2:15" ht="15.75" x14ac:dyDescent="0.25">
      <c r="B135" s="5"/>
      <c r="C135" s="4" t="s">
        <v>3</v>
      </c>
      <c r="D135" s="25">
        <v>175071.07543333332</v>
      </c>
      <c r="E135" s="14"/>
      <c r="F135" s="6"/>
      <c r="G135" s="15"/>
      <c r="H135" s="100">
        <f t="shared" si="3"/>
        <v>175071.07543333332</v>
      </c>
      <c r="I135" s="13">
        <v>175071.07543333332</v>
      </c>
      <c r="J135" s="1">
        <f t="shared" si="4"/>
        <v>0</v>
      </c>
      <c r="L135" s="29">
        <v>1985</v>
      </c>
      <c r="M135" s="29" t="s">
        <v>36</v>
      </c>
      <c r="N135" s="30">
        <v>29447.306479999999</v>
      </c>
      <c r="O135" s="31">
        <f t="shared" si="5"/>
        <v>29244.22160666667</v>
      </c>
    </row>
    <row r="136" spans="2:15" ht="15.75" x14ac:dyDescent="0.25">
      <c r="B136" s="5">
        <v>2007</v>
      </c>
      <c r="C136" s="4" t="s">
        <v>0</v>
      </c>
      <c r="D136" s="25">
        <v>177551.80999999997</v>
      </c>
      <c r="E136" s="14"/>
      <c r="F136" s="6"/>
      <c r="G136" s="15"/>
      <c r="H136" s="100">
        <f t="shared" si="3"/>
        <v>177551.80999999997</v>
      </c>
      <c r="I136" s="13">
        <v>177551.80999999997</v>
      </c>
      <c r="J136" s="1">
        <f t="shared" si="4"/>
        <v>0</v>
      </c>
      <c r="L136" s="29">
        <v>1985</v>
      </c>
      <c r="M136" s="29" t="s">
        <v>37</v>
      </c>
      <c r="N136" s="30">
        <v>29447.306479999999</v>
      </c>
      <c r="O136" s="31">
        <f t="shared" si="5"/>
        <v>29447.306479999999</v>
      </c>
    </row>
    <row r="137" spans="2:15" ht="15.75" x14ac:dyDescent="0.25">
      <c r="B137" s="5"/>
      <c r="C137" s="4" t="s">
        <v>1</v>
      </c>
      <c r="D137" s="25">
        <v>184307.0533</v>
      </c>
      <c r="E137" s="14"/>
      <c r="F137" s="6"/>
      <c r="G137" s="15"/>
      <c r="H137" s="100">
        <f t="shared" ref="H137:H197" si="6">SUM(D137:G137)</f>
        <v>184307.0533</v>
      </c>
      <c r="I137" s="13">
        <v>184307.0533</v>
      </c>
      <c r="J137" s="1">
        <f t="shared" ref="J137:J183" si="7">H137-I137</f>
        <v>0</v>
      </c>
      <c r="L137" s="29">
        <v>1985</v>
      </c>
      <c r="M137" s="29" t="s">
        <v>38</v>
      </c>
      <c r="N137" s="30">
        <v>30462.73084</v>
      </c>
      <c r="O137" s="31">
        <f t="shared" si="5"/>
        <v>29785.781266666669</v>
      </c>
    </row>
    <row r="138" spans="2:15" ht="15.75" x14ac:dyDescent="0.25">
      <c r="B138" s="5"/>
      <c r="C138" s="4" t="s">
        <v>2</v>
      </c>
      <c r="D138" s="25">
        <v>189502.86623333336</v>
      </c>
      <c r="E138" s="14"/>
      <c r="F138" s="6"/>
      <c r="G138" s="15"/>
      <c r="H138" s="100">
        <f t="shared" si="6"/>
        <v>189502.86623333336</v>
      </c>
      <c r="I138" s="13">
        <v>189502.86623333336</v>
      </c>
      <c r="J138" s="1">
        <f t="shared" si="7"/>
        <v>0</v>
      </c>
      <c r="L138" s="29">
        <v>1985</v>
      </c>
      <c r="M138" s="29" t="s">
        <v>39</v>
      </c>
      <c r="N138" s="30">
        <v>30462.73084</v>
      </c>
      <c r="O138" s="31">
        <f t="shared" si="5"/>
        <v>30124.256053333334</v>
      </c>
    </row>
    <row r="139" spans="2:15" ht="15.75" x14ac:dyDescent="0.25">
      <c r="B139" s="5"/>
      <c r="C139" s="4" t="s">
        <v>3</v>
      </c>
      <c r="D139" s="25">
        <v>189423.83753333334</v>
      </c>
      <c r="E139" s="14"/>
      <c r="F139" s="6"/>
      <c r="G139" s="15"/>
      <c r="H139" s="100">
        <f t="shared" si="6"/>
        <v>189423.83753333334</v>
      </c>
      <c r="I139" s="13">
        <v>189423.83753333334</v>
      </c>
      <c r="J139" s="1">
        <f t="shared" si="7"/>
        <v>0</v>
      </c>
      <c r="L139" s="29">
        <v>1985</v>
      </c>
      <c r="M139" s="29" t="s">
        <v>40</v>
      </c>
      <c r="N139" s="30">
        <v>30462.73084</v>
      </c>
      <c r="O139" s="31">
        <f t="shared" ref="O139:O202" si="8">AVERAGE(N137:N139)</f>
        <v>30462.73084</v>
      </c>
    </row>
    <row r="140" spans="2:15" ht="15.75" x14ac:dyDescent="0.25">
      <c r="B140" s="5">
        <v>2008</v>
      </c>
      <c r="C140" s="4" t="s">
        <v>0</v>
      </c>
      <c r="D140" s="25">
        <v>184270.34803333331</v>
      </c>
      <c r="E140" s="14"/>
      <c r="F140" s="6"/>
      <c r="G140" s="15"/>
      <c r="H140" s="100">
        <f t="shared" si="6"/>
        <v>184270.34803333331</v>
      </c>
      <c r="I140" s="13">
        <v>184270.34803333331</v>
      </c>
      <c r="J140" s="1">
        <f t="shared" si="7"/>
        <v>0</v>
      </c>
      <c r="L140" s="29">
        <v>1986</v>
      </c>
      <c r="M140" s="29" t="s">
        <v>29</v>
      </c>
      <c r="N140" s="30">
        <v>31071.98546</v>
      </c>
      <c r="O140" s="31">
        <f t="shared" si="8"/>
        <v>30665.815713333333</v>
      </c>
    </row>
    <row r="141" spans="2:15" ht="15.75" x14ac:dyDescent="0.25">
      <c r="B141" s="5"/>
      <c r="C141" s="4" t="s">
        <v>1</v>
      </c>
      <c r="D141" s="25">
        <v>183081.9529</v>
      </c>
      <c r="E141" s="14"/>
      <c r="F141" s="6"/>
      <c r="G141" s="15"/>
      <c r="H141" s="100">
        <f t="shared" si="6"/>
        <v>183081.9529</v>
      </c>
      <c r="I141" s="13">
        <v>183081.9529</v>
      </c>
      <c r="J141" s="1">
        <f t="shared" si="7"/>
        <v>0</v>
      </c>
      <c r="L141" s="29">
        <v>1986</v>
      </c>
      <c r="M141" s="29" t="s">
        <v>30</v>
      </c>
      <c r="N141" s="30">
        <v>31071.98546</v>
      </c>
      <c r="O141" s="31">
        <f t="shared" si="8"/>
        <v>30868.900586666667</v>
      </c>
    </row>
    <row r="142" spans="2:15" ht="15.75" x14ac:dyDescent="0.25">
      <c r="B142" s="5"/>
      <c r="C142" s="4" t="s">
        <v>2</v>
      </c>
      <c r="D142" s="25">
        <v>175865.69313333335</v>
      </c>
      <c r="E142" s="14"/>
      <c r="F142" s="6"/>
      <c r="G142" s="15"/>
      <c r="H142" s="100">
        <f t="shared" si="6"/>
        <v>175865.69313333335</v>
      </c>
      <c r="I142" s="13">
        <v>175865.69313333335</v>
      </c>
      <c r="J142" s="1">
        <f t="shared" si="7"/>
        <v>0</v>
      </c>
      <c r="L142" s="29">
        <v>1986</v>
      </c>
      <c r="M142" s="29" t="s">
        <v>31</v>
      </c>
      <c r="N142" s="30">
        <v>31071.98546</v>
      </c>
      <c r="O142" s="31">
        <f t="shared" si="8"/>
        <v>31071.98546</v>
      </c>
    </row>
    <row r="143" spans="2:15" ht="15.75" x14ac:dyDescent="0.25">
      <c r="B143" s="5"/>
      <c r="C143" s="4" t="s">
        <v>3</v>
      </c>
      <c r="D143" s="25">
        <v>164192.75406666668</v>
      </c>
      <c r="E143" s="14"/>
      <c r="F143" s="6"/>
      <c r="G143" s="15"/>
      <c r="H143" s="100">
        <f t="shared" si="6"/>
        <v>164192.75406666668</v>
      </c>
      <c r="I143" s="13">
        <v>164192.75406666668</v>
      </c>
      <c r="J143" s="1">
        <f t="shared" si="7"/>
        <v>0</v>
      </c>
      <c r="L143" s="29">
        <v>1986</v>
      </c>
      <c r="M143" s="29" t="s">
        <v>32</v>
      </c>
      <c r="N143" s="30">
        <v>32493.579559999998</v>
      </c>
      <c r="O143" s="31">
        <f t="shared" si="8"/>
        <v>31545.850160000002</v>
      </c>
    </row>
    <row r="144" spans="2:15" ht="15.75" x14ac:dyDescent="0.25">
      <c r="B144" s="5">
        <v>2009</v>
      </c>
      <c r="C144" s="4" t="s">
        <v>0</v>
      </c>
      <c r="D144" s="25">
        <v>155701.22993333335</v>
      </c>
      <c r="E144" s="14"/>
      <c r="F144" s="6"/>
      <c r="G144" s="15"/>
      <c r="H144" s="100">
        <f t="shared" si="6"/>
        <v>155701.22993333335</v>
      </c>
      <c r="I144" s="13">
        <v>155701.22993333335</v>
      </c>
      <c r="J144" s="1">
        <f t="shared" si="7"/>
        <v>0</v>
      </c>
      <c r="L144" s="29">
        <v>1986</v>
      </c>
      <c r="M144" s="29" t="s">
        <v>33</v>
      </c>
      <c r="N144" s="30">
        <v>32493.579559999998</v>
      </c>
      <c r="O144" s="31">
        <f t="shared" si="8"/>
        <v>32019.714859999996</v>
      </c>
    </row>
    <row r="145" spans="2:15" ht="15.75" x14ac:dyDescent="0.25">
      <c r="B145" s="5"/>
      <c r="C145" s="4" t="s">
        <v>1</v>
      </c>
      <c r="D145" s="25">
        <v>157805.8941</v>
      </c>
      <c r="E145" s="14"/>
      <c r="F145" s="6"/>
      <c r="G145" s="15"/>
      <c r="H145" s="100">
        <f t="shared" si="6"/>
        <v>157805.8941</v>
      </c>
      <c r="I145" s="13">
        <v>157805.8941</v>
      </c>
      <c r="J145" s="1">
        <f t="shared" si="7"/>
        <v>0</v>
      </c>
      <c r="L145" s="29">
        <v>1986</v>
      </c>
      <c r="M145" s="29" t="s">
        <v>34</v>
      </c>
      <c r="N145" s="30">
        <v>32493.579559999998</v>
      </c>
      <c r="O145" s="31">
        <f t="shared" si="8"/>
        <v>32493.579559999998</v>
      </c>
    </row>
    <row r="146" spans="2:15" ht="15.75" x14ac:dyDescent="0.25">
      <c r="B146" s="5"/>
      <c r="C146" s="4" t="s">
        <v>2</v>
      </c>
      <c r="D146" s="25">
        <v>163920.78626666669</v>
      </c>
      <c r="E146" s="14"/>
      <c r="F146" s="6"/>
      <c r="G146" s="15"/>
      <c r="H146" s="100">
        <f t="shared" si="6"/>
        <v>163920.78626666669</v>
      </c>
      <c r="I146" s="13">
        <v>163920.78626666669</v>
      </c>
      <c r="J146" s="1">
        <f t="shared" si="7"/>
        <v>0</v>
      </c>
      <c r="L146" s="29">
        <v>1986</v>
      </c>
      <c r="M146" s="29" t="s">
        <v>35</v>
      </c>
      <c r="N146" s="30">
        <v>33915.173669999996</v>
      </c>
      <c r="O146" s="31">
        <f t="shared" si="8"/>
        <v>32967.444263333331</v>
      </c>
    </row>
    <row r="147" spans="2:15" ht="15.75" x14ac:dyDescent="0.25">
      <c r="B147" s="5"/>
      <c r="C147" s="4" t="s">
        <v>3</v>
      </c>
      <c r="D147" s="25">
        <v>167164.22016666667</v>
      </c>
      <c r="E147" s="14"/>
      <c r="F147" s="6"/>
      <c r="G147" s="15"/>
      <c r="H147" s="100">
        <f t="shared" si="6"/>
        <v>167164.22016666667</v>
      </c>
      <c r="I147" s="13">
        <v>167164.22016666667</v>
      </c>
      <c r="J147" s="1">
        <f t="shared" si="7"/>
        <v>0</v>
      </c>
      <c r="L147" s="29">
        <v>1986</v>
      </c>
      <c r="M147" s="29" t="s">
        <v>36</v>
      </c>
      <c r="N147" s="30">
        <v>33915.173669999996</v>
      </c>
      <c r="O147" s="31">
        <f t="shared" si="8"/>
        <v>33441.308966666664</v>
      </c>
    </row>
    <row r="148" spans="2:15" ht="15.75" x14ac:dyDescent="0.25">
      <c r="B148" s="5">
        <v>2010</v>
      </c>
      <c r="C148" s="4" t="s">
        <v>0</v>
      </c>
      <c r="D148" s="25">
        <v>167744.85430000001</v>
      </c>
      <c r="E148" s="14"/>
      <c r="F148" s="6"/>
      <c r="G148" s="15"/>
      <c r="H148" s="100">
        <f t="shared" si="6"/>
        <v>167744.85430000001</v>
      </c>
      <c r="I148" s="13">
        <v>167744.85430000001</v>
      </c>
      <c r="J148" s="1">
        <f t="shared" si="7"/>
        <v>0</v>
      </c>
      <c r="L148" s="29">
        <v>1986</v>
      </c>
      <c r="M148" s="29" t="s">
        <v>37</v>
      </c>
      <c r="N148" s="30">
        <v>33915.173669999996</v>
      </c>
      <c r="O148" s="31">
        <f t="shared" si="8"/>
        <v>33915.173669999996</v>
      </c>
    </row>
    <row r="149" spans="2:15" ht="15.75" x14ac:dyDescent="0.25">
      <c r="B149" s="5"/>
      <c r="C149" s="4" t="s">
        <v>1</v>
      </c>
      <c r="D149" s="25">
        <v>170854.11750000002</v>
      </c>
      <c r="E149" s="14"/>
      <c r="F149" s="6"/>
      <c r="G149" s="15"/>
      <c r="H149" s="100">
        <f t="shared" si="6"/>
        <v>170854.11750000002</v>
      </c>
      <c r="I149" s="13">
        <v>170854.11750000002</v>
      </c>
      <c r="J149" s="1">
        <f t="shared" si="7"/>
        <v>0</v>
      </c>
      <c r="L149" s="29">
        <v>1986</v>
      </c>
      <c r="M149" s="29" t="s">
        <v>38</v>
      </c>
      <c r="N149" s="30">
        <v>34930.598030000001</v>
      </c>
      <c r="O149" s="31">
        <f t="shared" si="8"/>
        <v>34253.64845666667</v>
      </c>
    </row>
    <row r="150" spans="2:15" ht="15.75" x14ac:dyDescent="0.25">
      <c r="B150" s="5"/>
      <c r="C150" s="4" t="s">
        <v>2</v>
      </c>
      <c r="D150" s="25">
        <v>173272.20293333332</v>
      </c>
      <c r="E150" s="14"/>
      <c r="F150" s="6"/>
      <c r="G150" s="15"/>
      <c r="H150" s="100">
        <f t="shared" si="6"/>
        <v>173272.20293333332</v>
      </c>
      <c r="I150" s="13">
        <v>173272.20293333332</v>
      </c>
      <c r="J150" s="1">
        <f t="shared" si="7"/>
        <v>0</v>
      </c>
      <c r="L150" s="29">
        <v>1986</v>
      </c>
      <c r="M150" s="29" t="s">
        <v>39</v>
      </c>
      <c r="N150" s="30">
        <v>34930.598030000001</v>
      </c>
      <c r="O150" s="31">
        <f t="shared" si="8"/>
        <v>34592.123243333335</v>
      </c>
    </row>
    <row r="151" spans="2:15" ht="15.75" x14ac:dyDescent="0.25">
      <c r="B151" s="5"/>
      <c r="C151" s="4" t="s">
        <v>3</v>
      </c>
      <c r="D151" s="25">
        <v>169586.86313333336</v>
      </c>
      <c r="E151" s="14"/>
      <c r="F151" s="6"/>
      <c r="G151" s="15"/>
      <c r="H151" s="100">
        <f t="shared" si="6"/>
        <v>169586.86313333336</v>
      </c>
      <c r="I151" s="13">
        <v>169586.86313333336</v>
      </c>
      <c r="J151" s="1">
        <f t="shared" si="7"/>
        <v>0</v>
      </c>
      <c r="L151" s="29">
        <v>1986</v>
      </c>
      <c r="M151" s="29" t="s">
        <v>40</v>
      </c>
      <c r="N151" s="30">
        <v>34930.598030000001</v>
      </c>
      <c r="O151" s="31">
        <f t="shared" si="8"/>
        <v>34930.598030000001</v>
      </c>
    </row>
    <row r="152" spans="2:15" ht="15.75" x14ac:dyDescent="0.25">
      <c r="B152" s="5">
        <v>2011</v>
      </c>
      <c r="C152" s="4" t="s">
        <v>0</v>
      </c>
      <c r="D152" s="25">
        <v>166454.64619999999</v>
      </c>
      <c r="E152" s="14"/>
      <c r="F152" s="6"/>
      <c r="G152" s="15"/>
      <c r="H152" s="100">
        <f t="shared" si="6"/>
        <v>166454.64619999999</v>
      </c>
      <c r="I152" s="13">
        <v>166454.64619999999</v>
      </c>
      <c r="J152" s="1">
        <f t="shared" si="7"/>
        <v>0</v>
      </c>
      <c r="L152" s="29">
        <v>1987</v>
      </c>
      <c r="M152" s="29" t="s">
        <v>29</v>
      </c>
      <c r="N152" s="30">
        <v>35946.022389999998</v>
      </c>
      <c r="O152" s="31">
        <f t="shared" si="8"/>
        <v>35269.072816666667</v>
      </c>
    </row>
    <row r="153" spans="2:15" ht="15.75" x14ac:dyDescent="0.25">
      <c r="B153" s="5"/>
      <c r="C153" s="4" t="s">
        <v>1</v>
      </c>
      <c r="D153" s="25">
        <v>167813.5612</v>
      </c>
      <c r="E153" s="14"/>
      <c r="F153" s="12"/>
      <c r="G153" s="15"/>
      <c r="H153" s="100">
        <f t="shared" si="6"/>
        <v>167813.5612</v>
      </c>
      <c r="I153" s="13">
        <v>167813.5612</v>
      </c>
      <c r="J153" s="1">
        <f t="shared" si="7"/>
        <v>0</v>
      </c>
      <c r="L153" s="29">
        <v>1987</v>
      </c>
      <c r="M153" s="29" t="s">
        <v>30</v>
      </c>
      <c r="N153" s="30">
        <v>35946.022389999998</v>
      </c>
      <c r="O153" s="31">
        <f t="shared" si="8"/>
        <v>35607.547603333333</v>
      </c>
    </row>
    <row r="154" spans="2:15" ht="15.75" x14ac:dyDescent="0.25">
      <c r="B154" s="5"/>
      <c r="C154" s="4" t="s">
        <v>2</v>
      </c>
      <c r="D154" s="25">
        <v>169792.46716666667</v>
      </c>
      <c r="E154" s="14"/>
      <c r="F154" s="12"/>
      <c r="G154" s="15"/>
      <c r="H154" s="100">
        <f t="shared" si="6"/>
        <v>169792.46716666667</v>
      </c>
      <c r="I154" s="13">
        <v>169792.46716666667</v>
      </c>
      <c r="J154" s="1">
        <f t="shared" si="7"/>
        <v>0</v>
      </c>
      <c r="L154" s="29">
        <v>1987</v>
      </c>
      <c r="M154" s="29" t="s">
        <v>31</v>
      </c>
      <c r="N154" s="30">
        <v>35946.022389999998</v>
      </c>
      <c r="O154" s="31">
        <f t="shared" si="8"/>
        <v>35946.022389999998</v>
      </c>
    </row>
    <row r="155" spans="2:15" ht="15.75" x14ac:dyDescent="0.25">
      <c r="B155" s="5"/>
      <c r="C155" s="4" t="s">
        <v>3</v>
      </c>
      <c r="D155" s="25">
        <v>167492.60879999999</v>
      </c>
      <c r="E155" s="14"/>
      <c r="F155" s="12"/>
      <c r="G155" s="15"/>
      <c r="H155" s="100">
        <f t="shared" si="6"/>
        <v>167492.60879999999</v>
      </c>
      <c r="I155" s="13">
        <v>167492.60879999999</v>
      </c>
      <c r="J155" s="1">
        <f t="shared" si="7"/>
        <v>0</v>
      </c>
      <c r="L155" s="29">
        <v>1987</v>
      </c>
      <c r="M155" s="29" t="s">
        <v>32</v>
      </c>
      <c r="N155" s="30">
        <v>37570.701370000002</v>
      </c>
      <c r="O155" s="31">
        <f t="shared" si="8"/>
        <v>36487.582049999997</v>
      </c>
    </row>
    <row r="156" spans="2:15" ht="15.75" x14ac:dyDescent="0.25">
      <c r="B156" s="5">
        <v>2012</v>
      </c>
      <c r="C156" s="4" t="s">
        <v>0</v>
      </c>
      <c r="D156" s="25">
        <v>165770.9627</v>
      </c>
      <c r="E156" s="14"/>
      <c r="F156" s="12"/>
      <c r="G156" s="15"/>
      <c r="H156" s="100">
        <f t="shared" si="6"/>
        <v>165770.9627</v>
      </c>
      <c r="I156" s="13">
        <v>165770.9627</v>
      </c>
      <c r="J156" s="1">
        <f t="shared" si="7"/>
        <v>0</v>
      </c>
      <c r="L156" s="29">
        <v>1987</v>
      </c>
      <c r="M156" s="29" t="s">
        <v>33</v>
      </c>
      <c r="N156" s="30">
        <v>37570.701370000002</v>
      </c>
      <c r="O156" s="31">
        <f t="shared" si="8"/>
        <v>37029.141709999996</v>
      </c>
    </row>
    <row r="157" spans="2:15" ht="15.75" x14ac:dyDescent="0.25">
      <c r="B157" s="5"/>
      <c r="C157" s="4" t="s">
        <v>1</v>
      </c>
      <c r="D157" s="25">
        <v>168766.18389999997</v>
      </c>
      <c r="E157" s="14"/>
      <c r="F157" s="12"/>
      <c r="G157" s="15"/>
      <c r="H157" s="100">
        <f t="shared" si="6"/>
        <v>168766.18389999997</v>
      </c>
      <c r="I157" s="13">
        <v>168766.18389999997</v>
      </c>
      <c r="J157" s="1">
        <f t="shared" si="7"/>
        <v>0</v>
      </c>
      <c r="L157" s="29">
        <v>1987</v>
      </c>
      <c r="M157" s="29" t="s">
        <v>34</v>
      </c>
      <c r="N157" s="30">
        <v>37570.701370000002</v>
      </c>
      <c r="O157" s="31">
        <f t="shared" si="8"/>
        <v>37570.701370000002</v>
      </c>
    </row>
    <row r="158" spans="2:15" ht="15.75" x14ac:dyDescent="0.25">
      <c r="B158" s="5"/>
      <c r="C158" s="4" t="s">
        <v>2</v>
      </c>
      <c r="D158" s="25">
        <v>170632.90113333333</v>
      </c>
      <c r="E158" s="14"/>
      <c r="F158" s="12"/>
      <c r="G158" s="15"/>
      <c r="H158" s="100">
        <f t="shared" si="6"/>
        <v>170632.90113333333</v>
      </c>
      <c r="I158" s="13">
        <v>170632.90113333333</v>
      </c>
      <c r="J158" s="1">
        <f t="shared" si="7"/>
        <v>0</v>
      </c>
      <c r="L158" s="29">
        <v>1987</v>
      </c>
      <c r="M158" s="29" t="s">
        <v>35</v>
      </c>
      <c r="N158" s="30">
        <v>39398.465219999998</v>
      </c>
      <c r="O158" s="31">
        <f t="shared" si="8"/>
        <v>38179.955986666668</v>
      </c>
    </row>
    <row r="159" spans="2:15" ht="15.75" x14ac:dyDescent="0.25">
      <c r="B159" s="5"/>
      <c r="C159" s="4" t="s">
        <v>3</v>
      </c>
      <c r="D159" s="25">
        <v>169053.20413333332</v>
      </c>
      <c r="E159" s="14"/>
      <c r="F159" s="12"/>
      <c r="G159" s="15"/>
      <c r="H159" s="100">
        <f t="shared" si="6"/>
        <v>169053.20413333332</v>
      </c>
      <c r="I159" s="13">
        <v>169053.20413333332</v>
      </c>
      <c r="J159" s="1">
        <f t="shared" si="7"/>
        <v>0</v>
      </c>
      <c r="L159" s="29">
        <v>1987</v>
      </c>
      <c r="M159" s="29" t="s">
        <v>36</v>
      </c>
      <c r="N159" s="30">
        <v>39398.465219999998</v>
      </c>
      <c r="O159" s="31">
        <f t="shared" si="8"/>
        <v>38789.210603333333</v>
      </c>
    </row>
    <row r="160" spans="2:15" ht="15.75" x14ac:dyDescent="0.25">
      <c r="B160" s="5">
        <v>2013</v>
      </c>
      <c r="C160" s="4" t="s">
        <v>0</v>
      </c>
      <c r="D160" s="25">
        <v>168026.50760000001</v>
      </c>
      <c r="E160" s="14"/>
      <c r="F160" s="12"/>
      <c r="G160" s="15"/>
      <c r="H160" s="100">
        <f t="shared" si="6"/>
        <v>168026.50760000001</v>
      </c>
      <c r="I160" s="13">
        <v>168026.50760000001</v>
      </c>
      <c r="J160" s="1">
        <f t="shared" si="7"/>
        <v>0</v>
      </c>
      <c r="L160" s="29">
        <v>1987</v>
      </c>
      <c r="M160" s="29" t="s">
        <v>37</v>
      </c>
      <c r="N160" s="30">
        <v>39398.465219999998</v>
      </c>
      <c r="O160" s="31">
        <f t="shared" si="8"/>
        <v>39398.465219999998</v>
      </c>
    </row>
    <row r="161" spans="2:15" ht="15.75" x14ac:dyDescent="0.25">
      <c r="B161" s="5"/>
      <c r="C161" s="4" t="s">
        <v>1</v>
      </c>
      <c r="D161" s="25">
        <v>171407.87763333332</v>
      </c>
      <c r="E161" s="14"/>
      <c r="F161" s="12"/>
      <c r="G161" s="15"/>
      <c r="H161" s="100">
        <f t="shared" si="6"/>
        <v>171407.87763333332</v>
      </c>
      <c r="I161" s="13">
        <v>171407.87763333332</v>
      </c>
      <c r="J161" s="1">
        <f t="shared" si="7"/>
        <v>0</v>
      </c>
      <c r="L161" s="29">
        <v>1987</v>
      </c>
      <c r="M161" s="29" t="s">
        <v>38</v>
      </c>
      <c r="N161" s="30">
        <v>41731.767119999997</v>
      </c>
      <c r="O161" s="31">
        <f t="shared" si="8"/>
        <v>40176.232519999998</v>
      </c>
    </row>
    <row r="162" spans="2:15" ht="15.75" x14ac:dyDescent="0.25">
      <c r="B162" s="5"/>
      <c r="C162" s="4" t="s">
        <v>2</v>
      </c>
      <c r="D162" s="25">
        <v>175557.46043333333</v>
      </c>
      <c r="E162" s="14"/>
      <c r="F162" s="12"/>
      <c r="G162" s="15"/>
      <c r="H162" s="100">
        <f t="shared" si="6"/>
        <v>175557.46043333333</v>
      </c>
      <c r="I162" s="13">
        <v>175557.46043333333</v>
      </c>
      <c r="J162" s="1">
        <f t="shared" si="7"/>
        <v>0</v>
      </c>
      <c r="L162" s="29">
        <v>1987</v>
      </c>
      <c r="M162" s="29" t="s">
        <v>39</v>
      </c>
      <c r="N162" s="30">
        <v>41731.767119999997</v>
      </c>
      <c r="O162" s="31">
        <f t="shared" si="8"/>
        <v>40953.999819999997</v>
      </c>
    </row>
    <row r="163" spans="2:15" ht="15.75" x14ac:dyDescent="0.25">
      <c r="B163" s="5"/>
      <c r="C163" s="4" t="s">
        <v>3</v>
      </c>
      <c r="D163" s="25">
        <v>176566.86493333333</v>
      </c>
      <c r="E163" s="14"/>
      <c r="F163" s="12"/>
      <c r="G163" s="15"/>
      <c r="H163" s="100">
        <f t="shared" si="6"/>
        <v>176566.86493333333</v>
      </c>
      <c r="I163" s="13">
        <v>176566.86493333333</v>
      </c>
      <c r="J163" s="1">
        <f t="shared" si="7"/>
        <v>0</v>
      </c>
      <c r="L163" s="29">
        <v>1987</v>
      </c>
      <c r="M163" s="29" t="s">
        <v>40</v>
      </c>
      <c r="N163" s="30">
        <v>41731.767119999997</v>
      </c>
      <c r="O163" s="31">
        <f t="shared" si="8"/>
        <v>41731.767119999997</v>
      </c>
    </row>
    <row r="164" spans="2:15" ht="15.75" x14ac:dyDescent="0.25">
      <c r="B164" s="5">
        <v>2014</v>
      </c>
      <c r="C164" s="4" t="s">
        <v>0</v>
      </c>
      <c r="D164" s="25">
        <v>178880.16086666667</v>
      </c>
      <c r="E164" s="14"/>
      <c r="F164" s="12"/>
      <c r="G164" s="15"/>
      <c r="H164" s="100">
        <f t="shared" si="6"/>
        <v>178880.16086666667</v>
      </c>
      <c r="I164" s="13">
        <v>178880.16086666667</v>
      </c>
      <c r="J164" s="1">
        <f t="shared" si="7"/>
        <v>0</v>
      </c>
      <c r="L164" s="29">
        <v>1988</v>
      </c>
      <c r="M164" s="29" t="s">
        <v>29</v>
      </c>
      <c r="N164" s="30">
        <v>43482.750350000002</v>
      </c>
      <c r="O164" s="31">
        <f t="shared" si="8"/>
        <v>42315.428196666668</v>
      </c>
    </row>
    <row r="165" spans="2:15" ht="15.75" x14ac:dyDescent="0.25">
      <c r="B165" s="7"/>
      <c r="C165" s="4" t="s">
        <v>1</v>
      </c>
      <c r="D165" s="25">
        <v>185361.86176666667</v>
      </c>
      <c r="E165" s="14"/>
      <c r="F165" s="12"/>
      <c r="G165" s="15"/>
      <c r="H165" s="100">
        <f t="shared" si="6"/>
        <v>185361.86176666667</v>
      </c>
      <c r="I165" s="13">
        <v>185361.86176666667</v>
      </c>
      <c r="J165" s="1">
        <f t="shared" si="7"/>
        <v>0</v>
      </c>
      <c r="L165" s="29">
        <v>1988</v>
      </c>
      <c r="M165" s="29" t="s">
        <v>30</v>
      </c>
      <c r="N165" s="30">
        <v>43482.750350000002</v>
      </c>
      <c r="O165" s="31">
        <f t="shared" si="8"/>
        <v>42899.089273333331</v>
      </c>
    </row>
    <row r="166" spans="2:15" ht="15.75" x14ac:dyDescent="0.25">
      <c r="B166" s="8"/>
      <c r="C166" s="9" t="s">
        <v>2</v>
      </c>
      <c r="D166" s="25">
        <v>191259.80543333336</v>
      </c>
      <c r="E166" s="14"/>
      <c r="F166" s="12"/>
      <c r="G166" s="15"/>
      <c r="H166" s="100">
        <f t="shared" si="6"/>
        <v>191259.80543333336</v>
      </c>
      <c r="I166" s="13">
        <v>191259.80543333336</v>
      </c>
      <c r="J166" s="1">
        <f t="shared" si="7"/>
        <v>0</v>
      </c>
      <c r="L166" s="29">
        <v>1988</v>
      </c>
      <c r="M166" s="29" t="s">
        <v>31</v>
      </c>
      <c r="N166" s="30">
        <v>43482.750350000002</v>
      </c>
      <c r="O166" s="31">
        <f t="shared" si="8"/>
        <v>43482.750350000002</v>
      </c>
    </row>
    <row r="167" spans="2:15" ht="15.75" x14ac:dyDescent="0.25">
      <c r="B167" s="8"/>
      <c r="C167" s="8" t="s">
        <v>3</v>
      </c>
      <c r="D167" s="25">
        <v>191577.69440000001</v>
      </c>
      <c r="E167" s="14"/>
      <c r="F167" s="12"/>
      <c r="G167" s="15"/>
      <c r="H167" s="100">
        <f t="shared" si="6"/>
        <v>191577.69440000001</v>
      </c>
      <c r="I167" s="13">
        <v>191577.69440000001</v>
      </c>
      <c r="J167" s="1">
        <f t="shared" si="7"/>
        <v>0</v>
      </c>
      <c r="L167" s="29">
        <v>1988</v>
      </c>
      <c r="M167" s="29" t="s">
        <v>32</v>
      </c>
      <c r="N167" s="30">
        <v>46109.225209999997</v>
      </c>
      <c r="O167" s="31">
        <f t="shared" si="8"/>
        <v>44358.241970000003</v>
      </c>
    </row>
    <row r="168" spans="2:15" ht="15.75" x14ac:dyDescent="0.25">
      <c r="B168" s="8">
        <v>2015</v>
      </c>
      <c r="C168" s="26" t="s">
        <v>0</v>
      </c>
      <c r="D168" s="27">
        <v>191009.76840000003</v>
      </c>
      <c r="E168" s="14"/>
      <c r="F168" s="12"/>
      <c r="G168" s="15"/>
      <c r="H168" s="100">
        <f t="shared" si="6"/>
        <v>191009.76840000003</v>
      </c>
      <c r="I168" s="13">
        <v>191009.76116666666</v>
      </c>
      <c r="J168" s="1">
        <f t="shared" si="7"/>
        <v>7.2333333664573729E-3</v>
      </c>
      <c r="L168" s="29">
        <v>1988</v>
      </c>
      <c r="M168" s="29" t="s">
        <v>33</v>
      </c>
      <c r="N168" s="30">
        <v>46109.225209999997</v>
      </c>
      <c r="O168" s="31">
        <f t="shared" si="8"/>
        <v>45233.733589999996</v>
      </c>
    </row>
    <row r="169" spans="2:15" ht="15.75" x14ac:dyDescent="0.25">
      <c r="B169" s="8"/>
      <c r="C169" s="26" t="s">
        <v>1</v>
      </c>
      <c r="D169" s="27">
        <v>195113.43346666664</v>
      </c>
      <c r="E169" s="14"/>
      <c r="F169" s="12"/>
      <c r="G169" s="15"/>
      <c r="H169" s="100">
        <f t="shared" si="6"/>
        <v>195113.43346666664</v>
      </c>
      <c r="I169" s="13">
        <v>195113.42616666667</v>
      </c>
      <c r="J169" s="1">
        <f t="shared" si="7"/>
        <v>7.2999999683815986E-3</v>
      </c>
      <c r="L169" s="29">
        <v>1988</v>
      </c>
      <c r="M169" s="29" t="s">
        <v>34</v>
      </c>
      <c r="N169" s="30">
        <v>46109.225209999997</v>
      </c>
      <c r="O169" s="31">
        <f t="shared" si="8"/>
        <v>46109.225209999997</v>
      </c>
    </row>
    <row r="170" spans="2:15" ht="15.75" x14ac:dyDescent="0.25">
      <c r="B170" s="8"/>
      <c r="C170" s="26" t="s">
        <v>2</v>
      </c>
      <c r="D170" s="27">
        <v>201501.21843333333</v>
      </c>
      <c r="E170" s="14"/>
      <c r="F170" s="12"/>
      <c r="G170" s="15"/>
      <c r="H170" s="100">
        <f t="shared" si="6"/>
        <v>201501.21843333333</v>
      </c>
      <c r="I170" s="13">
        <v>201501.2108</v>
      </c>
      <c r="J170" s="1">
        <f t="shared" si="7"/>
        <v>7.6333333272486925E-3</v>
      </c>
      <c r="L170" s="29">
        <v>1988</v>
      </c>
      <c r="M170" s="29" t="s">
        <v>35</v>
      </c>
      <c r="N170" s="30">
        <v>52237.666530000002</v>
      </c>
      <c r="O170" s="31">
        <f t="shared" si="8"/>
        <v>48152.038983333332</v>
      </c>
    </row>
    <row r="171" spans="2:15" ht="15.75" x14ac:dyDescent="0.25">
      <c r="B171" s="8"/>
      <c r="C171" s="26" t="s">
        <v>3</v>
      </c>
      <c r="D171" s="27">
        <v>203935.94043333331</v>
      </c>
      <c r="E171" s="14"/>
      <c r="F171" s="12"/>
      <c r="G171" s="15"/>
      <c r="H171" s="100">
        <f t="shared" si="6"/>
        <v>203935.94043333331</v>
      </c>
      <c r="I171" s="13">
        <v>203935.93266666666</v>
      </c>
      <c r="J171" s="1">
        <f t="shared" si="7"/>
        <v>7.7666666475124657E-3</v>
      </c>
      <c r="L171" s="29">
        <v>1988</v>
      </c>
      <c r="M171" s="29" t="s">
        <v>36</v>
      </c>
      <c r="N171" s="30">
        <v>52237.666530000002</v>
      </c>
      <c r="O171" s="31">
        <f t="shared" si="8"/>
        <v>50194.85275666666</v>
      </c>
    </row>
    <row r="172" spans="2:15" ht="15.75" x14ac:dyDescent="0.25">
      <c r="B172" s="8">
        <v>2016</v>
      </c>
      <c r="C172" s="26" t="s">
        <v>0</v>
      </c>
      <c r="D172" s="27">
        <v>206228.9553</v>
      </c>
      <c r="E172" s="14"/>
      <c r="F172" s="12"/>
      <c r="G172" s="15"/>
      <c r="H172" s="100">
        <f t="shared" si="6"/>
        <v>206228.9553</v>
      </c>
      <c r="I172" s="13">
        <v>206130.2794</v>
      </c>
      <c r="J172" s="1">
        <f t="shared" si="7"/>
        <v>98.675900000002002</v>
      </c>
      <c r="L172" s="29">
        <v>1988</v>
      </c>
      <c r="M172" s="29" t="s">
        <v>37</v>
      </c>
      <c r="N172" s="30">
        <v>52237.666530000002</v>
      </c>
      <c r="O172" s="31">
        <f t="shared" si="8"/>
        <v>52237.66653000001</v>
      </c>
    </row>
    <row r="173" spans="2:15" ht="15.75" x14ac:dyDescent="0.25">
      <c r="B173" s="8"/>
      <c r="C173" s="26" t="s">
        <v>1</v>
      </c>
      <c r="D173" s="27">
        <v>210734.05893333335</v>
      </c>
      <c r="E173" s="14"/>
      <c r="F173" s="12"/>
      <c r="G173" s="15"/>
      <c r="H173" s="100">
        <f t="shared" si="6"/>
        <v>210734.05893333335</v>
      </c>
      <c r="I173" s="13">
        <v>210734.05386666665</v>
      </c>
      <c r="J173" s="1">
        <f t="shared" si="7"/>
        <v>5.0666666938923299E-3</v>
      </c>
      <c r="L173" s="29">
        <v>1988</v>
      </c>
      <c r="M173" s="29" t="s">
        <v>38</v>
      </c>
      <c r="N173" s="30">
        <v>55447.802459999999</v>
      </c>
      <c r="O173" s="31">
        <f t="shared" si="8"/>
        <v>53307.711840000004</v>
      </c>
    </row>
    <row r="174" spans="2:15" ht="15.75" x14ac:dyDescent="0.25">
      <c r="B174" s="8"/>
      <c r="C174" s="26" t="s">
        <v>2</v>
      </c>
      <c r="D174" s="27">
        <v>215029.3915</v>
      </c>
      <c r="E174" s="14"/>
      <c r="F174" s="12"/>
      <c r="G174" s="15"/>
      <c r="H174" s="100">
        <f t="shared" si="6"/>
        <v>215029.3915</v>
      </c>
      <c r="I174" s="13">
        <v>215029.3805</v>
      </c>
      <c r="J174" s="1">
        <f t="shared" si="7"/>
        <v>1.0999999998603016E-2</v>
      </c>
      <c r="L174" s="29">
        <v>1988</v>
      </c>
      <c r="M174" s="29" t="s">
        <v>39</v>
      </c>
      <c r="N174" s="30">
        <v>55447.802459999999</v>
      </c>
      <c r="O174" s="31">
        <f t="shared" si="8"/>
        <v>54377.757149999998</v>
      </c>
    </row>
    <row r="175" spans="2:15" ht="15.75" x14ac:dyDescent="0.25">
      <c r="B175" s="8"/>
      <c r="C175" s="26" t="s">
        <v>3</v>
      </c>
      <c r="D175" s="27">
        <v>214906.57380000001</v>
      </c>
      <c r="E175" s="14"/>
      <c r="F175" s="12"/>
      <c r="G175" s="15"/>
      <c r="H175" s="100">
        <f t="shared" si="6"/>
        <v>214906.57380000001</v>
      </c>
      <c r="I175" s="13">
        <v>214906.56863333331</v>
      </c>
      <c r="J175" s="1">
        <f t="shared" si="7"/>
        <v>5.1666666986420751E-3</v>
      </c>
      <c r="L175" s="29">
        <v>1988</v>
      </c>
      <c r="M175" s="29" t="s">
        <v>40</v>
      </c>
      <c r="N175" s="30">
        <v>55447.802459999999</v>
      </c>
      <c r="O175" s="31">
        <f t="shared" si="8"/>
        <v>55447.802459999999</v>
      </c>
    </row>
    <row r="176" spans="2:15" ht="15.75" x14ac:dyDescent="0.25">
      <c r="B176" s="8">
        <v>2017</v>
      </c>
      <c r="C176" s="26" t="s">
        <v>0</v>
      </c>
      <c r="D176" s="27">
        <v>215392.12933333335</v>
      </c>
      <c r="E176" s="14"/>
      <c r="F176" s="12"/>
      <c r="G176" s="10"/>
      <c r="H176" s="100">
        <f t="shared" si="6"/>
        <v>215392.12933333335</v>
      </c>
      <c r="I176" s="13">
        <v>215233.48843333335</v>
      </c>
      <c r="J176" s="1">
        <f t="shared" si="7"/>
        <v>158.64089999999851</v>
      </c>
      <c r="L176" s="29">
        <v>1989</v>
      </c>
      <c r="M176" s="29" t="s">
        <v>29</v>
      </c>
      <c r="N176" s="30">
        <v>56615.124620000002</v>
      </c>
      <c r="O176" s="31">
        <f t="shared" si="8"/>
        <v>55836.909846666669</v>
      </c>
    </row>
    <row r="177" spans="2:15" ht="15.75" x14ac:dyDescent="0.25">
      <c r="B177" s="8"/>
      <c r="C177" s="26" t="s">
        <v>1</v>
      </c>
      <c r="D177" s="27">
        <v>220142.91196666667</v>
      </c>
      <c r="E177" s="14"/>
      <c r="F177" s="12"/>
      <c r="G177" s="10"/>
      <c r="H177" s="100">
        <f t="shared" si="6"/>
        <v>220142.91196666667</v>
      </c>
      <c r="I177" s="13">
        <v>219980.77399999998</v>
      </c>
      <c r="J177" s="1">
        <f t="shared" si="7"/>
        <v>162.13796666669077</v>
      </c>
      <c r="L177" s="29">
        <v>1989</v>
      </c>
      <c r="M177" s="29" t="s">
        <v>30</v>
      </c>
      <c r="N177" s="30">
        <v>56615.124620000002</v>
      </c>
      <c r="O177" s="31">
        <f t="shared" si="8"/>
        <v>56226.017233333339</v>
      </c>
    </row>
    <row r="178" spans="2:15" ht="15.75" x14ac:dyDescent="0.25">
      <c r="B178" s="8"/>
      <c r="C178" s="26" t="s">
        <v>2</v>
      </c>
      <c r="D178" s="27">
        <v>225117.4415333333</v>
      </c>
      <c r="E178" s="14"/>
      <c r="F178" s="12"/>
      <c r="G178" s="10"/>
      <c r="H178" s="100">
        <f t="shared" si="6"/>
        <v>225117.4415333333</v>
      </c>
      <c r="I178" s="13">
        <v>224951.63269999999</v>
      </c>
      <c r="J178" s="1">
        <f t="shared" si="7"/>
        <v>165.8088333333144</v>
      </c>
      <c r="L178" s="29">
        <v>1989</v>
      </c>
      <c r="M178" s="29" t="s">
        <v>31</v>
      </c>
      <c r="N178" s="30">
        <v>56615.124620000002</v>
      </c>
      <c r="O178" s="31">
        <f t="shared" si="8"/>
        <v>56615.124619999995</v>
      </c>
    </row>
    <row r="179" spans="2:15" ht="15.75" x14ac:dyDescent="0.25">
      <c r="B179" s="8"/>
      <c r="C179" s="26" t="s">
        <v>3</v>
      </c>
      <c r="D179" s="27">
        <v>224958.32523333331</v>
      </c>
      <c r="E179" s="14"/>
      <c r="F179" s="12"/>
      <c r="G179" s="10"/>
      <c r="H179" s="100">
        <f t="shared" si="6"/>
        <v>224958.32523333331</v>
      </c>
      <c r="I179" s="13">
        <v>224792.6335</v>
      </c>
      <c r="J179" s="1">
        <f t="shared" si="7"/>
        <v>165.69173333331128</v>
      </c>
      <c r="L179" s="29">
        <v>1989</v>
      </c>
      <c r="M179" s="29" t="s">
        <v>32</v>
      </c>
      <c r="N179" s="30">
        <v>58657.938390000003</v>
      </c>
      <c r="O179" s="31">
        <f t="shared" si="8"/>
        <v>57296.062543333333</v>
      </c>
    </row>
    <row r="180" spans="2:15" ht="15.75" x14ac:dyDescent="0.25">
      <c r="B180" s="8">
        <v>2018</v>
      </c>
      <c r="C180" s="26" t="s">
        <v>0</v>
      </c>
      <c r="D180" s="27">
        <v>224482.37569999998</v>
      </c>
      <c r="E180" s="14"/>
      <c r="F180" s="12"/>
      <c r="G180" s="10"/>
      <c r="H180" s="100">
        <f t="shared" si="6"/>
        <v>224482.37569999998</v>
      </c>
      <c r="I180" s="13">
        <v>224318.75836666665</v>
      </c>
      <c r="J180" s="1">
        <f t="shared" si="7"/>
        <v>163.61733333332813</v>
      </c>
      <c r="L180" s="29">
        <v>1989</v>
      </c>
      <c r="M180" s="29" t="s">
        <v>33</v>
      </c>
      <c r="N180" s="30">
        <v>58657.938390000003</v>
      </c>
      <c r="O180" s="31">
        <f t="shared" si="8"/>
        <v>57977.000466666672</v>
      </c>
    </row>
    <row r="181" spans="2:15" ht="15.75" x14ac:dyDescent="0.25">
      <c r="B181" s="8"/>
      <c r="C181" s="26" t="s">
        <v>1</v>
      </c>
      <c r="D181" s="27">
        <v>227033.12143333335</v>
      </c>
      <c r="E181" s="14"/>
      <c r="F181" s="12"/>
      <c r="G181" s="10"/>
      <c r="H181" s="100">
        <f t="shared" si="6"/>
        <v>227033.12143333335</v>
      </c>
      <c r="I181" s="13">
        <v>226911.91433333335</v>
      </c>
      <c r="J181" s="1">
        <f t="shared" si="7"/>
        <v>121.20709999999963</v>
      </c>
      <c r="L181" s="29">
        <v>1989</v>
      </c>
      <c r="M181" s="29" t="s">
        <v>34</v>
      </c>
      <c r="N181" s="30">
        <v>58657.938390000003</v>
      </c>
      <c r="O181" s="31">
        <f t="shared" si="8"/>
        <v>58657.938390000003</v>
      </c>
    </row>
    <row r="182" spans="2:15" ht="15.75" x14ac:dyDescent="0.25">
      <c r="B182" s="8"/>
      <c r="C182" s="26" t="s">
        <v>2</v>
      </c>
      <c r="D182" s="27">
        <v>231512.98936666665</v>
      </c>
      <c r="E182" s="14"/>
      <c r="F182" s="12"/>
      <c r="G182" s="10"/>
      <c r="H182" s="100">
        <f t="shared" si="6"/>
        <v>231512.98936666665</v>
      </c>
      <c r="I182" s="13">
        <v>231555.3439666667</v>
      </c>
      <c r="J182" s="1">
        <f t="shared" si="7"/>
        <v>-42.354600000049686</v>
      </c>
      <c r="L182" s="29">
        <v>1989</v>
      </c>
      <c r="M182" s="29" t="s">
        <v>35</v>
      </c>
      <c r="N182" s="30">
        <v>60700.75217</v>
      </c>
      <c r="O182" s="31">
        <f t="shared" si="8"/>
        <v>59338.876316666669</v>
      </c>
    </row>
    <row r="183" spans="2:15" ht="15.75" x14ac:dyDescent="0.25">
      <c r="B183" s="8"/>
      <c r="C183" s="26" t="s">
        <v>3</v>
      </c>
      <c r="D183" s="27">
        <v>230388.26426666669</v>
      </c>
      <c r="E183" s="14"/>
      <c r="F183" s="12"/>
      <c r="G183" s="10"/>
      <c r="H183" s="100">
        <f t="shared" si="6"/>
        <v>230388.26426666669</v>
      </c>
      <c r="I183" s="13">
        <v>230425.68653333336</v>
      </c>
      <c r="J183" s="1">
        <f t="shared" si="7"/>
        <v>-37.422266666661017</v>
      </c>
      <c r="L183" s="29">
        <v>1989</v>
      </c>
      <c r="M183" s="29" t="s">
        <v>36</v>
      </c>
      <c r="N183" s="30">
        <v>60700.75217</v>
      </c>
      <c r="O183" s="31">
        <f t="shared" si="8"/>
        <v>60019.814243333334</v>
      </c>
    </row>
    <row r="184" spans="2:15" ht="15.75" x14ac:dyDescent="0.25">
      <c r="B184">
        <v>2019</v>
      </c>
      <c r="C184" s="8" t="s">
        <v>0</v>
      </c>
      <c r="D184" s="27">
        <v>227718.97306666666</v>
      </c>
      <c r="E184" s="14"/>
      <c r="F184" s="12"/>
      <c r="G184" s="11"/>
      <c r="H184" s="100">
        <f t="shared" si="6"/>
        <v>227718.97306666666</v>
      </c>
      <c r="L184" s="29">
        <v>1989</v>
      </c>
      <c r="M184" s="29" t="s">
        <v>37</v>
      </c>
      <c r="N184" s="30">
        <v>60700.75217</v>
      </c>
      <c r="O184" s="31">
        <f t="shared" si="8"/>
        <v>60700.75217</v>
      </c>
    </row>
    <row r="185" spans="2:15" ht="15.75" x14ac:dyDescent="0.25">
      <c r="C185" s="8" t="s">
        <v>1</v>
      </c>
      <c r="D185" s="25">
        <v>229286.50473333334</v>
      </c>
      <c r="E185" s="14"/>
      <c r="F185" s="12"/>
      <c r="G185" s="11"/>
      <c r="H185" s="100">
        <f t="shared" si="6"/>
        <v>229286.50473333334</v>
      </c>
      <c r="L185" s="29">
        <v>1989</v>
      </c>
      <c r="M185" s="29" t="s">
        <v>38</v>
      </c>
      <c r="N185" s="30">
        <v>59533.430009999996</v>
      </c>
      <c r="O185" s="31">
        <f t="shared" si="8"/>
        <v>60311.64478333333</v>
      </c>
    </row>
    <row r="186" spans="2:15" ht="15.75" x14ac:dyDescent="0.25">
      <c r="C186" s="8" t="s">
        <v>2</v>
      </c>
      <c r="D186" s="25">
        <v>233173.47783333334</v>
      </c>
      <c r="E186" s="12"/>
      <c r="F186" s="12"/>
      <c r="G186" s="11"/>
      <c r="H186" s="100">
        <f t="shared" si="6"/>
        <v>233173.47783333334</v>
      </c>
      <c r="L186" s="29">
        <v>1989</v>
      </c>
      <c r="M186" s="29" t="s">
        <v>39</v>
      </c>
      <c r="N186" s="30">
        <v>59533.430009999996</v>
      </c>
      <c r="O186" s="31">
        <f t="shared" si="8"/>
        <v>59922.537396666674</v>
      </c>
    </row>
    <row r="187" spans="2:15" ht="15.75" x14ac:dyDescent="0.25">
      <c r="C187" s="8" t="s">
        <v>3</v>
      </c>
      <c r="D187" s="25">
        <v>232269.37416666665</v>
      </c>
      <c r="E187" s="12"/>
      <c r="F187" s="12"/>
      <c r="G187" s="11"/>
      <c r="H187" s="100">
        <f t="shared" si="6"/>
        <v>232269.37416666665</v>
      </c>
      <c r="L187" s="29">
        <v>1989</v>
      </c>
      <c r="M187" s="29" t="s">
        <v>40</v>
      </c>
      <c r="N187" s="30">
        <v>59533.430009999996</v>
      </c>
      <c r="O187" s="31">
        <f t="shared" si="8"/>
        <v>59533.430009999989</v>
      </c>
    </row>
    <row r="188" spans="2:15" ht="15.75" x14ac:dyDescent="0.25">
      <c r="B188">
        <v>2020</v>
      </c>
      <c r="C188" s="8" t="s">
        <v>0</v>
      </c>
      <c r="D188" s="25">
        <v>231744.23896666666</v>
      </c>
      <c r="E188" s="16"/>
      <c r="F188" s="12"/>
      <c r="G188" s="11"/>
      <c r="H188" s="100">
        <f t="shared" si="6"/>
        <v>231744.23896666666</v>
      </c>
      <c r="L188" s="29">
        <v>1990</v>
      </c>
      <c r="M188" s="29" t="s">
        <v>29</v>
      </c>
      <c r="N188" s="30">
        <v>58249.72479</v>
      </c>
      <c r="O188" s="31">
        <f t="shared" si="8"/>
        <v>59105.528270000003</v>
      </c>
    </row>
    <row r="189" spans="2:15" ht="15.75" x14ac:dyDescent="0.25">
      <c r="C189" s="8" t="s">
        <v>1</v>
      </c>
      <c r="D189" s="25">
        <v>232176.23766666665</v>
      </c>
      <c r="E189" s="16"/>
      <c r="F189" s="12"/>
      <c r="G189" s="11"/>
      <c r="H189" s="100">
        <f t="shared" si="6"/>
        <v>232176.23766666665</v>
      </c>
      <c r="L189" s="29">
        <v>1990</v>
      </c>
      <c r="M189" s="29" t="s">
        <v>30</v>
      </c>
      <c r="N189" s="30">
        <v>58249.72479</v>
      </c>
      <c r="O189" s="31">
        <f t="shared" si="8"/>
        <v>58677.626530000001</v>
      </c>
    </row>
    <row r="190" spans="2:15" ht="15.75" x14ac:dyDescent="0.25">
      <c r="C190" s="8" t="s">
        <v>2</v>
      </c>
      <c r="D190" s="25">
        <v>239075.34083333332</v>
      </c>
      <c r="E190" s="16"/>
      <c r="F190" s="12"/>
      <c r="G190" s="11"/>
      <c r="H190" s="100">
        <f t="shared" si="6"/>
        <v>239075.34083333332</v>
      </c>
      <c r="L190" s="29">
        <v>1990</v>
      </c>
      <c r="M190" s="29" t="s">
        <v>31</v>
      </c>
      <c r="N190" s="30">
        <v>58249.72479</v>
      </c>
      <c r="O190" s="31">
        <f t="shared" si="8"/>
        <v>58249.72479</v>
      </c>
    </row>
    <row r="191" spans="2:15" ht="15.75" x14ac:dyDescent="0.25">
      <c r="C191" s="8" t="s">
        <v>3</v>
      </c>
      <c r="D191" s="25">
        <v>245874.62526666667</v>
      </c>
      <c r="E191" s="16"/>
      <c r="F191" s="12"/>
      <c r="G191" s="11"/>
      <c r="H191" s="100">
        <f t="shared" si="6"/>
        <v>245874.62526666667</v>
      </c>
      <c r="L191" s="29">
        <v>1990</v>
      </c>
      <c r="M191" s="29" t="s">
        <v>32</v>
      </c>
      <c r="N191" s="30">
        <v>57726.00099</v>
      </c>
      <c r="O191" s="31">
        <f t="shared" si="8"/>
        <v>58075.150189999993</v>
      </c>
    </row>
    <row r="192" spans="2:15" ht="15.75" x14ac:dyDescent="0.25">
      <c r="B192">
        <v>2021</v>
      </c>
      <c r="C192" s="8" t="s">
        <v>0</v>
      </c>
      <c r="D192" s="25">
        <v>250927.06266666666</v>
      </c>
      <c r="E192" s="16"/>
      <c r="F192" s="12"/>
      <c r="G192" s="11"/>
      <c r="H192" s="100">
        <f t="shared" si="6"/>
        <v>250927.06266666666</v>
      </c>
      <c r="L192" s="29">
        <v>1990</v>
      </c>
      <c r="M192" s="29" t="s">
        <v>33</v>
      </c>
      <c r="N192" s="30">
        <v>57726.00099</v>
      </c>
      <c r="O192" s="31">
        <f t="shared" si="8"/>
        <v>57900.57559</v>
      </c>
    </row>
    <row r="193" spans="2:15" ht="15.75" x14ac:dyDescent="0.25">
      <c r="C193" s="8" t="s">
        <v>1</v>
      </c>
      <c r="D193" s="25">
        <v>255723.74239999999</v>
      </c>
      <c r="E193" s="16"/>
      <c r="F193" s="12"/>
      <c r="G193" s="11"/>
      <c r="H193" s="100">
        <f t="shared" si="6"/>
        <v>255723.74239999999</v>
      </c>
      <c r="L193" s="29">
        <v>1990</v>
      </c>
      <c r="M193" s="29" t="s">
        <v>34</v>
      </c>
      <c r="N193" s="30">
        <v>57726.00099</v>
      </c>
      <c r="O193" s="31">
        <f t="shared" si="8"/>
        <v>57726.00099</v>
      </c>
    </row>
    <row r="194" spans="2:15" ht="15.75" x14ac:dyDescent="0.25">
      <c r="C194" s="8" t="s">
        <v>2</v>
      </c>
      <c r="D194" s="25">
        <v>260797.46228333333</v>
      </c>
      <c r="E194" s="17"/>
      <c r="F194" s="12"/>
      <c r="G194" s="11"/>
      <c r="H194" s="100">
        <f t="shared" si="6"/>
        <v>260797.46228333333</v>
      </c>
      <c r="L194" s="29">
        <v>1990</v>
      </c>
      <c r="M194" s="29" t="s">
        <v>35</v>
      </c>
      <c r="N194" s="30">
        <v>58773.44859</v>
      </c>
      <c r="O194" s="31">
        <f t="shared" si="8"/>
        <v>58075.150189999993</v>
      </c>
    </row>
    <row r="195" spans="2:15" ht="15.75" x14ac:dyDescent="0.25">
      <c r="C195" s="8" t="s">
        <v>3</v>
      </c>
      <c r="D195" s="25">
        <v>266894.84483333334</v>
      </c>
      <c r="E195" s="16"/>
      <c r="F195" s="12"/>
      <c r="G195" s="11"/>
      <c r="H195" s="100">
        <f t="shared" si="6"/>
        <v>266894.84483333334</v>
      </c>
      <c r="L195" s="29">
        <v>1990</v>
      </c>
      <c r="M195" s="29" t="s">
        <v>36</v>
      </c>
      <c r="N195" s="30">
        <v>58773.44859</v>
      </c>
      <c r="O195" s="31">
        <f t="shared" si="8"/>
        <v>58424.29939</v>
      </c>
    </row>
    <row r="196" spans="2:15" ht="15.75" x14ac:dyDescent="0.25">
      <c r="B196">
        <v>2022</v>
      </c>
      <c r="C196" s="8" t="s">
        <v>0</v>
      </c>
      <c r="D196" s="25">
        <v>274730.63396000001</v>
      </c>
      <c r="E196" s="16"/>
      <c r="F196" s="12"/>
      <c r="G196" s="11"/>
      <c r="H196" s="100">
        <f t="shared" si="6"/>
        <v>274730.63396000001</v>
      </c>
      <c r="L196" s="29">
        <v>1990</v>
      </c>
      <c r="M196" s="29" t="s">
        <v>37</v>
      </c>
      <c r="N196" s="30">
        <v>58773.44859</v>
      </c>
      <c r="O196" s="31">
        <f t="shared" si="8"/>
        <v>58773.448590000007</v>
      </c>
    </row>
    <row r="197" spans="2:15" ht="15.75" x14ac:dyDescent="0.25">
      <c r="C197" s="8" t="s">
        <v>1</v>
      </c>
      <c r="D197" s="25">
        <v>282450.39941999997</v>
      </c>
      <c r="E197" s="16"/>
      <c r="F197" s="12"/>
      <c r="G197" s="11"/>
      <c r="H197" s="100">
        <f t="shared" si="6"/>
        <v>282450.39941999997</v>
      </c>
      <c r="L197" s="29">
        <v>1990</v>
      </c>
      <c r="M197" s="29" t="s">
        <v>38</v>
      </c>
      <c r="N197" s="30">
        <v>57900.57559</v>
      </c>
      <c r="O197" s="31">
        <f t="shared" si="8"/>
        <v>58482.490923333331</v>
      </c>
    </row>
    <row r="198" spans="2:15" x14ac:dyDescent="0.25">
      <c r="L198" s="29">
        <v>1990</v>
      </c>
      <c r="M198" s="29" t="s">
        <v>39</v>
      </c>
      <c r="N198" s="30">
        <v>57900.57559</v>
      </c>
      <c r="O198" s="31">
        <f t="shared" si="8"/>
        <v>58191.533256666669</v>
      </c>
    </row>
    <row r="199" spans="2:15" x14ac:dyDescent="0.25">
      <c r="L199" s="29">
        <v>1990</v>
      </c>
      <c r="M199" s="29" t="s">
        <v>40</v>
      </c>
      <c r="N199" s="30">
        <v>57900.57559</v>
      </c>
      <c r="O199" s="31">
        <f t="shared" si="8"/>
        <v>57900.57559</v>
      </c>
    </row>
    <row r="200" spans="2:15" x14ac:dyDescent="0.25">
      <c r="L200" s="29">
        <v>1991</v>
      </c>
      <c r="M200" s="29" t="s">
        <v>29</v>
      </c>
      <c r="N200" s="30">
        <v>57085.894119999997</v>
      </c>
      <c r="O200" s="31">
        <f t="shared" si="8"/>
        <v>57629.015099999997</v>
      </c>
    </row>
    <row r="201" spans="2:15" x14ac:dyDescent="0.25">
      <c r="L201" s="29">
        <v>1991</v>
      </c>
      <c r="M201" s="29" t="s">
        <v>30</v>
      </c>
      <c r="N201" s="30">
        <v>57085.894119999997</v>
      </c>
      <c r="O201" s="31">
        <f t="shared" si="8"/>
        <v>57357.454609999993</v>
      </c>
    </row>
    <row r="202" spans="2:15" x14ac:dyDescent="0.25">
      <c r="L202" s="29">
        <v>1991</v>
      </c>
      <c r="M202" s="29" t="s">
        <v>31</v>
      </c>
      <c r="N202" s="30">
        <v>57085.894119999997</v>
      </c>
      <c r="O202" s="31">
        <f t="shared" si="8"/>
        <v>57085.89411999999</v>
      </c>
    </row>
    <row r="203" spans="2:15" x14ac:dyDescent="0.25">
      <c r="L203" s="29">
        <v>1991</v>
      </c>
      <c r="M203" s="29" t="s">
        <v>32</v>
      </c>
      <c r="N203" s="30">
        <v>56853.127990000001</v>
      </c>
      <c r="O203" s="31">
        <f t="shared" ref="O203:O266" si="9">AVERAGE(N201:N203)</f>
        <v>57008.305410000001</v>
      </c>
    </row>
    <row r="204" spans="2:15" x14ac:dyDescent="0.25">
      <c r="L204" s="29">
        <v>1991</v>
      </c>
      <c r="M204" s="29" t="s">
        <v>33</v>
      </c>
      <c r="N204" s="30">
        <v>56853.127990000001</v>
      </c>
      <c r="O204" s="31">
        <f t="shared" si="9"/>
        <v>56930.716699999997</v>
      </c>
    </row>
    <row r="205" spans="2:15" x14ac:dyDescent="0.25">
      <c r="L205" s="29">
        <v>1991</v>
      </c>
      <c r="M205" s="29" t="s">
        <v>34</v>
      </c>
      <c r="N205" s="30">
        <v>56853.127990000001</v>
      </c>
      <c r="O205" s="31">
        <f t="shared" si="9"/>
        <v>56853.127990000001</v>
      </c>
    </row>
    <row r="206" spans="2:15" x14ac:dyDescent="0.25">
      <c r="L206" s="29">
        <v>1991</v>
      </c>
      <c r="M206" s="29" t="s">
        <v>35</v>
      </c>
      <c r="N206" s="30">
        <v>57958.767119999997</v>
      </c>
      <c r="O206" s="31">
        <f t="shared" si="9"/>
        <v>57221.674366666666</v>
      </c>
    </row>
    <row r="207" spans="2:15" x14ac:dyDescent="0.25">
      <c r="L207" s="29">
        <v>1991</v>
      </c>
      <c r="M207" s="29" t="s">
        <v>36</v>
      </c>
      <c r="N207" s="30">
        <v>57958.767119999997</v>
      </c>
      <c r="O207" s="31">
        <f t="shared" si="9"/>
        <v>57590.220743333331</v>
      </c>
    </row>
    <row r="208" spans="2:15" x14ac:dyDescent="0.25">
      <c r="L208" s="29">
        <v>1991</v>
      </c>
      <c r="M208" s="29" t="s">
        <v>37</v>
      </c>
      <c r="N208" s="30">
        <v>57958.767119999997</v>
      </c>
      <c r="O208" s="31">
        <f t="shared" si="9"/>
        <v>57958.767119999997</v>
      </c>
    </row>
    <row r="209" spans="12:15" x14ac:dyDescent="0.25">
      <c r="L209" s="29">
        <v>1991</v>
      </c>
      <c r="M209" s="29" t="s">
        <v>38</v>
      </c>
      <c r="N209" s="30">
        <v>57435.043319999997</v>
      </c>
      <c r="O209" s="31">
        <f t="shared" si="9"/>
        <v>57784.192520000004</v>
      </c>
    </row>
    <row r="210" spans="12:15" x14ac:dyDescent="0.25">
      <c r="L210" s="29">
        <v>1991</v>
      </c>
      <c r="M210" s="29" t="s">
        <v>39</v>
      </c>
      <c r="N210" s="30">
        <v>57435.043319999997</v>
      </c>
      <c r="O210" s="31">
        <f t="shared" si="9"/>
        <v>57609.617919999997</v>
      </c>
    </row>
    <row r="211" spans="12:15" x14ac:dyDescent="0.25">
      <c r="L211" s="29">
        <v>1991</v>
      </c>
      <c r="M211" s="29" t="s">
        <v>40</v>
      </c>
      <c r="N211" s="30">
        <v>57435.043319999997</v>
      </c>
      <c r="O211" s="31">
        <f t="shared" si="9"/>
        <v>57435.043319999997</v>
      </c>
    </row>
    <row r="212" spans="12:15" x14ac:dyDescent="0.25">
      <c r="L212" s="29">
        <v>1992</v>
      </c>
      <c r="M212" s="29" t="s">
        <v>29</v>
      </c>
      <c r="N212" s="30">
        <v>56503.978790000001</v>
      </c>
      <c r="O212" s="31">
        <f t="shared" si="9"/>
        <v>57124.688476666663</v>
      </c>
    </row>
    <row r="213" spans="12:15" x14ac:dyDescent="0.25">
      <c r="L213" s="29">
        <v>1992</v>
      </c>
      <c r="M213" s="29" t="s">
        <v>30</v>
      </c>
      <c r="N213" s="30">
        <v>56503.978790000001</v>
      </c>
      <c r="O213" s="31">
        <f t="shared" si="9"/>
        <v>56814.333633333328</v>
      </c>
    </row>
    <row r="214" spans="12:15" x14ac:dyDescent="0.25">
      <c r="L214" s="29">
        <v>1992</v>
      </c>
      <c r="M214" s="29" t="s">
        <v>31</v>
      </c>
      <c r="N214" s="30">
        <v>56503.978790000001</v>
      </c>
      <c r="O214" s="31">
        <f t="shared" si="9"/>
        <v>56503.978790000001</v>
      </c>
    </row>
    <row r="215" spans="12:15" x14ac:dyDescent="0.25">
      <c r="L215" s="29">
        <v>1992</v>
      </c>
      <c r="M215" s="29" t="s">
        <v>32</v>
      </c>
      <c r="N215" s="30">
        <v>55165.573530000001</v>
      </c>
      <c r="O215" s="31">
        <f t="shared" si="9"/>
        <v>56057.843703333339</v>
      </c>
    </row>
    <row r="216" spans="12:15" x14ac:dyDescent="0.25">
      <c r="L216" s="29">
        <v>1992</v>
      </c>
      <c r="M216" s="29" t="s">
        <v>33</v>
      </c>
      <c r="N216" s="30">
        <v>55165.573530000001</v>
      </c>
      <c r="O216" s="31">
        <f t="shared" si="9"/>
        <v>55611.70861666667</v>
      </c>
    </row>
    <row r="217" spans="12:15" x14ac:dyDescent="0.25">
      <c r="L217" s="29">
        <v>1992</v>
      </c>
      <c r="M217" s="29" t="s">
        <v>34</v>
      </c>
      <c r="N217" s="30">
        <v>55165.573530000001</v>
      </c>
      <c r="O217" s="31">
        <f t="shared" si="9"/>
        <v>55165.573530000001</v>
      </c>
    </row>
    <row r="218" spans="12:15" x14ac:dyDescent="0.25">
      <c r="L218" s="29">
        <v>1992</v>
      </c>
      <c r="M218" s="29" t="s">
        <v>35</v>
      </c>
      <c r="N218" s="30">
        <v>55328.303829999997</v>
      </c>
      <c r="O218" s="31">
        <f t="shared" si="9"/>
        <v>55219.816963333338</v>
      </c>
    </row>
    <row r="219" spans="12:15" x14ac:dyDescent="0.25">
      <c r="L219" s="29">
        <v>1992</v>
      </c>
      <c r="M219" s="29" t="s">
        <v>36</v>
      </c>
      <c r="N219" s="30">
        <v>55328.303829999997</v>
      </c>
      <c r="O219" s="31">
        <f t="shared" si="9"/>
        <v>55274.060396666668</v>
      </c>
    </row>
    <row r="220" spans="12:15" x14ac:dyDescent="0.25">
      <c r="L220" s="29">
        <v>1992</v>
      </c>
      <c r="M220" s="29" t="s">
        <v>37</v>
      </c>
      <c r="N220" s="30">
        <v>55328.303829999997</v>
      </c>
      <c r="O220" s="31">
        <f t="shared" si="9"/>
        <v>55328.303829999997</v>
      </c>
    </row>
    <row r="221" spans="12:15" x14ac:dyDescent="0.25">
      <c r="L221" s="29">
        <v>1992</v>
      </c>
      <c r="M221" s="29" t="s">
        <v>38</v>
      </c>
      <c r="N221" s="30">
        <v>53212.809860000001</v>
      </c>
      <c r="O221" s="31">
        <f t="shared" si="9"/>
        <v>54623.139173333329</v>
      </c>
    </row>
    <row r="222" spans="12:15" x14ac:dyDescent="0.25">
      <c r="L222" s="29">
        <v>1992</v>
      </c>
      <c r="M222" s="29" t="s">
        <v>39</v>
      </c>
      <c r="N222" s="30">
        <v>53212.809860000001</v>
      </c>
      <c r="O222" s="31">
        <f t="shared" si="9"/>
        <v>53917.974516666669</v>
      </c>
    </row>
    <row r="223" spans="12:15" x14ac:dyDescent="0.25">
      <c r="L223" s="29">
        <v>1992</v>
      </c>
      <c r="M223" s="29" t="s">
        <v>40</v>
      </c>
      <c r="N223" s="30">
        <v>53212.809860000001</v>
      </c>
      <c r="O223" s="31">
        <f t="shared" si="9"/>
        <v>53212.809860000001</v>
      </c>
    </row>
    <row r="224" spans="12:15" x14ac:dyDescent="0.25">
      <c r="L224" s="29">
        <v>1993</v>
      </c>
      <c r="M224" s="29" t="s">
        <v>29</v>
      </c>
      <c r="N224" s="30">
        <v>53484.027040000001</v>
      </c>
      <c r="O224" s="31">
        <f t="shared" si="9"/>
        <v>53303.215586666665</v>
      </c>
    </row>
    <row r="225" spans="12:15" x14ac:dyDescent="0.25">
      <c r="L225" s="29">
        <v>1993</v>
      </c>
      <c r="M225" s="29" t="s">
        <v>30</v>
      </c>
      <c r="N225" s="30">
        <v>53484.027040000001</v>
      </c>
      <c r="O225" s="31">
        <f t="shared" si="9"/>
        <v>53393.621313333337</v>
      </c>
    </row>
    <row r="226" spans="12:15" x14ac:dyDescent="0.25">
      <c r="L226" s="29">
        <v>1993</v>
      </c>
      <c r="M226" s="29" t="s">
        <v>31</v>
      </c>
      <c r="N226" s="30">
        <v>53484.027040000001</v>
      </c>
      <c r="O226" s="31">
        <f t="shared" si="9"/>
        <v>53484.027039999994</v>
      </c>
    </row>
    <row r="227" spans="12:15" x14ac:dyDescent="0.25">
      <c r="L227" s="29">
        <v>1993</v>
      </c>
      <c r="M227" s="29" t="s">
        <v>32</v>
      </c>
      <c r="N227" s="30">
        <v>53917.974520000003</v>
      </c>
      <c r="O227" s="31">
        <f t="shared" si="9"/>
        <v>53628.676200000009</v>
      </c>
    </row>
    <row r="228" spans="12:15" x14ac:dyDescent="0.25">
      <c r="L228" s="29">
        <v>1993</v>
      </c>
      <c r="M228" s="29" t="s">
        <v>33</v>
      </c>
      <c r="N228" s="30">
        <v>53917.974520000003</v>
      </c>
      <c r="O228" s="31">
        <f t="shared" si="9"/>
        <v>53773.325359999995</v>
      </c>
    </row>
    <row r="229" spans="12:15" x14ac:dyDescent="0.25">
      <c r="L229" s="29">
        <v>1993</v>
      </c>
      <c r="M229" s="29" t="s">
        <v>34</v>
      </c>
      <c r="N229" s="30">
        <v>53917.974520000003</v>
      </c>
      <c r="O229" s="31">
        <f t="shared" si="9"/>
        <v>53917.974520000011</v>
      </c>
    </row>
    <row r="230" spans="12:15" x14ac:dyDescent="0.25">
      <c r="L230" s="29">
        <v>1993</v>
      </c>
      <c r="M230" s="29" t="s">
        <v>35</v>
      </c>
      <c r="N230" s="30">
        <v>55057.086660000001</v>
      </c>
      <c r="O230" s="31">
        <f t="shared" si="9"/>
        <v>54297.678566666669</v>
      </c>
    </row>
    <row r="231" spans="12:15" x14ac:dyDescent="0.25">
      <c r="L231" s="29">
        <v>1993</v>
      </c>
      <c r="M231" s="29" t="s">
        <v>36</v>
      </c>
      <c r="N231" s="30">
        <v>55057.086660000001</v>
      </c>
      <c r="O231" s="31">
        <f t="shared" si="9"/>
        <v>54677.382613333328</v>
      </c>
    </row>
    <row r="232" spans="12:15" x14ac:dyDescent="0.25">
      <c r="L232" s="29">
        <v>1993</v>
      </c>
      <c r="M232" s="29" t="s">
        <v>37</v>
      </c>
      <c r="N232" s="30">
        <v>55057.086660000001</v>
      </c>
      <c r="O232" s="31">
        <f t="shared" si="9"/>
        <v>55057.086660000001</v>
      </c>
    </row>
    <row r="233" spans="12:15" x14ac:dyDescent="0.25">
      <c r="L233" s="29">
        <v>1993</v>
      </c>
      <c r="M233" s="29" t="s">
        <v>38</v>
      </c>
      <c r="N233" s="30">
        <v>54026.461389999997</v>
      </c>
      <c r="O233" s="31">
        <f t="shared" si="9"/>
        <v>54713.544903333335</v>
      </c>
    </row>
    <row r="234" spans="12:15" x14ac:dyDescent="0.25">
      <c r="L234" s="29">
        <v>1993</v>
      </c>
      <c r="M234" s="29" t="s">
        <v>39</v>
      </c>
      <c r="N234" s="30">
        <v>54026.461389999997</v>
      </c>
      <c r="O234" s="31">
        <f t="shared" si="9"/>
        <v>54370.003146666662</v>
      </c>
    </row>
    <row r="235" spans="12:15" x14ac:dyDescent="0.25">
      <c r="L235" s="29">
        <v>1993</v>
      </c>
      <c r="M235" s="29" t="s">
        <v>40</v>
      </c>
      <c r="N235" s="30">
        <v>54026.461389999997</v>
      </c>
      <c r="O235" s="31">
        <f t="shared" si="9"/>
        <v>54026.461389999989</v>
      </c>
    </row>
    <row r="236" spans="12:15" x14ac:dyDescent="0.25">
      <c r="L236" s="29">
        <v>1994</v>
      </c>
      <c r="M236" s="29" t="s">
        <v>29</v>
      </c>
      <c r="N236" s="30">
        <v>54623.139170000002</v>
      </c>
      <c r="O236" s="31">
        <f t="shared" si="9"/>
        <v>54225.353983333334</v>
      </c>
    </row>
    <row r="237" spans="12:15" x14ac:dyDescent="0.25">
      <c r="L237" s="29">
        <v>1994</v>
      </c>
      <c r="M237" s="29" t="s">
        <v>30</v>
      </c>
      <c r="N237" s="30">
        <v>54623.139170000002</v>
      </c>
      <c r="O237" s="31">
        <f t="shared" si="9"/>
        <v>54424.246576666665</v>
      </c>
    </row>
    <row r="238" spans="12:15" x14ac:dyDescent="0.25">
      <c r="L238" s="29">
        <v>1994</v>
      </c>
      <c r="M238" s="29" t="s">
        <v>31</v>
      </c>
      <c r="N238" s="30">
        <v>54623.139170000002</v>
      </c>
      <c r="O238" s="31">
        <f t="shared" si="9"/>
        <v>54623.139170000002</v>
      </c>
    </row>
    <row r="239" spans="12:15" x14ac:dyDescent="0.25">
      <c r="L239" s="29">
        <v>1994</v>
      </c>
      <c r="M239" s="29" t="s">
        <v>32</v>
      </c>
      <c r="N239" s="30">
        <v>55382.547270000003</v>
      </c>
      <c r="O239" s="31">
        <f t="shared" si="9"/>
        <v>54876.275203333331</v>
      </c>
    </row>
    <row r="240" spans="12:15" x14ac:dyDescent="0.25">
      <c r="L240" s="29">
        <v>1994</v>
      </c>
      <c r="M240" s="29" t="s">
        <v>33</v>
      </c>
      <c r="N240" s="30">
        <v>55382.547270000003</v>
      </c>
      <c r="O240" s="31">
        <f t="shared" si="9"/>
        <v>55129.411236666667</v>
      </c>
    </row>
    <row r="241" spans="12:15" x14ac:dyDescent="0.25">
      <c r="L241" s="29">
        <v>1994</v>
      </c>
      <c r="M241" s="29" t="s">
        <v>34</v>
      </c>
      <c r="N241" s="30">
        <v>55382.547270000003</v>
      </c>
      <c r="O241" s="31">
        <f t="shared" si="9"/>
        <v>55382.547270000003</v>
      </c>
    </row>
    <row r="242" spans="12:15" x14ac:dyDescent="0.25">
      <c r="L242" s="29">
        <v>1994</v>
      </c>
      <c r="M242" s="29" t="s">
        <v>35</v>
      </c>
      <c r="N242" s="30">
        <v>56304.685660000003</v>
      </c>
      <c r="O242" s="31">
        <f t="shared" si="9"/>
        <v>55689.926733333334</v>
      </c>
    </row>
    <row r="243" spans="12:15" x14ac:dyDescent="0.25">
      <c r="L243" s="29">
        <v>1994</v>
      </c>
      <c r="M243" s="29" t="s">
        <v>36</v>
      </c>
      <c r="N243" s="30">
        <v>56304.685660000003</v>
      </c>
      <c r="O243" s="31">
        <f t="shared" si="9"/>
        <v>55997.306196666672</v>
      </c>
    </row>
    <row r="244" spans="12:15" x14ac:dyDescent="0.25">
      <c r="L244" s="29">
        <v>1994</v>
      </c>
      <c r="M244" s="29" t="s">
        <v>37</v>
      </c>
      <c r="N244" s="30">
        <v>56304.685660000003</v>
      </c>
      <c r="O244" s="31">
        <f t="shared" si="9"/>
        <v>56304.685659999996</v>
      </c>
    </row>
    <row r="245" spans="12:15" x14ac:dyDescent="0.25">
      <c r="L245" s="29">
        <v>1994</v>
      </c>
      <c r="M245" s="29" t="s">
        <v>38</v>
      </c>
      <c r="N245" s="30">
        <v>55924.981619999999</v>
      </c>
      <c r="O245" s="31">
        <f t="shared" si="9"/>
        <v>56178.117646666673</v>
      </c>
    </row>
    <row r="246" spans="12:15" x14ac:dyDescent="0.25">
      <c r="L246" s="29">
        <v>1994</v>
      </c>
      <c r="M246" s="29" t="s">
        <v>39</v>
      </c>
      <c r="N246" s="30">
        <v>55924.981619999999</v>
      </c>
      <c r="O246" s="31">
        <f t="shared" si="9"/>
        <v>56051.549633333336</v>
      </c>
    </row>
    <row r="247" spans="12:15" x14ac:dyDescent="0.25">
      <c r="L247" s="29">
        <v>1994</v>
      </c>
      <c r="M247" s="29" t="s">
        <v>40</v>
      </c>
      <c r="N247" s="30">
        <v>55924.981619999999</v>
      </c>
      <c r="O247" s="31">
        <f t="shared" si="9"/>
        <v>55924.981619999999</v>
      </c>
    </row>
    <row r="248" spans="12:15" x14ac:dyDescent="0.25">
      <c r="L248" s="29">
        <v>1995</v>
      </c>
      <c r="M248" s="29" t="s">
        <v>29</v>
      </c>
      <c r="N248" s="30">
        <v>55436.790699999998</v>
      </c>
      <c r="O248" s="31">
        <f t="shared" si="9"/>
        <v>55762.251313333334</v>
      </c>
    </row>
    <row r="249" spans="12:15" x14ac:dyDescent="0.25">
      <c r="L249" s="29">
        <v>1995</v>
      </c>
      <c r="M249" s="29" t="s">
        <v>30</v>
      </c>
      <c r="N249" s="30">
        <v>55436.790699999998</v>
      </c>
      <c r="O249" s="31">
        <f t="shared" si="9"/>
        <v>55599.52100666667</v>
      </c>
    </row>
    <row r="250" spans="12:15" x14ac:dyDescent="0.25">
      <c r="L250" s="29">
        <v>1995</v>
      </c>
      <c r="M250" s="29" t="s">
        <v>31</v>
      </c>
      <c r="N250" s="30">
        <v>55436.790699999998</v>
      </c>
      <c r="O250" s="31">
        <f t="shared" si="9"/>
        <v>55436.79069999999</v>
      </c>
    </row>
    <row r="251" spans="12:15" x14ac:dyDescent="0.25">
      <c r="L251" s="29">
        <v>1995</v>
      </c>
      <c r="M251" s="29" t="s">
        <v>32</v>
      </c>
      <c r="N251" s="30">
        <v>56033.468489999999</v>
      </c>
      <c r="O251" s="31">
        <f t="shared" si="9"/>
        <v>55635.683296666662</v>
      </c>
    </row>
    <row r="252" spans="12:15" x14ac:dyDescent="0.25">
      <c r="L252" s="29">
        <v>1995</v>
      </c>
      <c r="M252" s="29" t="s">
        <v>33</v>
      </c>
      <c r="N252" s="30">
        <v>56033.468489999999</v>
      </c>
      <c r="O252" s="31">
        <f t="shared" si="9"/>
        <v>55834.575893333335</v>
      </c>
    </row>
    <row r="253" spans="12:15" x14ac:dyDescent="0.25">
      <c r="L253" s="29">
        <v>1995</v>
      </c>
      <c r="M253" s="29" t="s">
        <v>34</v>
      </c>
      <c r="N253" s="30">
        <v>56033.468489999999</v>
      </c>
      <c r="O253" s="31">
        <f t="shared" si="9"/>
        <v>56033.468489999999</v>
      </c>
    </row>
    <row r="254" spans="12:15" x14ac:dyDescent="0.25">
      <c r="L254" s="29">
        <v>1995</v>
      </c>
      <c r="M254" s="29" t="s">
        <v>35</v>
      </c>
      <c r="N254" s="30">
        <v>56521.659399999997</v>
      </c>
      <c r="O254" s="31">
        <f t="shared" si="9"/>
        <v>56196.198793333337</v>
      </c>
    </row>
    <row r="255" spans="12:15" x14ac:dyDescent="0.25">
      <c r="L255" s="29">
        <v>1995</v>
      </c>
      <c r="M255" s="29" t="s">
        <v>36</v>
      </c>
      <c r="N255" s="30">
        <v>56521.659399999997</v>
      </c>
      <c r="O255" s="31">
        <f t="shared" si="9"/>
        <v>56358.929096666667</v>
      </c>
    </row>
    <row r="256" spans="12:15" x14ac:dyDescent="0.25">
      <c r="L256" s="29">
        <v>1995</v>
      </c>
      <c r="M256" s="29" t="s">
        <v>37</v>
      </c>
      <c r="N256" s="30">
        <v>56521.659399999997</v>
      </c>
      <c r="O256" s="31">
        <f t="shared" si="9"/>
        <v>56521.659399999997</v>
      </c>
    </row>
    <row r="257" spans="12:15" x14ac:dyDescent="0.25">
      <c r="L257" s="29">
        <v>1995</v>
      </c>
      <c r="M257" s="29" t="s">
        <v>38</v>
      </c>
      <c r="N257" s="30">
        <v>55762.25131</v>
      </c>
      <c r="O257" s="31">
        <f t="shared" si="9"/>
        <v>56268.523370000003</v>
      </c>
    </row>
    <row r="258" spans="12:15" x14ac:dyDescent="0.25">
      <c r="L258" s="29">
        <v>1995</v>
      </c>
      <c r="M258" s="29" t="s">
        <v>39</v>
      </c>
      <c r="N258" s="30">
        <v>55762.25131</v>
      </c>
      <c r="O258" s="31">
        <f t="shared" si="9"/>
        <v>56015.387339999994</v>
      </c>
    </row>
    <row r="259" spans="12:15" x14ac:dyDescent="0.25">
      <c r="L259" s="29">
        <v>1995</v>
      </c>
      <c r="M259" s="29" t="s">
        <v>40</v>
      </c>
      <c r="N259" s="30">
        <v>55762.25131</v>
      </c>
      <c r="O259" s="31">
        <f t="shared" si="9"/>
        <v>55762.25131</v>
      </c>
    </row>
    <row r="260" spans="12:15" x14ac:dyDescent="0.25">
      <c r="L260" s="29">
        <v>1996</v>
      </c>
      <c r="M260" s="29" t="s">
        <v>29</v>
      </c>
      <c r="N260" s="30">
        <v>56575.902840000002</v>
      </c>
      <c r="O260" s="31">
        <f t="shared" si="9"/>
        <v>56033.468486666672</v>
      </c>
    </row>
    <row r="261" spans="12:15" x14ac:dyDescent="0.25">
      <c r="L261" s="29">
        <v>1996</v>
      </c>
      <c r="M261" s="29" t="s">
        <v>30</v>
      </c>
      <c r="N261" s="30">
        <v>56575.902840000002</v>
      </c>
      <c r="O261" s="31">
        <f t="shared" si="9"/>
        <v>56304.685663333337</v>
      </c>
    </row>
    <row r="262" spans="12:15" x14ac:dyDescent="0.25">
      <c r="L262" s="29">
        <v>1996</v>
      </c>
      <c r="M262" s="29" t="s">
        <v>31</v>
      </c>
      <c r="N262" s="30">
        <v>56575.902840000002</v>
      </c>
      <c r="O262" s="31">
        <f t="shared" si="9"/>
        <v>56575.902840000002</v>
      </c>
    </row>
    <row r="263" spans="12:15" x14ac:dyDescent="0.25">
      <c r="L263" s="29">
        <v>1996</v>
      </c>
      <c r="M263" s="29" t="s">
        <v>32</v>
      </c>
      <c r="N263" s="30">
        <v>56630.146269999997</v>
      </c>
      <c r="O263" s="31">
        <f t="shared" si="9"/>
        <v>56593.983983333339</v>
      </c>
    </row>
    <row r="264" spans="12:15" x14ac:dyDescent="0.25">
      <c r="L264" s="29">
        <v>1996</v>
      </c>
      <c r="M264" s="29" t="s">
        <v>33</v>
      </c>
      <c r="N264" s="30">
        <v>56630.146269999997</v>
      </c>
      <c r="O264" s="31">
        <f t="shared" si="9"/>
        <v>56612.065126666661</v>
      </c>
    </row>
    <row r="265" spans="12:15" x14ac:dyDescent="0.25">
      <c r="L265" s="29">
        <v>1996</v>
      </c>
      <c r="M265" s="29" t="s">
        <v>34</v>
      </c>
      <c r="N265" s="30">
        <v>56630.146269999997</v>
      </c>
      <c r="O265" s="31">
        <f t="shared" si="9"/>
        <v>56630.146269999997</v>
      </c>
    </row>
    <row r="266" spans="12:15" x14ac:dyDescent="0.25">
      <c r="L266" s="29">
        <v>1996</v>
      </c>
      <c r="M266" s="29" t="s">
        <v>35</v>
      </c>
      <c r="N266" s="30">
        <v>58854.127110000001</v>
      </c>
      <c r="O266" s="31">
        <f t="shared" si="9"/>
        <v>57371.473216666665</v>
      </c>
    </row>
    <row r="267" spans="12:15" x14ac:dyDescent="0.25">
      <c r="L267" s="29">
        <v>1996</v>
      </c>
      <c r="M267" s="29" t="s">
        <v>36</v>
      </c>
      <c r="N267" s="30">
        <v>58854.127110000001</v>
      </c>
      <c r="O267" s="31">
        <f t="shared" ref="O267:O330" si="10">AVERAGE(N265:N267)</f>
        <v>58112.800163333333</v>
      </c>
    </row>
    <row r="268" spans="12:15" x14ac:dyDescent="0.25">
      <c r="L268" s="29">
        <v>1996</v>
      </c>
      <c r="M268" s="29" t="s">
        <v>37</v>
      </c>
      <c r="N268" s="30">
        <v>58854.127110000001</v>
      </c>
      <c r="O268" s="31">
        <f t="shared" si="10"/>
        <v>58854.127110000001</v>
      </c>
    </row>
    <row r="269" spans="12:15" x14ac:dyDescent="0.25">
      <c r="L269" s="29">
        <v>1996</v>
      </c>
      <c r="M269" s="29" t="s">
        <v>38</v>
      </c>
      <c r="N269" s="30">
        <v>59884.752379999998</v>
      </c>
      <c r="O269" s="31">
        <f t="shared" si="10"/>
        <v>59197.668866666667</v>
      </c>
    </row>
    <row r="270" spans="12:15" x14ac:dyDescent="0.25">
      <c r="L270" s="29">
        <v>1996</v>
      </c>
      <c r="M270" s="29" t="s">
        <v>39</v>
      </c>
      <c r="N270" s="30">
        <v>59884.752379999998</v>
      </c>
      <c r="O270" s="31">
        <f t="shared" si="10"/>
        <v>59541.210623333325</v>
      </c>
    </row>
    <row r="271" spans="12:15" x14ac:dyDescent="0.25">
      <c r="L271" s="29">
        <v>1996</v>
      </c>
      <c r="M271" s="29" t="s">
        <v>40</v>
      </c>
      <c r="N271" s="30">
        <v>59884.752379999998</v>
      </c>
      <c r="O271" s="31">
        <f t="shared" si="10"/>
        <v>59884.752379999998</v>
      </c>
    </row>
    <row r="272" spans="12:15" x14ac:dyDescent="0.25">
      <c r="L272" s="29">
        <v>1997</v>
      </c>
      <c r="M272" s="29" t="s">
        <v>29</v>
      </c>
      <c r="N272" s="30">
        <v>60698.403910000001</v>
      </c>
      <c r="O272" s="31">
        <f t="shared" si="10"/>
        <v>60155.969556666671</v>
      </c>
    </row>
    <row r="273" spans="12:15" x14ac:dyDescent="0.25">
      <c r="L273" s="29">
        <v>1997</v>
      </c>
      <c r="M273" s="29" t="s">
        <v>30</v>
      </c>
      <c r="N273" s="30">
        <v>60698.403910000001</v>
      </c>
      <c r="O273" s="31">
        <f t="shared" si="10"/>
        <v>60427.186733333336</v>
      </c>
    </row>
    <row r="274" spans="12:15" x14ac:dyDescent="0.25">
      <c r="L274" s="29">
        <v>1997</v>
      </c>
      <c r="M274" s="29" t="s">
        <v>31</v>
      </c>
      <c r="N274" s="30">
        <v>60698.403910000001</v>
      </c>
      <c r="O274" s="31">
        <f t="shared" si="10"/>
        <v>60698.403910000001</v>
      </c>
    </row>
    <row r="275" spans="12:15" x14ac:dyDescent="0.25">
      <c r="L275" s="29">
        <v>1997</v>
      </c>
      <c r="M275" s="29" t="s">
        <v>32</v>
      </c>
      <c r="N275" s="30">
        <v>61946.002919999999</v>
      </c>
      <c r="O275" s="31">
        <f t="shared" si="10"/>
        <v>61114.27024666666</v>
      </c>
    </row>
    <row r="276" spans="12:15" x14ac:dyDescent="0.25">
      <c r="L276" s="29">
        <v>1997</v>
      </c>
      <c r="M276" s="29" t="s">
        <v>33</v>
      </c>
      <c r="N276" s="30">
        <v>61946.002919999999</v>
      </c>
      <c r="O276" s="31">
        <f t="shared" si="10"/>
        <v>61530.136583333333</v>
      </c>
    </row>
    <row r="277" spans="12:15" x14ac:dyDescent="0.25">
      <c r="L277" s="29">
        <v>1997</v>
      </c>
      <c r="M277" s="29" t="s">
        <v>34</v>
      </c>
      <c r="N277" s="30">
        <v>61946.002919999999</v>
      </c>
      <c r="O277" s="31">
        <f t="shared" si="10"/>
        <v>61946.002919999999</v>
      </c>
    </row>
    <row r="278" spans="12:15" x14ac:dyDescent="0.25">
      <c r="L278" s="29">
        <v>1997</v>
      </c>
      <c r="M278" s="29" t="s">
        <v>35</v>
      </c>
      <c r="N278" s="30">
        <v>65092.122150000003</v>
      </c>
      <c r="O278" s="31">
        <f t="shared" si="10"/>
        <v>62994.709330000005</v>
      </c>
    </row>
    <row r="279" spans="12:15" x14ac:dyDescent="0.25">
      <c r="L279" s="29">
        <v>1997</v>
      </c>
      <c r="M279" s="29" t="s">
        <v>36</v>
      </c>
      <c r="N279" s="30">
        <v>65092.122150000003</v>
      </c>
      <c r="O279" s="31">
        <f t="shared" si="10"/>
        <v>64043.415740000004</v>
      </c>
    </row>
    <row r="280" spans="12:15" x14ac:dyDescent="0.25">
      <c r="L280" s="29">
        <v>1997</v>
      </c>
      <c r="M280" s="29" t="s">
        <v>37</v>
      </c>
      <c r="N280" s="30">
        <v>65092.122150000003</v>
      </c>
      <c r="O280" s="31">
        <f t="shared" si="10"/>
        <v>65092.122150000003</v>
      </c>
    </row>
    <row r="281" spans="12:15" x14ac:dyDescent="0.25">
      <c r="L281" s="29">
        <v>1997</v>
      </c>
      <c r="M281" s="29" t="s">
        <v>38</v>
      </c>
      <c r="N281" s="30">
        <v>64603.931239999998</v>
      </c>
      <c r="O281" s="31">
        <f t="shared" si="10"/>
        <v>64929.391846666666</v>
      </c>
    </row>
    <row r="282" spans="12:15" x14ac:dyDescent="0.25">
      <c r="L282" s="29">
        <v>1997</v>
      </c>
      <c r="M282" s="29" t="s">
        <v>39</v>
      </c>
      <c r="N282" s="30">
        <v>64603.931239999998</v>
      </c>
      <c r="O282" s="31">
        <f t="shared" si="10"/>
        <v>64766.661543333328</v>
      </c>
    </row>
    <row r="283" spans="12:15" x14ac:dyDescent="0.25">
      <c r="L283" s="29">
        <v>1997</v>
      </c>
      <c r="M283" s="29" t="s">
        <v>40</v>
      </c>
      <c r="N283" s="30">
        <v>64603.931239999998</v>
      </c>
      <c r="O283" s="31">
        <f t="shared" si="10"/>
        <v>64603.931239999998</v>
      </c>
    </row>
    <row r="284" spans="12:15" x14ac:dyDescent="0.25">
      <c r="L284" s="29">
        <v>1998</v>
      </c>
      <c r="M284" s="29" t="s">
        <v>29</v>
      </c>
      <c r="N284" s="30">
        <v>66231.234289999993</v>
      </c>
      <c r="O284" s="31">
        <f t="shared" si="10"/>
        <v>65146.365590000001</v>
      </c>
    </row>
    <row r="285" spans="12:15" x14ac:dyDescent="0.25">
      <c r="L285" s="29">
        <v>1998</v>
      </c>
      <c r="M285" s="29" t="s">
        <v>30</v>
      </c>
      <c r="N285" s="30">
        <v>66231.234289999993</v>
      </c>
      <c r="O285" s="31">
        <f t="shared" si="10"/>
        <v>65688.799939999997</v>
      </c>
    </row>
    <row r="286" spans="12:15" x14ac:dyDescent="0.25">
      <c r="L286" s="29">
        <v>1998</v>
      </c>
      <c r="M286" s="29" t="s">
        <v>31</v>
      </c>
      <c r="N286" s="30">
        <v>66231.234289999993</v>
      </c>
      <c r="O286" s="31">
        <f t="shared" si="10"/>
        <v>66231.234289999993</v>
      </c>
    </row>
    <row r="287" spans="12:15" x14ac:dyDescent="0.25">
      <c r="L287" s="29">
        <v>1998</v>
      </c>
      <c r="M287" s="29" t="s">
        <v>32</v>
      </c>
      <c r="N287" s="30">
        <v>69757.057579999993</v>
      </c>
      <c r="O287" s="31">
        <f t="shared" si="10"/>
        <v>67406.508719999998</v>
      </c>
    </row>
    <row r="288" spans="12:15" x14ac:dyDescent="0.25">
      <c r="L288" s="29">
        <v>1998</v>
      </c>
      <c r="M288" s="29" t="s">
        <v>33</v>
      </c>
      <c r="N288" s="30">
        <v>69757.057579999993</v>
      </c>
      <c r="O288" s="31">
        <f t="shared" si="10"/>
        <v>68581.783149999988</v>
      </c>
    </row>
    <row r="289" spans="12:15" x14ac:dyDescent="0.25">
      <c r="L289" s="29">
        <v>1998</v>
      </c>
      <c r="M289" s="29" t="s">
        <v>34</v>
      </c>
      <c r="N289" s="30">
        <v>69757.057579999993</v>
      </c>
      <c r="O289" s="31">
        <f t="shared" si="10"/>
        <v>69757.057579999993</v>
      </c>
    </row>
    <row r="290" spans="12:15" x14ac:dyDescent="0.25">
      <c r="L290" s="29">
        <v>1998</v>
      </c>
      <c r="M290" s="29" t="s">
        <v>35</v>
      </c>
      <c r="N290" s="30">
        <v>72794.689939999997</v>
      </c>
      <c r="O290" s="31">
        <f t="shared" si="10"/>
        <v>70769.601699999999</v>
      </c>
    </row>
    <row r="291" spans="12:15" x14ac:dyDescent="0.25">
      <c r="L291" s="29">
        <v>1998</v>
      </c>
      <c r="M291" s="29" t="s">
        <v>36</v>
      </c>
      <c r="N291" s="30">
        <v>72794.689939999997</v>
      </c>
      <c r="O291" s="31">
        <f t="shared" si="10"/>
        <v>71782.145819999991</v>
      </c>
    </row>
    <row r="292" spans="12:15" x14ac:dyDescent="0.25">
      <c r="L292" s="29">
        <v>1998</v>
      </c>
      <c r="M292" s="29" t="s">
        <v>37</v>
      </c>
      <c r="N292" s="30">
        <v>72794.689939999997</v>
      </c>
      <c r="O292" s="31">
        <f t="shared" si="10"/>
        <v>72794.689939999997</v>
      </c>
    </row>
    <row r="293" spans="12:15" x14ac:dyDescent="0.25">
      <c r="L293" s="29">
        <v>1998</v>
      </c>
      <c r="M293" s="29" t="s">
        <v>38</v>
      </c>
      <c r="N293" s="30">
        <v>72469.229330000002</v>
      </c>
      <c r="O293" s="31">
        <f t="shared" si="10"/>
        <v>72686.203070000003</v>
      </c>
    </row>
    <row r="294" spans="12:15" x14ac:dyDescent="0.25">
      <c r="L294" s="29">
        <v>1998</v>
      </c>
      <c r="M294" s="29" t="s">
        <v>39</v>
      </c>
      <c r="N294" s="30">
        <v>72469.229330000002</v>
      </c>
      <c r="O294" s="31">
        <f t="shared" si="10"/>
        <v>72577.71620000001</v>
      </c>
    </row>
    <row r="295" spans="12:15" x14ac:dyDescent="0.25">
      <c r="L295" s="29">
        <v>1998</v>
      </c>
      <c r="M295" s="29" t="s">
        <v>40</v>
      </c>
      <c r="N295" s="30">
        <v>72469.229330000002</v>
      </c>
      <c r="O295" s="31">
        <f t="shared" si="10"/>
        <v>72469.229330000002</v>
      </c>
    </row>
    <row r="296" spans="12:15" x14ac:dyDescent="0.25">
      <c r="L296" s="29">
        <v>1999</v>
      </c>
      <c r="M296" s="29" t="s">
        <v>29</v>
      </c>
      <c r="N296" s="30">
        <v>72903.176810000004</v>
      </c>
      <c r="O296" s="31">
        <f t="shared" si="10"/>
        <v>72613.878490000003</v>
      </c>
    </row>
    <row r="297" spans="12:15" x14ac:dyDescent="0.25">
      <c r="L297" s="29">
        <v>1999</v>
      </c>
      <c r="M297" s="29" t="s">
        <v>30</v>
      </c>
      <c r="N297" s="30">
        <v>72903.176810000004</v>
      </c>
      <c r="O297" s="31">
        <f t="shared" si="10"/>
        <v>72758.527650000004</v>
      </c>
    </row>
    <row r="298" spans="12:15" x14ac:dyDescent="0.25">
      <c r="L298" s="29">
        <v>1999</v>
      </c>
      <c r="M298" s="29" t="s">
        <v>31</v>
      </c>
      <c r="N298" s="30">
        <v>72903.176810000004</v>
      </c>
      <c r="O298" s="31">
        <f t="shared" si="10"/>
        <v>72903.176810000004</v>
      </c>
    </row>
    <row r="299" spans="12:15" x14ac:dyDescent="0.25">
      <c r="L299" s="29">
        <v>1999</v>
      </c>
      <c r="M299" s="29" t="s">
        <v>32</v>
      </c>
      <c r="N299" s="30">
        <v>75995.052609999999</v>
      </c>
      <c r="O299" s="31">
        <f t="shared" si="10"/>
        <v>73933.802076666674</v>
      </c>
    </row>
    <row r="300" spans="12:15" x14ac:dyDescent="0.25">
      <c r="L300" s="29">
        <v>1999</v>
      </c>
      <c r="M300" s="29" t="s">
        <v>33</v>
      </c>
      <c r="N300" s="30">
        <v>75995.052609999999</v>
      </c>
      <c r="O300" s="31">
        <f t="shared" si="10"/>
        <v>74964.427343333329</v>
      </c>
    </row>
    <row r="301" spans="12:15" x14ac:dyDescent="0.25">
      <c r="L301" s="29">
        <v>1999</v>
      </c>
      <c r="M301" s="29" t="s">
        <v>34</v>
      </c>
      <c r="N301" s="30">
        <v>75995.052609999999</v>
      </c>
      <c r="O301" s="31">
        <f t="shared" si="10"/>
        <v>75995.052609999999</v>
      </c>
    </row>
    <row r="302" spans="12:15" x14ac:dyDescent="0.25">
      <c r="L302" s="29">
        <v>1999</v>
      </c>
      <c r="M302" s="29" t="s">
        <v>35</v>
      </c>
      <c r="N302" s="30">
        <v>80443.014299999995</v>
      </c>
      <c r="O302" s="31">
        <f t="shared" si="10"/>
        <v>77477.706506666669</v>
      </c>
    </row>
    <row r="303" spans="12:15" x14ac:dyDescent="0.25">
      <c r="L303" s="29">
        <v>1999</v>
      </c>
      <c r="M303" s="29" t="s">
        <v>36</v>
      </c>
      <c r="N303" s="30">
        <v>80443.014299999995</v>
      </c>
      <c r="O303" s="31">
        <f t="shared" si="10"/>
        <v>78960.360403333325</v>
      </c>
    </row>
    <row r="304" spans="12:15" x14ac:dyDescent="0.25">
      <c r="L304" s="29">
        <v>1999</v>
      </c>
      <c r="M304" s="29" t="s">
        <v>37</v>
      </c>
      <c r="N304" s="30">
        <v>80443.014299999995</v>
      </c>
      <c r="O304" s="31">
        <f t="shared" si="10"/>
        <v>80443.014299999995</v>
      </c>
    </row>
    <row r="305" spans="12:15" x14ac:dyDescent="0.25">
      <c r="L305" s="29">
        <v>1999</v>
      </c>
      <c r="M305" s="29" t="s">
        <v>38</v>
      </c>
      <c r="N305" s="30">
        <v>82504.26483</v>
      </c>
      <c r="O305" s="31">
        <f t="shared" si="10"/>
        <v>81130.097809999992</v>
      </c>
    </row>
    <row r="306" spans="12:15" x14ac:dyDescent="0.25">
      <c r="L306" s="29">
        <v>1999</v>
      </c>
      <c r="M306" s="29" t="s">
        <v>39</v>
      </c>
      <c r="N306" s="30">
        <v>82504.26483</v>
      </c>
      <c r="O306" s="31">
        <f t="shared" si="10"/>
        <v>81817.181319999989</v>
      </c>
    </row>
    <row r="307" spans="12:15" x14ac:dyDescent="0.25">
      <c r="L307" s="29">
        <v>1999</v>
      </c>
      <c r="M307" s="29" t="s">
        <v>40</v>
      </c>
      <c r="N307" s="30">
        <v>82504.26483</v>
      </c>
      <c r="O307" s="31">
        <f t="shared" si="10"/>
        <v>82504.26483</v>
      </c>
    </row>
    <row r="308" spans="12:15" x14ac:dyDescent="0.25">
      <c r="L308" s="29">
        <v>2000</v>
      </c>
      <c r="M308" s="29" t="s">
        <v>29</v>
      </c>
      <c r="N308" s="30">
        <v>84619.758799999996</v>
      </c>
      <c r="O308" s="31">
        <f t="shared" si="10"/>
        <v>83209.429486666675</v>
      </c>
    </row>
    <row r="309" spans="12:15" x14ac:dyDescent="0.25">
      <c r="L309" s="29">
        <v>2000</v>
      </c>
      <c r="M309" s="29" t="s">
        <v>30</v>
      </c>
      <c r="N309" s="30">
        <v>84619.758799999996</v>
      </c>
      <c r="O309" s="31">
        <f t="shared" si="10"/>
        <v>83914.594143333336</v>
      </c>
    </row>
    <row r="310" spans="12:15" x14ac:dyDescent="0.25">
      <c r="L310" s="29">
        <v>2000</v>
      </c>
      <c r="M310" s="29" t="s">
        <v>31</v>
      </c>
      <c r="N310" s="30">
        <v>84619.758799999996</v>
      </c>
      <c r="O310" s="31">
        <f t="shared" si="10"/>
        <v>84619.758799999996</v>
      </c>
    </row>
    <row r="311" spans="12:15" x14ac:dyDescent="0.25">
      <c r="L311" s="29">
        <v>2000</v>
      </c>
      <c r="M311" s="29" t="s">
        <v>32</v>
      </c>
      <c r="N311" s="30">
        <v>89230.450790000003</v>
      </c>
      <c r="O311" s="31">
        <f t="shared" si="10"/>
        <v>86156.656130000003</v>
      </c>
    </row>
    <row r="312" spans="12:15" x14ac:dyDescent="0.25">
      <c r="L312" s="29">
        <v>2000</v>
      </c>
      <c r="M312" s="29" t="s">
        <v>33</v>
      </c>
      <c r="N312" s="30">
        <v>89230.450790000003</v>
      </c>
      <c r="O312" s="31">
        <f t="shared" si="10"/>
        <v>87693.55346000001</v>
      </c>
    </row>
    <row r="313" spans="12:15" x14ac:dyDescent="0.25">
      <c r="L313" s="29">
        <v>2000</v>
      </c>
      <c r="M313" s="29" t="s">
        <v>34</v>
      </c>
      <c r="N313" s="30">
        <v>89230.450790000003</v>
      </c>
      <c r="O313" s="31">
        <f t="shared" si="10"/>
        <v>89230.450789999988</v>
      </c>
    </row>
    <row r="314" spans="12:15" x14ac:dyDescent="0.25">
      <c r="L314" s="29">
        <v>2000</v>
      </c>
      <c r="M314" s="29" t="s">
        <v>35</v>
      </c>
      <c r="N314" s="30">
        <v>90911.997279999996</v>
      </c>
      <c r="O314" s="31">
        <f t="shared" si="10"/>
        <v>89790.966286666677</v>
      </c>
    </row>
    <row r="315" spans="12:15" x14ac:dyDescent="0.25">
      <c r="L315" s="29">
        <v>2000</v>
      </c>
      <c r="M315" s="29" t="s">
        <v>36</v>
      </c>
      <c r="N315" s="30">
        <v>90911.997279999996</v>
      </c>
      <c r="O315" s="31">
        <f t="shared" si="10"/>
        <v>90351.481783333336</v>
      </c>
    </row>
    <row r="316" spans="12:15" x14ac:dyDescent="0.25">
      <c r="L316" s="29">
        <v>2000</v>
      </c>
      <c r="M316" s="29" t="s">
        <v>37</v>
      </c>
      <c r="N316" s="30">
        <v>90911.997279999996</v>
      </c>
      <c r="O316" s="31">
        <f t="shared" si="10"/>
        <v>90911.997279999996</v>
      </c>
    </row>
    <row r="317" spans="12:15" x14ac:dyDescent="0.25">
      <c r="L317" s="29">
        <v>2000</v>
      </c>
      <c r="M317" s="29" t="s">
        <v>38</v>
      </c>
      <c r="N317" s="30">
        <v>93624.169030000005</v>
      </c>
      <c r="O317" s="31">
        <f t="shared" si="10"/>
        <v>91816.054530000009</v>
      </c>
    </row>
    <row r="318" spans="12:15" x14ac:dyDescent="0.25">
      <c r="L318" s="29">
        <v>2000</v>
      </c>
      <c r="M318" s="29" t="s">
        <v>39</v>
      </c>
      <c r="N318" s="30">
        <v>93624.169030000005</v>
      </c>
      <c r="O318" s="31">
        <f t="shared" si="10"/>
        <v>92720.111779999992</v>
      </c>
    </row>
    <row r="319" spans="12:15" x14ac:dyDescent="0.25">
      <c r="L319" s="29">
        <v>2000</v>
      </c>
      <c r="M319" s="29" t="s">
        <v>40</v>
      </c>
      <c r="N319" s="30">
        <v>93624.169030000005</v>
      </c>
      <c r="O319" s="31">
        <f t="shared" si="10"/>
        <v>93624.169030000005</v>
      </c>
    </row>
    <row r="320" spans="12:15" x14ac:dyDescent="0.25">
      <c r="L320" s="29">
        <v>2001</v>
      </c>
      <c r="M320" s="29" t="s">
        <v>29</v>
      </c>
      <c r="N320" s="30">
        <v>93135.97812</v>
      </c>
      <c r="O320" s="31">
        <f t="shared" si="10"/>
        <v>93461.438726666674</v>
      </c>
    </row>
    <row r="321" spans="12:15" x14ac:dyDescent="0.25">
      <c r="L321" s="29">
        <v>2001</v>
      </c>
      <c r="M321" s="29" t="s">
        <v>30</v>
      </c>
      <c r="N321" s="30">
        <v>93135.97812</v>
      </c>
      <c r="O321" s="31">
        <f t="shared" si="10"/>
        <v>93298.708423333344</v>
      </c>
    </row>
    <row r="322" spans="12:15" x14ac:dyDescent="0.25">
      <c r="L322" s="29">
        <v>2001</v>
      </c>
      <c r="M322" s="29" t="s">
        <v>31</v>
      </c>
      <c r="N322" s="30">
        <v>93135.97812</v>
      </c>
      <c r="O322" s="31">
        <f t="shared" si="10"/>
        <v>93135.97812</v>
      </c>
    </row>
    <row r="323" spans="12:15" x14ac:dyDescent="0.25">
      <c r="L323" s="29">
        <v>2001</v>
      </c>
      <c r="M323" s="29" t="s">
        <v>32</v>
      </c>
      <c r="N323" s="30">
        <v>96499.071089999998</v>
      </c>
      <c r="O323" s="31">
        <f t="shared" si="10"/>
        <v>94257.009109999999</v>
      </c>
    </row>
    <row r="324" spans="12:15" x14ac:dyDescent="0.25">
      <c r="L324" s="29">
        <v>2001</v>
      </c>
      <c r="M324" s="29" t="s">
        <v>33</v>
      </c>
      <c r="N324" s="30">
        <v>96499.071089999998</v>
      </c>
      <c r="O324" s="31">
        <f t="shared" si="10"/>
        <v>95378.040099999998</v>
      </c>
    </row>
    <row r="325" spans="12:15" x14ac:dyDescent="0.25">
      <c r="L325" s="29">
        <v>2001</v>
      </c>
      <c r="M325" s="29" t="s">
        <v>34</v>
      </c>
      <c r="N325" s="30">
        <v>96499.071089999998</v>
      </c>
      <c r="O325" s="31">
        <f t="shared" si="10"/>
        <v>96499.071089999998</v>
      </c>
    </row>
    <row r="326" spans="12:15" x14ac:dyDescent="0.25">
      <c r="L326" s="29">
        <v>2001</v>
      </c>
      <c r="M326" s="29" t="s">
        <v>35</v>
      </c>
      <c r="N326" s="30">
        <v>99970.650940000007</v>
      </c>
      <c r="O326" s="31">
        <f t="shared" si="10"/>
        <v>97656.264373333324</v>
      </c>
    </row>
    <row r="327" spans="12:15" x14ac:dyDescent="0.25">
      <c r="L327" s="29">
        <v>2001</v>
      </c>
      <c r="M327" s="29" t="s">
        <v>36</v>
      </c>
      <c r="N327" s="30">
        <v>99970.650940000007</v>
      </c>
      <c r="O327" s="31">
        <f t="shared" si="10"/>
        <v>98813.45765666668</v>
      </c>
    </row>
    <row r="328" spans="12:15" x14ac:dyDescent="0.25">
      <c r="L328" s="29">
        <v>2001</v>
      </c>
      <c r="M328" s="29" t="s">
        <v>37</v>
      </c>
      <c r="N328" s="30">
        <v>99970.650940000007</v>
      </c>
      <c r="O328" s="31">
        <f t="shared" si="10"/>
        <v>99970.650940000007</v>
      </c>
    </row>
    <row r="329" spans="12:15" x14ac:dyDescent="0.25">
      <c r="L329" s="29">
        <v>2001</v>
      </c>
      <c r="M329" s="29" t="s">
        <v>38</v>
      </c>
      <c r="N329" s="30">
        <v>97963.643840000004</v>
      </c>
      <c r="O329" s="31">
        <f t="shared" si="10"/>
        <v>99301.648573333339</v>
      </c>
    </row>
    <row r="330" spans="12:15" x14ac:dyDescent="0.25">
      <c r="L330" s="29">
        <v>2001</v>
      </c>
      <c r="M330" s="29" t="s">
        <v>39</v>
      </c>
      <c r="N330" s="30">
        <v>97963.643840000004</v>
      </c>
      <c r="O330" s="31">
        <f t="shared" si="10"/>
        <v>98632.646206666672</v>
      </c>
    </row>
    <row r="331" spans="12:15" x14ac:dyDescent="0.25">
      <c r="L331" s="29">
        <v>2001</v>
      </c>
      <c r="M331" s="29" t="s">
        <v>40</v>
      </c>
      <c r="N331" s="30">
        <v>97963.643840000004</v>
      </c>
      <c r="O331" s="31">
        <f t="shared" ref="O331:O394" si="11">AVERAGE(N329:N331)</f>
        <v>97963.64383999999</v>
      </c>
    </row>
    <row r="332" spans="12:15" x14ac:dyDescent="0.25">
      <c r="L332" s="29">
        <v>2002</v>
      </c>
      <c r="M332" s="29" t="s">
        <v>29</v>
      </c>
      <c r="N332" s="30">
        <v>97623.26629</v>
      </c>
      <c r="O332" s="31">
        <f t="shared" si="11"/>
        <v>97850.184656666665</v>
      </c>
    </row>
    <row r="333" spans="12:15" x14ac:dyDescent="0.25">
      <c r="L333" s="29">
        <v>2002</v>
      </c>
      <c r="M333" s="29" t="s">
        <v>30</v>
      </c>
      <c r="N333" s="30">
        <v>101164.0065</v>
      </c>
      <c r="O333" s="31">
        <f t="shared" si="11"/>
        <v>98916.972209999993</v>
      </c>
    </row>
    <row r="334" spans="12:15" x14ac:dyDescent="0.25">
      <c r="L334" s="29">
        <v>2002</v>
      </c>
      <c r="M334" s="29" t="s">
        <v>31</v>
      </c>
      <c r="N334" s="30">
        <v>104704.7467</v>
      </c>
      <c r="O334" s="31">
        <f t="shared" si="11"/>
        <v>101164.00649666668</v>
      </c>
    </row>
    <row r="335" spans="12:15" x14ac:dyDescent="0.25">
      <c r="L335" s="29">
        <v>2002</v>
      </c>
      <c r="M335" s="29" t="s">
        <v>32</v>
      </c>
      <c r="N335" s="30">
        <v>106121.0428</v>
      </c>
      <c r="O335" s="31">
        <f t="shared" si="11"/>
        <v>103996.59866666666</v>
      </c>
    </row>
    <row r="336" spans="12:15" x14ac:dyDescent="0.25">
      <c r="L336" s="29">
        <v>2002</v>
      </c>
      <c r="M336" s="29" t="s">
        <v>33</v>
      </c>
      <c r="N336" s="30">
        <v>108852.47100000001</v>
      </c>
      <c r="O336" s="31">
        <f t="shared" si="11"/>
        <v>106559.42016666668</v>
      </c>
    </row>
    <row r="337" spans="12:15" x14ac:dyDescent="0.25">
      <c r="L337" s="29">
        <v>2002</v>
      </c>
      <c r="M337" s="29" t="s">
        <v>34</v>
      </c>
      <c r="N337" s="30">
        <v>113303.68730000001</v>
      </c>
      <c r="O337" s="31">
        <f t="shared" si="11"/>
        <v>109425.7337</v>
      </c>
    </row>
    <row r="338" spans="12:15" x14ac:dyDescent="0.25">
      <c r="L338" s="29">
        <v>2002</v>
      </c>
      <c r="M338" s="29" t="s">
        <v>35</v>
      </c>
      <c r="N338" s="30">
        <v>114214.1634</v>
      </c>
      <c r="O338" s="31">
        <f t="shared" si="11"/>
        <v>112123.44056666667</v>
      </c>
    </row>
    <row r="339" spans="12:15" x14ac:dyDescent="0.25">
      <c r="L339" s="29">
        <v>2002</v>
      </c>
      <c r="M339" s="29" t="s">
        <v>36</v>
      </c>
      <c r="N339" s="30">
        <v>116743.2635</v>
      </c>
      <c r="O339" s="31">
        <f t="shared" si="11"/>
        <v>114753.70473333333</v>
      </c>
    </row>
    <row r="340" spans="12:15" x14ac:dyDescent="0.25">
      <c r="L340" s="29">
        <v>2002</v>
      </c>
      <c r="M340" s="29" t="s">
        <v>37</v>
      </c>
      <c r="N340" s="30">
        <v>119575.8557</v>
      </c>
      <c r="O340" s="31">
        <f t="shared" si="11"/>
        <v>116844.42753333335</v>
      </c>
    </row>
    <row r="341" spans="12:15" x14ac:dyDescent="0.25">
      <c r="L341" s="29">
        <v>2002</v>
      </c>
      <c r="M341" s="29" t="s">
        <v>38</v>
      </c>
      <c r="N341" s="30">
        <v>120486.3318</v>
      </c>
      <c r="O341" s="31">
        <f t="shared" si="11"/>
        <v>118935.15033333334</v>
      </c>
    </row>
    <row r="342" spans="12:15" x14ac:dyDescent="0.25">
      <c r="L342" s="29">
        <v>2002</v>
      </c>
      <c r="M342" s="29" t="s">
        <v>39</v>
      </c>
      <c r="N342" s="30">
        <v>121700.29979999999</v>
      </c>
      <c r="O342" s="31">
        <f t="shared" si="11"/>
        <v>120587.49576666666</v>
      </c>
    </row>
    <row r="343" spans="12:15" x14ac:dyDescent="0.25">
      <c r="L343" s="29">
        <v>2002</v>
      </c>
      <c r="M343" s="29" t="s">
        <v>40</v>
      </c>
      <c r="N343" s="30">
        <v>125746.86010000001</v>
      </c>
      <c r="O343" s="31">
        <f t="shared" si="11"/>
        <v>122644.49723333334</v>
      </c>
    </row>
    <row r="344" spans="12:15" x14ac:dyDescent="0.25">
      <c r="L344" s="29">
        <v>2003</v>
      </c>
      <c r="M344" s="29" t="s">
        <v>29</v>
      </c>
      <c r="N344" s="30">
        <v>124836.38400000001</v>
      </c>
      <c r="O344" s="31">
        <f t="shared" si="11"/>
        <v>124094.51463333333</v>
      </c>
    </row>
    <row r="345" spans="12:15" x14ac:dyDescent="0.25">
      <c r="L345" s="29">
        <v>2003</v>
      </c>
      <c r="M345" s="29" t="s">
        <v>30</v>
      </c>
      <c r="N345" s="30">
        <v>123521.25199999999</v>
      </c>
      <c r="O345" s="31">
        <f t="shared" si="11"/>
        <v>124701.4987</v>
      </c>
    </row>
    <row r="346" spans="12:15" x14ac:dyDescent="0.25">
      <c r="L346" s="29">
        <v>2003</v>
      </c>
      <c r="M346" s="29" t="s">
        <v>31</v>
      </c>
      <c r="N346" s="30">
        <v>126151.51609999999</v>
      </c>
      <c r="O346" s="31">
        <f t="shared" si="11"/>
        <v>124836.38403333334</v>
      </c>
    </row>
    <row r="347" spans="12:15" x14ac:dyDescent="0.25">
      <c r="L347" s="29">
        <v>2003</v>
      </c>
      <c r="M347" s="29" t="s">
        <v>32</v>
      </c>
      <c r="N347" s="30">
        <v>129186.4363</v>
      </c>
      <c r="O347" s="31">
        <f t="shared" si="11"/>
        <v>126286.40146666666</v>
      </c>
    </row>
    <row r="348" spans="12:15" x14ac:dyDescent="0.25">
      <c r="L348" s="29">
        <v>2003</v>
      </c>
      <c r="M348" s="29" t="s">
        <v>33</v>
      </c>
      <c r="N348" s="30">
        <v>128275.96030000001</v>
      </c>
      <c r="O348" s="31">
        <f t="shared" si="11"/>
        <v>127871.30423333333</v>
      </c>
    </row>
    <row r="349" spans="12:15" x14ac:dyDescent="0.25">
      <c r="L349" s="29">
        <v>2003</v>
      </c>
      <c r="M349" s="29" t="s">
        <v>34</v>
      </c>
      <c r="N349" s="30">
        <v>128579.4523</v>
      </c>
      <c r="O349" s="31">
        <f t="shared" si="11"/>
        <v>128680.61629999999</v>
      </c>
    </row>
    <row r="350" spans="12:15" x14ac:dyDescent="0.25">
      <c r="L350" s="29">
        <v>2003</v>
      </c>
      <c r="M350" s="29" t="s">
        <v>35</v>
      </c>
      <c r="N350" s="30">
        <v>130805.0604</v>
      </c>
      <c r="O350" s="31">
        <f t="shared" si="11"/>
        <v>129220.15766666667</v>
      </c>
    </row>
    <row r="351" spans="12:15" x14ac:dyDescent="0.25">
      <c r="L351" s="29">
        <v>2003</v>
      </c>
      <c r="M351" s="29" t="s">
        <v>36</v>
      </c>
      <c r="N351" s="30">
        <v>133131.83259999999</v>
      </c>
      <c r="O351" s="31">
        <f t="shared" si="11"/>
        <v>130838.78176666668</v>
      </c>
    </row>
    <row r="352" spans="12:15" x14ac:dyDescent="0.25">
      <c r="L352" s="29">
        <v>2003</v>
      </c>
      <c r="M352" s="29" t="s">
        <v>37</v>
      </c>
      <c r="N352" s="30">
        <v>132727.1765</v>
      </c>
      <c r="O352" s="31">
        <f t="shared" si="11"/>
        <v>132221.35649999999</v>
      </c>
    </row>
    <row r="353" spans="12:15" x14ac:dyDescent="0.25">
      <c r="L353" s="29">
        <v>2003</v>
      </c>
      <c r="M353" s="29" t="s">
        <v>38</v>
      </c>
      <c r="N353" s="30">
        <v>135053.94870000001</v>
      </c>
      <c r="O353" s="31">
        <f t="shared" si="11"/>
        <v>133637.6526</v>
      </c>
    </row>
    <row r="354" spans="12:15" x14ac:dyDescent="0.25">
      <c r="L354" s="29">
        <v>2003</v>
      </c>
      <c r="M354" s="29" t="s">
        <v>39</v>
      </c>
      <c r="N354" s="30">
        <v>133536.48860000001</v>
      </c>
      <c r="O354" s="31">
        <f t="shared" si="11"/>
        <v>133772.53793333334</v>
      </c>
    </row>
    <row r="355" spans="12:15" x14ac:dyDescent="0.25">
      <c r="L355" s="29">
        <v>2003</v>
      </c>
      <c r="M355" s="29" t="s">
        <v>40</v>
      </c>
      <c r="N355" s="30">
        <v>136166.75279999999</v>
      </c>
      <c r="O355" s="31">
        <f t="shared" si="11"/>
        <v>134919.06336666667</v>
      </c>
    </row>
    <row r="356" spans="12:15" x14ac:dyDescent="0.25">
      <c r="L356" s="29">
        <v>2004</v>
      </c>
      <c r="M356" s="29" t="s">
        <v>29</v>
      </c>
      <c r="N356" s="30">
        <v>136976.06479999999</v>
      </c>
      <c r="O356" s="31">
        <f t="shared" si="11"/>
        <v>135559.76873333333</v>
      </c>
    </row>
    <row r="357" spans="12:15" x14ac:dyDescent="0.25">
      <c r="L357" s="29">
        <v>2004</v>
      </c>
      <c r="M357" s="29" t="s">
        <v>30</v>
      </c>
      <c r="N357" s="30">
        <v>135660.9327</v>
      </c>
      <c r="O357" s="31">
        <f t="shared" si="11"/>
        <v>136267.91676666666</v>
      </c>
    </row>
    <row r="358" spans="12:15" x14ac:dyDescent="0.25">
      <c r="L358" s="29">
        <v>2004</v>
      </c>
      <c r="M358" s="29" t="s">
        <v>31</v>
      </c>
      <c r="N358" s="30">
        <v>135964.42480000001</v>
      </c>
      <c r="O358" s="31">
        <f t="shared" si="11"/>
        <v>136200.47409999999</v>
      </c>
    </row>
    <row r="359" spans="12:15" x14ac:dyDescent="0.25">
      <c r="L359" s="29">
        <v>2004</v>
      </c>
      <c r="M359" s="29" t="s">
        <v>32</v>
      </c>
      <c r="N359" s="30">
        <v>142135.42920000001</v>
      </c>
      <c r="O359" s="31">
        <f t="shared" si="11"/>
        <v>137920.26223333334</v>
      </c>
    </row>
    <row r="360" spans="12:15" x14ac:dyDescent="0.25">
      <c r="L360" s="29">
        <v>2004</v>
      </c>
      <c r="M360" s="29" t="s">
        <v>33</v>
      </c>
      <c r="N360" s="30">
        <v>143855.21729999999</v>
      </c>
      <c r="O360" s="31">
        <f t="shared" si="11"/>
        <v>140651.69043333337</v>
      </c>
    </row>
    <row r="361" spans="12:15" x14ac:dyDescent="0.25">
      <c r="L361" s="29">
        <v>2004</v>
      </c>
      <c r="M361" s="29" t="s">
        <v>34</v>
      </c>
      <c r="N361" s="30">
        <v>146384.3174</v>
      </c>
      <c r="O361" s="31">
        <f t="shared" si="11"/>
        <v>144124.98796666667</v>
      </c>
    </row>
    <row r="362" spans="12:15" x14ac:dyDescent="0.25">
      <c r="L362" s="29">
        <v>2004</v>
      </c>
      <c r="M362" s="29" t="s">
        <v>35</v>
      </c>
      <c r="N362" s="30">
        <v>149520.40160000001</v>
      </c>
      <c r="O362" s="31">
        <f t="shared" si="11"/>
        <v>146586.64543333332</v>
      </c>
    </row>
    <row r="363" spans="12:15" x14ac:dyDescent="0.25">
      <c r="L363" s="29">
        <v>2004</v>
      </c>
      <c r="M363" s="29" t="s">
        <v>36</v>
      </c>
      <c r="N363" s="30">
        <v>151240.18969999999</v>
      </c>
      <c r="O363" s="31">
        <f t="shared" si="11"/>
        <v>149048.30290000001</v>
      </c>
    </row>
    <row r="364" spans="12:15" x14ac:dyDescent="0.25">
      <c r="L364" s="29">
        <v>2004</v>
      </c>
      <c r="M364" s="29" t="s">
        <v>37</v>
      </c>
      <c r="N364" s="30">
        <v>150936.69769999999</v>
      </c>
      <c r="O364" s="31">
        <f t="shared" si="11"/>
        <v>150565.76300000001</v>
      </c>
    </row>
    <row r="365" spans="12:15" x14ac:dyDescent="0.25">
      <c r="L365" s="29">
        <v>2004</v>
      </c>
      <c r="M365" s="29" t="s">
        <v>38</v>
      </c>
      <c r="N365" s="30">
        <v>152049.5018</v>
      </c>
      <c r="O365" s="31">
        <f t="shared" si="11"/>
        <v>151408.79639999999</v>
      </c>
    </row>
    <row r="366" spans="12:15" x14ac:dyDescent="0.25">
      <c r="L366" s="29">
        <v>2004</v>
      </c>
      <c r="M366" s="29" t="s">
        <v>39</v>
      </c>
      <c r="N366" s="30">
        <v>151847.17379999999</v>
      </c>
      <c r="O366" s="31">
        <f t="shared" si="11"/>
        <v>151611.12443333332</v>
      </c>
    </row>
    <row r="367" spans="12:15" x14ac:dyDescent="0.25">
      <c r="L367" s="29">
        <v>2004</v>
      </c>
      <c r="M367" s="29" t="s">
        <v>40</v>
      </c>
      <c r="N367" s="30">
        <v>150734.36970000001</v>
      </c>
      <c r="O367" s="31">
        <f t="shared" si="11"/>
        <v>151543.68176666668</v>
      </c>
    </row>
    <row r="368" spans="12:15" x14ac:dyDescent="0.25">
      <c r="L368" s="29">
        <v>2005</v>
      </c>
      <c r="M368" s="29" t="s">
        <v>29</v>
      </c>
      <c r="N368" s="30">
        <v>150633.20569999999</v>
      </c>
      <c r="O368" s="31">
        <f t="shared" si="11"/>
        <v>151071.58306666667</v>
      </c>
    </row>
    <row r="369" spans="12:15" x14ac:dyDescent="0.25">
      <c r="L369" s="29">
        <v>2005</v>
      </c>
      <c r="M369" s="29" t="s">
        <v>30</v>
      </c>
      <c r="N369" s="30">
        <v>150488.43150000001</v>
      </c>
      <c r="O369" s="31">
        <f t="shared" si="11"/>
        <v>150618.66896666665</v>
      </c>
    </row>
    <row r="370" spans="12:15" x14ac:dyDescent="0.25">
      <c r="L370" s="29">
        <v>2005</v>
      </c>
      <c r="M370" s="29" t="s">
        <v>31</v>
      </c>
      <c r="N370" s="30">
        <v>151723.0387</v>
      </c>
      <c r="O370" s="31">
        <f t="shared" si="11"/>
        <v>150948.22530000002</v>
      </c>
    </row>
    <row r="371" spans="12:15" x14ac:dyDescent="0.25">
      <c r="L371" s="29">
        <v>2005</v>
      </c>
      <c r="M371" s="29" t="s">
        <v>32</v>
      </c>
      <c r="N371" s="30">
        <v>153880.3389</v>
      </c>
      <c r="O371" s="31">
        <f t="shared" si="11"/>
        <v>152030.60303333332</v>
      </c>
    </row>
    <row r="372" spans="12:15" x14ac:dyDescent="0.25">
      <c r="L372" s="29">
        <v>2005</v>
      </c>
      <c r="M372" s="29" t="s">
        <v>33</v>
      </c>
      <c r="N372" s="30">
        <v>155532.5123</v>
      </c>
      <c r="O372" s="31">
        <f t="shared" si="11"/>
        <v>153711.9633</v>
      </c>
    </row>
    <row r="373" spans="12:15" x14ac:dyDescent="0.25">
      <c r="L373" s="29">
        <v>2005</v>
      </c>
      <c r="M373" s="29" t="s">
        <v>34</v>
      </c>
      <c r="N373" s="30">
        <v>156767.05540000001</v>
      </c>
      <c r="O373" s="31">
        <f t="shared" si="11"/>
        <v>155393.30220000001</v>
      </c>
    </row>
    <row r="374" spans="12:15" x14ac:dyDescent="0.25">
      <c r="L374" s="29">
        <v>2005</v>
      </c>
      <c r="M374" s="29" t="s">
        <v>35</v>
      </c>
      <c r="N374" s="30">
        <v>158785.71290000001</v>
      </c>
      <c r="O374" s="31">
        <f t="shared" si="11"/>
        <v>157028.42686666668</v>
      </c>
    </row>
    <row r="375" spans="12:15" x14ac:dyDescent="0.25">
      <c r="L375" s="29">
        <v>2005</v>
      </c>
      <c r="M375" s="29" t="s">
        <v>36</v>
      </c>
      <c r="N375" s="30">
        <v>159431.30309999999</v>
      </c>
      <c r="O375" s="31">
        <f t="shared" si="11"/>
        <v>158328.0238</v>
      </c>
    </row>
    <row r="376" spans="12:15" x14ac:dyDescent="0.25">
      <c r="L376" s="29">
        <v>2005</v>
      </c>
      <c r="M376" s="29" t="s">
        <v>37</v>
      </c>
      <c r="N376" s="30">
        <v>159183.1158</v>
      </c>
      <c r="O376" s="31">
        <f t="shared" si="11"/>
        <v>159133.37726666665</v>
      </c>
    </row>
    <row r="377" spans="12:15" x14ac:dyDescent="0.25">
      <c r="L377" s="29">
        <v>2005</v>
      </c>
      <c r="M377" s="29" t="s">
        <v>38</v>
      </c>
      <c r="N377" s="30">
        <v>158864.53</v>
      </c>
      <c r="O377" s="31">
        <f t="shared" si="11"/>
        <v>159159.64963333332</v>
      </c>
    </row>
    <row r="378" spans="12:15" x14ac:dyDescent="0.25">
      <c r="L378" s="29">
        <v>2005</v>
      </c>
      <c r="M378" s="29" t="s">
        <v>39</v>
      </c>
      <c r="N378" s="30">
        <v>159337.33199999999</v>
      </c>
      <c r="O378" s="31">
        <f t="shared" si="11"/>
        <v>159128.32593333334</v>
      </c>
    </row>
    <row r="379" spans="12:15" x14ac:dyDescent="0.25">
      <c r="L379" s="29">
        <v>2005</v>
      </c>
      <c r="M379" s="29" t="s">
        <v>40</v>
      </c>
      <c r="N379" s="30">
        <v>160208.97270000001</v>
      </c>
      <c r="O379" s="31">
        <f t="shared" si="11"/>
        <v>159470.27823333335</v>
      </c>
    </row>
    <row r="380" spans="12:15" x14ac:dyDescent="0.25">
      <c r="L380" s="29">
        <v>2006</v>
      </c>
      <c r="M380" s="29" t="s">
        <v>29</v>
      </c>
      <c r="N380" s="30">
        <v>159969.91310000001</v>
      </c>
      <c r="O380" s="31">
        <f t="shared" si="11"/>
        <v>159838.73926666667</v>
      </c>
    </row>
    <row r="381" spans="12:15" x14ac:dyDescent="0.25">
      <c r="L381" s="29">
        <v>2006</v>
      </c>
      <c r="M381" s="29" t="s">
        <v>30</v>
      </c>
      <c r="N381" s="30">
        <v>160231.2181</v>
      </c>
      <c r="O381" s="31">
        <f t="shared" si="11"/>
        <v>160136.70130000002</v>
      </c>
    </row>
    <row r="382" spans="12:15" x14ac:dyDescent="0.25">
      <c r="L382" s="29">
        <v>2006</v>
      </c>
      <c r="M382" s="29" t="s">
        <v>31</v>
      </c>
      <c r="N382" s="30">
        <v>161530.57089999999</v>
      </c>
      <c r="O382" s="31">
        <f t="shared" si="11"/>
        <v>160577.23403333334</v>
      </c>
    </row>
    <row r="383" spans="12:15" x14ac:dyDescent="0.25">
      <c r="L383" s="29">
        <v>2006</v>
      </c>
      <c r="M383" s="29" t="s">
        <v>32</v>
      </c>
      <c r="N383" s="30">
        <v>165041.68359999999</v>
      </c>
      <c r="O383" s="31">
        <f t="shared" si="11"/>
        <v>162267.8242</v>
      </c>
    </row>
    <row r="384" spans="12:15" x14ac:dyDescent="0.25">
      <c r="L384" s="29">
        <v>2006</v>
      </c>
      <c r="M384" s="29" t="s">
        <v>33</v>
      </c>
      <c r="N384" s="30">
        <v>166605.76639999999</v>
      </c>
      <c r="O384" s="31">
        <f t="shared" si="11"/>
        <v>164392.67363333332</v>
      </c>
    </row>
    <row r="385" spans="12:15" x14ac:dyDescent="0.25">
      <c r="L385" s="29">
        <v>2006</v>
      </c>
      <c r="M385" s="29" t="s">
        <v>34</v>
      </c>
      <c r="N385" s="30">
        <v>168184.13200000001</v>
      </c>
      <c r="O385" s="31">
        <f t="shared" si="11"/>
        <v>166610.5273333333</v>
      </c>
    </row>
    <row r="386" spans="12:15" x14ac:dyDescent="0.25">
      <c r="L386" s="29">
        <v>2006</v>
      </c>
      <c r="M386" s="29" t="s">
        <v>35</v>
      </c>
      <c r="N386" s="30">
        <v>170604.4111</v>
      </c>
      <c r="O386" s="31">
        <f t="shared" si="11"/>
        <v>168464.76983333332</v>
      </c>
    </row>
    <row r="387" spans="12:15" x14ac:dyDescent="0.25">
      <c r="L387" s="29">
        <v>2006</v>
      </c>
      <c r="M387" s="29" t="s">
        <v>36</v>
      </c>
      <c r="N387" s="30">
        <v>172036.6496</v>
      </c>
      <c r="O387" s="31">
        <f t="shared" si="11"/>
        <v>170275.06423333334</v>
      </c>
    </row>
    <row r="388" spans="12:15" x14ac:dyDescent="0.25">
      <c r="L388" s="29">
        <v>2006</v>
      </c>
      <c r="M388" s="29" t="s">
        <v>37</v>
      </c>
      <c r="N388" s="30">
        <v>172738.0135</v>
      </c>
      <c r="O388" s="31">
        <f t="shared" si="11"/>
        <v>171793.02473333335</v>
      </c>
    </row>
    <row r="389" spans="12:15" x14ac:dyDescent="0.25">
      <c r="L389" s="29">
        <v>2006</v>
      </c>
      <c r="M389" s="29" t="s">
        <v>38</v>
      </c>
      <c r="N389" s="30">
        <v>173749.7836</v>
      </c>
      <c r="O389" s="31">
        <f t="shared" si="11"/>
        <v>172841.48223333331</v>
      </c>
    </row>
    <row r="390" spans="12:15" x14ac:dyDescent="0.25">
      <c r="L390" s="29">
        <v>2006</v>
      </c>
      <c r="M390" s="29" t="s">
        <v>39</v>
      </c>
      <c r="N390" s="30">
        <v>174644.40659999999</v>
      </c>
      <c r="O390" s="31">
        <f t="shared" si="11"/>
        <v>173710.73456666665</v>
      </c>
    </row>
    <row r="391" spans="12:15" x14ac:dyDescent="0.25">
      <c r="L391" s="29">
        <v>2006</v>
      </c>
      <c r="M391" s="29" t="s">
        <v>40</v>
      </c>
      <c r="N391" s="30">
        <v>176819.0361</v>
      </c>
      <c r="O391" s="31">
        <f t="shared" si="11"/>
        <v>175071.07543333332</v>
      </c>
    </row>
    <row r="392" spans="12:15" x14ac:dyDescent="0.25">
      <c r="L392" s="29">
        <v>2007</v>
      </c>
      <c r="M392" s="29" t="s">
        <v>29</v>
      </c>
      <c r="N392" s="30">
        <v>176757.93549999999</v>
      </c>
      <c r="O392" s="31">
        <f t="shared" si="11"/>
        <v>176073.79273333334</v>
      </c>
    </row>
    <row r="393" spans="12:15" x14ac:dyDescent="0.25">
      <c r="L393" s="29">
        <v>2007</v>
      </c>
      <c r="M393" s="29" t="s">
        <v>30</v>
      </c>
      <c r="N393" s="30">
        <v>177261.06479999999</v>
      </c>
      <c r="O393" s="31">
        <f t="shared" si="11"/>
        <v>176946.01213333334</v>
      </c>
    </row>
    <row r="394" spans="12:15" x14ac:dyDescent="0.25">
      <c r="L394" s="29">
        <v>2007</v>
      </c>
      <c r="M394" s="29" t="s">
        <v>31</v>
      </c>
      <c r="N394" s="30">
        <v>178636.42970000001</v>
      </c>
      <c r="O394" s="31">
        <f t="shared" si="11"/>
        <v>177551.80999999997</v>
      </c>
    </row>
    <row r="395" spans="12:15" x14ac:dyDescent="0.25">
      <c r="L395" s="29">
        <v>2007</v>
      </c>
      <c r="M395" s="29" t="s">
        <v>32</v>
      </c>
      <c r="N395" s="30">
        <v>182242.64170000001</v>
      </c>
      <c r="O395" s="31">
        <f t="shared" ref="O395:O458" si="12">AVERAGE(N393:N395)</f>
        <v>179380.04540000003</v>
      </c>
    </row>
    <row r="396" spans="12:15" x14ac:dyDescent="0.25">
      <c r="L396" s="29">
        <v>2007</v>
      </c>
      <c r="M396" s="29" t="s">
        <v>33</v>
      </c>
      <c r="N396" s="30">
        <v>184330.399</v>
      </c>
      <c r="O396" s="31">
        <f t="shared" si="12"/>
        <v>181736.49013333334</v>
      </c>
    </row>
    <row r="397" spans="12:15" x14ac:dyDescent="0.25">
      <c r="L397" s="29">
        <v>2007</v>
      </c>
      <c r="M397" s="29" t="s">
        <v>34</v>
      </c>
      <c r="N397" s="30">
        <v>186348.11919999999</v>
      </c>
      <c r="O397" s="31">
        <f t="shared" si="12"/>
        <v>184307.0533</v>
      </c>
    </row>
    <row r="398" spans="12:15" x14ac:dyDescent="0.25">
      <c r="L398" s="29">
        <v>2007</v>
      </c>
      <c r="M398" s="29" t="s">
        <v>35</v>
      </c>
      <c r="N398" s="30">
        <v>188691.02970000001</v>
      </c>
      <c r="O398" s="31">
        <f t="shared" si="12"/>
        <v>186456.51596666666</v>
      </c>
    </row>
    <row r="399" spans="12:15" x14ac:dyDescent="0.25">
      <c r="L399" s="29">
        <v>2007</v>
      </c>
      <c r="M399" s="29" t="s">
        <v>36</v>
      </c>
      <c r="N399" s="30">
        <v>189785.65900000001</v>
      </c>
      <c r="O399" s="31">
        <f t="shared" si="12"/>
        <v>188274.93596666667</v>
      </c>
    </row>
    <row r="400" spans="12:15" x14ac:dyDescent="0.25">
      <c r="L400" s="29">
        <v>2007</v>
      </c>
      <c r="M400" s="29" t="s">
        <v>37</v>
      </c>
      <c r="N400" s="30">
        <v>190031.91</v>
      </c>
      <c r="O400" s="31">
        <f t="shared" si="12"/>
        <v>189502.86623333336</v>
      </c>
    </row>
    <row r="401" spans="12:15" x14ac:dyDescent="0.25">
      <c r="L401" s="29">
        <v>2007</v>
      </c>
      <c r="M401" s="29" t="s">
        <v>38</v>
      </c>
      <c r="N401" s="30">
        <v>189588.81940000001</v>
      </c>
      <c r="O401" s="31">
        <f t="shared" si="12"/>
        <v>189802.12946666669</v>
      </c>
    </row>
    <row r="402" spans="12:15" x14ac:dyDescent="0.25">
      <c r="L402" s="29">
        <v>2007</v>
      </c>
      <c r="M402" s="29" t="s">
        <v>39</v>
      </c>
      <c r="N402" s="30">
        <v>189489.2023</v>
      </c>
      <c r="O402" s="31">
        <f t="shared" si="12"/>
        <v>189703.31056666668</v>
      </c>
    </row>
    <row r="403" spans="12:15" x14ac:dyDescent="0.25">
      <c r="L403" s="29">
        <v>2007</v>
      </c>
      <c r="M403" s="29" t="s">
        <v>40</v>
      </c>
      <c r="N403" s="30">
        <v>189193.4909</v>
      </c>
      <c r="O403" s="31">
        <f t="shared" si="12"/>
        <v>189423.83753333334</v>
      </c>
    </row>
    <row r="404" spans="12:15" x14ac:dyDescent="0.25">
      <c r="L404" s="29">
        <v>2008</v>
      </c>
      <c r="M404" s="29" t="s">
        <v>29</v>
      </c>
      <c r="N404" s="30">
        <v>185781.63159999999</v>
      </c>
      <c r="O404" s="31">
        <f t="shared" si="12"/>
        <v>188154.7749333333</v>
      </c>
    </row>
    <row r="405" spans="12:15" x14ac:dyDescent="0.25">
      <c r="L405" s="29">
        <v>2008</v>
      </c>
      <c r="M405" s="29" t="s">
        <v>30</v>
      </c>
      <c r="N405" s="30">
        <v>184184.65479999999</v>
      </c>
      <c r="O405" s="31">
        <f t="shared" si="12"/>
        <v>186386.59243333331</v>
      </c>
    </row>
    <row r="406" spans="12:15" x14ac:dyDescent="0.25">
      <c r="L406" s="29">
        <v>2008</v>
      </c>
      <c r="M406" s="29" t="s">
        <v>31</v>
      </c>
      <c r="N406" s="30">
        <v>182844.75769999999</v>
      </c>
      <c r="O406" s="31">
        <f t="shared" si="12"/>
        <v>184270.34803333331</v>
      </c>
    </row>
    <row r="407" spans="12:15" x14ac:dyDescent="0.25">
      <c r="L407" s="29">
        <v>2008</v>
      </c>
      <c r="M407" s="29" t="s">
        <v>32</v>
      </c>
      <c r="N407" s="30">
        <v>183147.84039999999</v>
      </c>
      <c r="O407" s="31">
        <f t="shared" si="12"/>
        <v>183392.41763333333</v>
      </c>
    </row>
    <row r="408" spans="12:15" x14ac:dyDescent="0.25">
      <c r="L408" s="29">
        <v>2008</v>
      </c>
      <c r="M408" s="29" t="s">
        <v>33</v>
      </c>
      <c r="N408" s="30">
        <v>184267.36809999999</v>
      </c>
      <c r="O408" s="31">
        <f t="shared" si="12"/>
        <v>183419.9887333333</v>
      </c>
    </row>
    <row r="409" spans="12:15" x14ac:dyDescent="0.25">
      <c r="L409" s="29">
        <v>2008</v>
      </c>
      <c r="M409" s="29" t="s">
        <v>34</v>
      </c>
      <c r="N409" s="30">
        <v>181830.6502</v>
      </c>
      <c r="O409" s="31">
        <f t="shared" si="12"/>
        <v>183081.9529</v>
      </c>
    </row>
    <row r="410" spans="12:15" x14ac:dyDescent="0.25">
      <c r="L410" s="29">
        <v>2008</v>
      </c>
      <c r="M410" s="29" t="s">
        <v>35</v>
      </c>
      <c r="N410" s="30">
        <v>179845.201</v>
      </c>
      <c r="O410" s="31">
        <f t="shared" si="12"/>
        <v>181981.07310000001</v>
      </c>
    </row>
    <row r="411" spans="12:15" x14ac:dyDescent="0.25">
      <c r="L411" s="29">
        <v>2008</v>
      </c>
      <c r="M411" s="29" t="s">
        <v>36</v>
      </c>
      <c r="N411" s="30">
        <v>176092.35709999999</v>
      </c>
      <c r="O411" s="31">
        <f t="shared" si="12"/>
        <v>179256.06943333335</v>
      </c>
    </row>
    <row r="412" spans="12:15" x14ac:dyDescent="0.25">
      <c r="L412" s="29">
        <v>2008</v>
      </c>
      <c r="M412" s="29" t="s">
        <v>37</v>
      </c>
      <c r="N412" s="30">
        <v>171659.52129999999</v>
      </c>
      <c r="O412" s="31">
        <f t="shared" si="12"/>
        <v>175865.69313333335</v>
      </c>
    </row>
    <row r="413" spans="12:15" x14ac:dyDescent="0.25">
      <c r="L413" s="29">
        <v>2008</v>
      </c>
      <c r="M413" s="29" t="s">
        <v>38</v>
      </c>
      <c r="N413" s="30">
        <v>168177.10130000001</v>
      </c>
      <c r="O413" s="31">
        <f t="shared" si="12"/>
        <v>171976.32656666668</v>
      </c>
    </row>
    <row r="414" spans="12:15" x14ac:dyDescent="0.25">
      <c r="L414" s="29">
        <v>2008</v>
      </c>
      <c r="M414" s="29" t="s">
        <v>39</v>
      </c>
      <c r="N414" s="30">
        <v>163446.93470000001</v>
      </c>
      <c r="O414" s="31">
        <f t="shared" si="12"/>
        <v>167761.18576666666</v>
      </c>
    </row>
    <row r="415" spans="12:15" x14ac:dyDescent="0.25">
      <c r="L415" s="29">
        <v>2008</v>
      </c>
      <c r="M415" s="29" t="s">
        <v>40</v>
      </c>
      <c r="N415" s="30">
        <v>160954.2262</v>
      </c>
      <c r="O415" s="31">
        <f t="shared" si="12"/>
        <v>164192.75406666668</v>
      </c>
    </row>
    <row r="416" spans="12:15" x14ac:dyDescent="0.25">
      <c r="L416" s="29">
        <v>2009</v>
      </c>
      <c r="M416" s="29" t="s">
        <v>29</v>
      </c>
      <c r="N416" s="30">
        <v>157233.924</v>
      </c>
      <c r="O416" s="31">
        <f t="shared" si="12"/>
        <v>160545.02830000001</v>
      </c>
    </row>
    <row r="417" spans="12:15" x14ac:dyDescent="0.25">
      <c r="L417" s="29">
        <v>2009</v>
      </c>
      <c r="M417" s="29" t="s">
        <v>30</v>
      </c>
      <c r="N417" s="30">
        <v>155417.38519999999</v>
      </c>
      <c r="O417" s="31">
        <f t="shared" si="12"/>
        <v>157868.51180000001</v>
      </c>
    </row>
    <row r="418" spans="12:15" x14ac:dyDescent="0.25">
      <c r="L418" s="29">
        <v>2009</v>
      </c>
      <c r="M418" s="29" t="s">
        <v>31</v>
      </c>
      <c r="N418" s="30">
        <v>154452.3806</v>
      </c>
      <c r="O418" s="31">
        <f t="shared" si="12"/>
        <v>155701.22993333335</v>
      </c>
    </row>
    <row r="419" spans="12:15" x14ac:dyDescent="0.25">
      <c r="L419" s="29">
        <v>2009</v>
      </c>
      <c r="M419" s="29" t="s">
        <v>32</v>
      </c>
      <c r="N419" s="30">
        <v>155852.1556</v>
      </c>
      <c r="O419" s="31">
        <f t="shared" si="12"/>
        <v>155240.64046666666</v>
      </c>
    </row>
    <row r="420" spans="12:15" x14ac:dyDescent="0.25">
      <c r="L420" s="29">
        <v>2009</v>
      </c>
      <c r="M420" s="29" t="s">
        <v>33</v>
      </c>
      <c r="N420" s="30">
        <v>158004.4662</v>
      </c>
      <c r="O420" s="31">
        <f t="shared" si="12"/>
        <v>156103.00080000001</v>
      </c>
    </row>
    <row r="421" spans="12:15" x14ac:dyDescent="0.25">
      <c r="L421" s="29">
        <v>2009</v>
      </c>
      <c r="M421" s="29" t="s">
        <v>34</v>
      </c>
      <c r="N421" s="30">
        <v>159561.06049999999</v>
      </c>
      <c r="O421" s="31">
        <f t="shared" si="12"/>
        <v>157805.8941</v>
      </c>
    </row>
    <row r="422" spans="12:15" x14ac:dyDescent="0.25">
      <c r="L422" s="29">
        <v>2009</v>
      </c>
      <c r="M422" s="29" t="s">
        <v>35</v>
      </c>
      <c r="N422" s="30">
        <v>162423.26860000001</v>
      </c>
      <c r="O422" s="31">
        <f t="shared" si="12"/>
        <v>159996.26509999999</v>
      </c>
    </row>
    <row r="423" spans="12:15" x14ac:dyDescent="0.25">
      <c r="L423" s="29">
        <v>2009</v>
      </c>
      <c r="M423" s="29" t="s">
        <v>36</v>
      </c>
      <c r="N423" s="30">
        <v>164025.32010000001</v>
      </c>
      <c r="O423" s="31">
        <f t="shared" si="12"/>
        <v>162003.2164</v>
      </c>
    </row>
    <row r="424" spans="12:15" x14ac:dyDescent="0.25">
      <c r="L424" s="29">
        <v>2009</v>
      </c>
      <c r="M424" s="29" t="s">
        <v>37</v>
      </c>
      <c r="N424" s="30">
        <v>165313.77009999999</v>
      </c>
      <c r="O424" s="31">
        <f t="shared" si="12"/>
        <v>163920.78626666669</v>
      </c>
    </row>
    <row r="425" spans="12:15" x14ac:dyDescent="0.25">
      <c r="L425" s="29">
        <v>2009</v>
      </c>
      <c r="M425" s="29" t="s">
        <v>38</v>
      </c>
      <c r="N425" s="30">
        <v>166424.90270000001</v>
      </c>
      <c r="O425" s="31">
        <f t="shared" si="12"/>
        <v>165254.66429999997</v>
      </c>
    </row>
    <row r="426" spans="12:15" x14ac:dyDescent="0.25">
      <c r="L426" s="29">
        <v>2009</v>
      </c>
      <c r="M426" s="29" t="s">
        <v>39</v>
      </c>
      <c r="N426" s="30">
        <v>166986.14869999999</v>
      </c>
      <c r="O426" s="31">
        <f t="shared" si="12"/>
        <v>166241.60716666665</v>
      </c>
    </row>
    <row r="427" spans="12:15" x14ac:dyDescent="0.25">
      <c r="L427" s="29">
        <v>2009</v>
      </c>
      <c r="M427" s="29" t="s">
        <v>40</v>
      </c>
      <c r="N427" s="30">
        <v>168081.6091</v>
      </c>
      <c r="O427" s="31">
        <f t="shared" si="12"/>
        <v>167164.22016666667</v>
      </c>
    </row>
    <row r="428" spans="12:15" x14ac:dyDescent="0.25">
      <c r="L428" s="29">
        <v>2010</v>
      </c>
      <c r="M428" s="29" t="s">
        <v>29</v>
      </c>
      <c r="N428" s="30">
        <v>167468.92989999999</v>
      </c>
      <c r="O428" s="31">
        <f t="shared" si="12"/>
        <v>167512.22923333335</v>
      </c>
    </row>
    <row r="429" spans="12:15" x14ac:dyDescent="0.25">
      <c r="L429" s="29">
        <v>2010</v>
      </c>
      <c r="M429" s="29" t="s">
        <v>30</v>
      </c>
      <c r="N429" s="30">
        <v>167887.68220000001</v>
      </c>
      <c r="O429" s="31">
        <f t="shared" si="12"/>
        <v>167812.74040000001</v>
      </c>
    </row>
    <row r="430" spans="12:15" x14ac:dyDescent="0.25">
      <c r="L430" s="29">
        <v>2010</v>
      </c>
      <c r="M430" s="29" t="s">
        <v>31</v>
      </c>
      <c r="N430" s="30">
        <v>167877.95079999999</v>
      </c>
      <c r="O430" s="31">
        <f t="shared" si="12"/>
        <v>167744.85430000001</v>
      </c>
    </row>
    <row r="431" spans="12:15" x14ac:dyDescent="0.25">
      <c r="L431" s="29">
        <v>2010</v>
      </c>
      <c r="M431" s="29" t="s">
        <v>32</v>
      </c>
      <c r="N431" s="30">
        <v>170027.8904</v>
      </c>
      <c r="O431" s="31">
        <f t="shared" si="12"/>
        <v>168597.84113333336</v>
      </c>
    </row>
    <row r="432" spans="12:15" x14ac:dyDescent="0.25">
      <c r="L432" s="29">
        <v>2010</v>
      </c>
      <c r="M432" s="29" t="s">
        <v>33</v>
      </c>
      <c r="N432" s="30">
        <v>170845.92509999999</v>
      </c>
      <c r="O432" s="31">
        <f t="shared" si="12"/>
        <v>169583.9221</v>
      </c>
    </row>
    <row r="433" spans="12:15" x14ac:dyDescent="0.25">
      <c r="L433" s="29">
        <v>2010</v>
      </c>
      <c r="M433" s="29" t="s">
        <v>34</v>
      </c>
      <c r="N433" s="30">
        <v>171688.53700000001</v>
      </c>
      <c r="O433" s="31">
        <f t="shared" si="12"/>
        <v>170854.11750000002</v>
      </c>
    </row>
    <row r="434" spans="12:15" x14ac:dyDescent="0.25">
      <c r="L434" s="29">
        <v>2010</v>
      </c>
      <c r="M434" s="29" t="s">
        <v>35</v>
      </c>
      <c r="N434" s="30">
        <v>173427.1067</v>
      </c>
      <c r="O434" s="31">
        <f t="shared" si="12"/>
        <v>171987.18960000001</v>
      </c>
    </row>
    <row r="435" spans="12:15" x14ac:dyDescent="0.25">
      <c r="L435" s="29">
        <v>2010</v>
      </c>
      <c r="M435" s="29" t="s">
        <v>36</v>
      </c>
      <c r="N435" s="30">
        <v>173417.4578</v>
      </c>
      <c r="O435" s="31">
        <f t="shared" si="12"/>
        <v>172844.36716666666</v>
      </c>
    </row>
    <row r="436" spans="12:15" x14ac:dyDescent="0.25">
      <c r="L436" s="29">
        <v>2010</v>
      </c>
      <c r="M436" s="29" t="s">
        <v>37</v>
      </c>
      <c r="N436" s="30">
        <v>172972.04430000001</v>
      </c>
      <c r="O436" s="31">
        <f t="shared" si="12"/>
        <v>173272.20293333332</v>
      </c>
    </row>
    <row r="437" spans="12:15" x14ac:dyDescent="0.25">
      <c r="L437" s="29">
        <v>2010</v>
      </c>
      <c r="M437" s="29" t="s">
        <v>38</v>
      </c>
      <c r="N437" s="30">
        <v>171044.72440000001</v>
      </c>
      <c r="O437" s="31">
        <f t="shared" si="12"/>
        <v>172478.07550000001</v>
      </c>
    </row>
    <row r="438" spans="12:15" x14ac:dyDescent="0.25">
      <c r="L438" s="29">
        <v>2010</v>
      </c>
      <c r="M438" s="29" t="s">
        <v>39</v>
      </c>
      <c r="N438" s="30">
        <v>169013.14360000001</v>
      </c>
      <c r="O438" s="31">
        <f t="shared" si="12"/>
        <v>171009.97076666667</v>
      </c>
    </row>
    <row r="439" spans="12:15" x14ac:dyDescent="0.25">
      <c r="L439" s="29">
        <v>2010</v>
      </c>
      <c r="M439" s="29" t="s">
        <v>40</v>
      </c>
      <c r="N439" s="30">
        <v>168702.72140000001</v>
      </c>
      <c r="O439" s="31">
        <f t="shared" si="12"/>
        <v>169586.86313333336</v>
      </c>
    </row>
    <row r="440" spans="12:15" x14ac:dyDescent="0.25">
      <c r="L440" s="29">
        <v>2011</v>
      </c>
      <c r="M440" s="29" t="s">
        <v>29</v>
      </c>
      <c r="N440" s="30">
        <v>167300.24040000001</v>
      </c>
      <c r="O440" s="31">
        <f t="shared" si="12"/>
        <v>168338.70180000001</v>
      </c>
    </row>
    <row r="441" spans="12:15" x14ac:dyDescent="0.25">
      <c r="L441" s="29">
        <v>2011</v>
      </c>
      <c r="M441" s="29" t="s">
        <v>30</v>
      </c>
      <c r="N441" s="30">
        <v>166415.16029999999</v>
      </c>
      <c r="O441" s="31">
        <f t="shared" si="12"/>
        <v>167472.70736666667</v>
      </c>
    </row>
    <row r="442" spans="12:15" x14ac:dyDescent="0.25">
      <c r="L442" s="29">
        <v>2011</v>
      </c>
      <c r="M442" s="29" t="s">
        <v>31</v>
      </c>
      <c r="N442" s="30">
        <v>165648.5379</v>
      </c>
      <c r="O442" s="31">
        <f t="shared" si="12"/>
        <v>166454.64619999999</v>
      </c>
    </row>
    <row r="443" spans="12:15" x14ac:dyDescent="0.25">
      <c r="L443" s="29">
        <v>2011</v>
      </c>
      <c r="M443" s="29" t="s">
        <v>32</v>
      </c>
      <c r="N443" s="30">
        <v>168218.06</v>
      </c>
      <c r="O443" s="31">
        <f t="shared" si="12"/>
        <v>166760.58606666667</v>
      </c>
    </row>
    <row r="444" spans="12:15" x14ac:dyDescent="0.25">
      <c r="L444" s="29">
        <v>2011</v>
      </c>
      <c r="M444" s="29" t="s">
        <v>33</v>
      </c>
      <c r="N444" s="30">
        <v>167469.71429999999</v>
      </c>
      <c r="O444" s="31">
        <f t="shared" si="12"/>
        <v>167112.10406666665</v>
      </c>
    </row>
    <row r="445" spans="12:15" x14ac:dyDescent="0.25">
      <c r="L445" s="29">
        <v>2011</v>
      </c>
      <c r="M445" s="29" t="s">
        <v>34</v>
      </c>
      <c r="N445" s="30">
        <v>167752.9093</v>
      </c>
      <c r="O445" s="31">
        <f t="shared" si="12"/>
        <v>167813.5612</v>
      </c>
    </row>
    <row r="446" spans="12:15" x14ac:dyDescent="0.25">
      <c r="L446" s="29">
        <v>2011</v>
      </c>
      <c r="M446" s="29" t="s">
        <v>35</v>
      </c>
      <c r="N446" s="30">
        <v>169865.81210000001</v>
      </c>
      <c r="O446" s="31">
        <f t="shared" si="12"/>
        <v>168362.8119</v>
      </c>
    </row>
    <row r="447" spans="12:15" x14ac:dyDescent="0.25">
      <c r="L447" s="29">
        <v>2011</v>
      </c>
      <c r="M447" s="29" t="s">
        <v>36</v>
      </c>
      <c r="N447" s="30">
        <v>169968.016</v>
      </c>
      <c r="O447" s="31">
        <f t="shared" si="12"/>
        <v>169195.57913333335</v>
      </c>
    </row>
    <row r="448" spans="12:15" x14ac:dyDescent="0.25">
      <c r="L448" s="29">
        <v>2011</v>
      </c>
      <c r="M448" s="29" t="s">
        <v>37</v>
      </c>
      <c r="N448" s="30">
        <v>169543.57339999999</v>
      </c>
      <c r="O448" s="31">
        <f t="shared" si="12"/>
        <v>169792.46716666667</v>
      </c>
    </row>
    <row r="449" spans="12:15" x14ac:dyDescent="0.25">
      <c r="L449" s="29">
        <v>2011</v>
      </c>
      <c r="M449" s="29" t="s">
        <v>38</v>
      </c>
      <c r="N449" s="30">
        <v>167673.16800000001</v>
      </c>
      <c r="O449" s="31">
        <f t="shared" si="12"/>
        <v>169061.5858</v>
      </c>
    </row>
    <row r="450" spans="12:15" x14ac:dyDescent="0.25">
      <c r="L450" s="29">
        <v>2011</v>
      </c>
      <c r="M450" s="29" t="s">
        <v>39</v>
      </c>
      <c r="N450" s="30">
        <v>167756.8878</v>
      </c>
      <c r="O450" s="31">
        <f t="shared" si="12"/>
        <v>168324.54306666667</v>
      </c>
    </row>
    <row r="451" spans="12:15" x14ac:dyDescent="0.25">
      <c r="L451" s="29">
        <v>2011</v>
      </c>
      <c r="M451" s="29" t="s">
        <v>40</v>
      </c>
      <c r="N451" s="30">
        <v>167047.77059999999</v>
      </c>
      <c r="O451" s="31">
        <f t="shared" si="12"/>
        <v>167492.60879999999</v>
      </c>
    </row>
    <row r="452" spans="12:15" x14ac:dyDescent="0.25">
      <c r="L452" s="29">
        <v>2012</v>
      </c>
      <c r="M452" s="29" t="s">
        <v>29</v>
      </c>
      <c r="N452" s="30">
        <v>165908.4809</v>
      </c>
      <c r="O452" s="31">
        <f t="shared" si="12"/>
        <v>166904.37976666665</v>
      </c>
    </row>
    <row r="453" spans="12:15" x14ac:dyDescent="0.25">
      <c r="L453" s="29">
        <v>2012</v>
      </c>
      <c r="M453" s="29" t="s">
        <v>30</v>
      </c>
      <c r="N453" s="30">
        <v>165457.07980000001</v>
      </c>
      <c r="O453" s="31">
        <f t="shared" si="12"/>
        <v>166137.77710000001</v>
      </c>
    </row>
    <row r="454" spans="12:15" x14ac:dyDescent="0.25">
      <c r="L454" s="29">
        <v>2012</v>
      </c>
      <c r="M454" s="29" t="s">
        <v>31</v>
      </c>
      <c r="N454" s="30">
        <v>165947.32740000001</v>
      </c>
      <c r="O454" s="31">
        <f t="shared" si="12"/>
        <v>165770.9627</v>
      </c>
    </row>
    <row r="455" spans="12:15" x14ac:dyDescent="0.25">
      <c r="L455" s="29">
        <v>2012</v>
      </c>
      <c r="M455" s="29" t="s">
        <v>32</v>
      </c>
      <c r="N455" s="30">
        <v>167854.02050000001</v>
      </c>
      <c r="O455" s="31">
        <f t="shared" si="12"/>
        <v>166419.47589999999</v>
      </c>
    </row>
    <row r="456" spans="12:15" x14ac:dyDescent="0.25">
      <c r="L456" s="29">
        <v>2012</v>
      </c>
      <c r="M456" s="29" t="s">
        <v>33</v>
      </c>
      <c r="N456" s="30">
        <v>168395.3676</v>
      </c>
      <c r="O456" s="31">
        <f t="shared" si="12"/>
        <v>167398.90516666669</v>
      </c>
    </row>
    <row r="457" spans="12:15" x14ac:dyDescent="0.25">
      <c r="L457" s="29">
        <v>2012</v>
      </c>
      <c r="M457" s="29" t="s">
        <v>34</v>
      </c>
      <c r="N457" s="30">
        <v>170049.1636</v>
      </c>
      <c r="O457" s="31">
        <f t="shared" si="12"/>
        <v>168766.18389999997</v>
      </c>
    </row>
    <row r="458" spans="12:15" x14ac:dyDescent="0.25">
      <c r="L458" s="29">
        <v>2012</v>
      </c>
      <c r="M458" s="29" t="s">
        <v>35</v>
      </c>
      <c r="N458" s="30">
        <v>170701.1966</v>
      </c>
      <c r="O458" s="31">
        <f t="shared" si="12"/>
        <v>169715.2426</v>
      </c>
    </row>
    <row r="459" spans="12:15" x14ac:dyDescent="0.25">
      <c r="L459" s="29">
        <v>2012</v>
      </c>
      <c r="M459" s="29" t="s">
        <v>36</v>
      </c>
      <c r="N459" s="30">
        <v>170902.37760000001</v>
      </c>
      <c r="O459" s="31">
        <f t="shared" ref="O459:O522" si="13">AVERAGE(N457:N459)</f>
        <v>170550.91260000001</v>
      </c>
    </row>
    <row r="460" spans="12:15" x14ac:dyDescent="0.25">
      <c r="L460" s="29">
        <v>2012</v>
      </c>
      <c r="M460" s="29" t="s">
        <v>37</v>
      </c>
      <c r="N460" s="30">
        <v>170295.1292</v>
      </c>
      <c r="O460" s="31">
        <f t="shared" si="13"/>
        <v>170632.90113333333</v>
      </c>
    </row>
    <row r="461" spans="12:15" x14ac:dyDescent="0.25">
      <c r="L461" s="29">
        <v>2012</v>
      </c>
      <c r="M461" s="29" t="s">
        <v>38</v>
      </c>
      <c r="N461" s="30">
        <v>169089.51809999999</v>
      </c>
      <c r="O461" s="31">
        <f t="shared" si="13"/>
        <v>170095.67496666664</v>
      </c>
    </row>
    <row r="462" spans="12:15" x14ac:dyDescent="0.25">
      <c r="L462" s="29">
        <v>2012</v>
      </c>
      <c r="M462" s="29" t="s">
        <v>39</v>
      </c>
      <c r="N462" s="30">
        <v>169227.25090000001</v>
      </c>
      <c r="O462" s="31">
        <f t="shared" si="13"/>
        <v>169537.29939999999</v>
      </c>
    </row>
    <row r="463" spans="12:15" x14ac:dyDescent="0.25">
      <c r="L463" s="29">
        <v>2012</v>
      </c>
      <c r="M463" s="29" t="s">
        <v>40</v>
      </c>
      <c r="N463" s="30">
        <v>168842.84340000001</v>
      </c>
      <c r="O463" s="31">
        <f t="shared" si="13"/>
        <v>169053.20413333332</v>
      </c>
    </row>
    <row r="464" spans="12:15" x14ac:dyDescent="0.25">
      <c r="L464" s="29">
        <v>2013</v>
      </c>
      <c r="M464" s="29" t="s">
        <v>29</v>
      </c>
      <c r="N464" s="30">
        <v>167715.59460000001</v>
      </c>
      <c r="O464" s="31">
        <f t="shared" si="13"/>
        <v>168595.22963333334</v>
      </c>
    </row>
    <row r="465" spans="12:15" x14ac:dyDescent="0.25">
      <c r="L465" s="29">
        <v>2013</v>
      </c>
      <c r="M465" s="29" t="s">
        <v>30</v>
      </c>
      <c r="N465" s="30">
        <v>167682.45980000001</v>
      </c>
      <c r="O465" s="31">
        <f t="shared" si="13"/>
        <v>168080.29926666667</v>
      </c>
    </row>
    <row r="466" spans="12:15" x14ac:dyDescent="0.25">
      <c r="L466" s="29">
        <v>2013</v>
      </c>
      <c r="M466" s="29" t="s">
        <v>31</v>
      </c>
      <c r="N466" s="30">
        <v>168681.46840000001</v>
      </c>
      <c r="O466" s="31">
        <f t="shared" si="13"/>
        <v>168026.50760000001</v>
      </c>
    </row>
    <row r="467" spans="12:15" x14ac:dyDescent="0.25">
      <c r="L467" s="29">
        <v>2013</v>
      </c>
      <c r="M467" s="29" t="s">
        <v>32</v>
      </c>
      <c r="N467" s="30">
        <v>170335.36859999999</v>
      </c>
      <c r="O467" s="31">
        <f t="shared" si="13"/>
        <v>168899.76560000001</v>
      </c>
    </row>
    <row r="468" spans="12:15" x14ac:dyDescent="0.25">
      <c r="L468" s="29">
        <v>2013</v>
      </c>
      <c r="M468" s="29" t="s">
        <v>33</v>
      </c>
      <c r="N468" s="30">
        <v>171233.75380000001</v>
      </c>
      <c r="O468" s="31">
        <f t="shared" si="13"/>
        <v>170083.53026666667</v>
      </c>
    </row>
    <row r="469" spans="12:15" x14ac:dyDescent="0.25">
      <c r="L469" s="29">
        <v>2013</v>
      </c>
      <c r="M469" s="29" t="s">
        <v>34</v>
      </c>
      <c r="N469" s="30">
        <v>172654.5105</v>
      </c>
      <c r="O469" s="31">
        <f t="shared" si="13"/>
        <v>171407.87763333332</v>
      </c>
    </row>
    <row r="470" spans="12:15" x14ac:dyDescent="0.25">
      <c r="L470" s="29">
        <v>2013</v>
      </c>
      <c r="M470" s="29" t="s">
        <v>35</v>
      </c>
      <c r="N470" s="30">
        <v>174592.26070000001</v>
      </c>
      <c r="O470" s="31">
        <f t="shared" si="13"/>
        <v>172826.84166666667</v>
      </c>
    </row>
    <row r="471" spans="12:15" x14ac:dyDescent="0.25">
      <c r="L471" s="29">
        <v>2013</v>
      </c>
      <c r="M471" s="29" t="s">
        <v>36</v>
      </c>
      <c r="N471" s="30">
        <v>175982.29310000001</v>
      </c>
      <c r="O471" s="31">
        <f t="shared" si="13"/>
        <v>174409.6881</v>
      </c>
    </row>
    <row r="472" spans="12:15" x14ac:dyDescent="0.25">
      <c r="L472" s="29">
        <v>2013</v>
      </c>
      <c r="M472" s="29" t="s">
        <v>37</v>
      </c>
      <c r="N472" s="30">
        <v>176097.82750000001</v>
      </c>
      <c r="O472" s="31">
        <f t="shared" si="13"/>
        <v>175557.46043333333</v>
      </c>
    </row>
    <row r="473" spans="12:15" x14ac:dyDescent="0.25">
      <c r="L473" s="29">
        <v>2013</v>
      </c>
      <c r="M473" s="29" t="s">
        <v>38</v>
      </c>
      <c r="N473" s="30">
        <v>175378.3971</v>
      </c>
      <c r="O473" s="31">
        <f t="shared" si="13"/>
        <v>175819.50589999999</v>
      </c>
    </row>
    <row r="474" spans="12:15" x14ac:dyDescent="0.25">
      <c r="L474" s="29">
        <v>2013</v>
      </c>
      <c r="M474" s="29" t="s">
        <v>39</v>
      </c>
      <c r="N474" s="30">
        <v>176351.56570000001</v>
      </c>
      <c r="O474" s="31">
        <f t="shared" si="13"/>
        <v>175942.59676666665</v>
      </c>
    </row>
    <row r="475" spans="12:15" x14ac:dyDescent="0.25">
      <c r="L475" s="29">
        <v>2013</v>
      </c>
      <c r="M475" s="29" t="s">
        <v>40</v>
      </c>
      <c r="N475" s="30">
        <v>177970.63200000001</v>
      </c>
      <c r="O475" s="31">
        <f t="shared" si="13"/>
        <v>176566.86493333333</v>
      </c>
    </row>
    <row r="476" spans="12:15" x14ac:dyDescent="0.25">
      <c r="L476" s="29">
        <v>2014</v>
      </c>
      <c r="M476" s="29" t="s">
        <v>29</v>
      </c>
      <c r="N476" s="30">
        <v>178182.19469999999</v>
      </c>
      <c r="O476" s="31">
        <f t="shared" si="13"/>
        <v>177501.46413333333</v>
      </c>
    </row>
    <row r="477" spans="12:15" x14ac:dyDescent="0.25">
      <c r="L477" s="29">
        <v>2014</v>
      </c>
      <c r="M477" s="29" t="s">
        <v>30</v>
      </c>
      <c r="N477" s="30">
        <v>178921.43979999999</v>
      </c>
      <c r="O477" s="31">
        <f t="shared" si="13"/>
        <v>178358.08883333331</v>
      </c>
    </row>
    <row r="478" spans="12:15" x14ac:dyDescent="0.25">
      <c r="L478" s="29">
        <v>2014</v>
      </c>
      <c r="M478" s="29" t="s">
        <v>31</v>
      </c>
      <c r="N478" s="30">
        <v>179536.8481</v>
      </c>
      <c r="O478" s="31">
        <f t="shared" si="13"/>
        <v>178880.16086666667</v>
      </c>
    </row>
    <row r="479" spans="12:15" x14ac:dyDescent="0.25">
      <c r="L479" s="29">
        <v>2014</v>
      </c>
      <c r="M479" s="29" t="s">
        <v>32</v>
      </c>
      <c r="N479" s="30">
        <v>183531.61429999999</v>
      </c>
      <c r="O479" s="31">
        <f t="shared" si="13"/>
        <v>180663.30073333334</v>
      </c>
    </row>
    <row r="480" spans="12:15" x14ac:dyDescent="0.25">
      <c r="L480" s="29">
        <v>2014</v>
      </c>
      <c r="M480" s="29" t="s">
        <v>33</v>
      </c>
      <c r="N480" s="30">
        <v>185476.49129999999</v>
      </c>
      <c r="O480" s="31">
        <f t="shared" si="13"/>
        <v>182848.31789999999</v>
      </c>
    </row>
    <row r="481" spans="12:15" x14ac:dyDescent="0.25">
      <c r="L481" s="29">
        <v>2014</v>
      </c>
      <c r="M481" s="29" t="s">
        <v>34</v>
      </c>
      <c r="N481" s="30">
        <v>187077.4797</v>
      </c>
      <c r="O481" s="31">
        <f t="shared" si="13"/>
        <v>185361.86176666667</v>
      </c>
    </row>
    <row r="482" spans="12:15" x14ac:dyDescent="0.25">
      <c r="L482" s="29">
        <v>2014</v>
      </c>
      <c r="M482" s="29" t="s">
        <v>35</v>
      </c>
      <c r="N482" s="30">
        <v>189709.2488</v>
      </c>
      <c r="O482" s="31">
        <f t="shared" si="13"/>
        <v>187421.0732666667</v>
      </c>
    </row>
    <row r="483" spans="12:15" x14ac:dyDescent="0.25">
      <c r="L483" s="29">
        <v>2014</v>
      </c>
      <c r="M483" s="29" t="s">
        <v>36</v>
      </c>
      <c r="N483" s="30">
        <v>191932.1115</v>
      </c>
      <c r="O483" s="31">
        <f t="shared" si="13"/>
        <v>189572.94666666666</v>
      </c>
    </row>
    <row r="484" spans="12:15" x14ac:dyDescent="0.25">
      <c r="L484" s="29">
        <v>2014</v>
      </c>
      <c r="M484" s="29" t="s">
        <v>37</v>
      </c>
      <c r="N484" s="30">
        <v>192138.05600000001</v>
      </c>
      <c r="O484" s="31">
        <f t="shared" si="13"/>
        <v>191259.80543333336</v>
      </c>
    </row>
    <row r="485" spans="12:15" x14ac:dyDescent="0.25">
      <c r="L485" s="29">
        <v>2014</v>
      </c>
      <c r="M485" s="29" t="s">
        <v>38</v>
      </c>
      <c r="N485" s="30">
        <v>191854.57769999999</v>
      </c>
      <c r="O485" s="31">
        <f t="shared" si="13"/>
        <v>191974.91506666667</v>
      </c>
    </row>
    <row r="486" spans="12:15" x14ac:dyDescent="0.25">
      <c r="L486" s="29">
        <v>2014</v>
      </c>
      <c r="M486" s="29" t="s">
        <v>39</v>
      </c>
      <c r="N486" s="30">
        <v>191209.19500000001</v>
      </c>
      <c r="O486" s="31">
        <f t="shared" si="13"/>
        <v>191733.94289999999</v>
      </c>
    </row>
    <row r="487" spans="12:15" x14ac:dyDescent="0.25">
      <c r="L487" s="29">
        <v>2014</v>
      </c>
      <c r="M487" s="29" t="s">
        <v>40</v>
      </c>
      <c r="N487" s="30">
        <v>191669.31049999999</v>
      </c>
      <c r="O487" s="31">
        <f t="shared" si="13"/>
        <v>191577.69440000001</v>
      </c>
    </row>
    <row r="488" spans="12:15" x14ac:dyDescent="0.25">
      <c r="L488" s="29">
        <v>2015</v>
      </c>
      <c r="M488" s="29" t="s">
        <v>29</v>
      </c>
      <c r="N488" s="30">
        <v>190664.94159999999</v>
      </c>
      <c r="O488" s="31">
        <f t="shared" si="13"/>
        <v>191181.14903333332</v>
      </c>
    </row>
    <row r="489" spans="12:15" x14ac:dyDescent="0.25">
      <c r="L489" s="29">
        <v>2015</v>
      </c>
      <c r="M489" s="29" t="s">
        <v>30</v>
      </c>
      <c r="N489" s="30">
        <v>190827.10019999999</v>
      </c>
      <c r="O489" s="31">
        <f t="shared" si="13"/>
        <v>191053.78409999996</v>
      </c>
    </row>
    <row r="490" spans="12:15" x14ac:dyDescent="0.25">
      <c r="L490" s="29">
        <v>2015</v>
      </c>
      <c r="M490" s="29" t="s">
        <v>31</v>
      </c>
      <c r="N490" s="30">
        <v>191537.2634</v>
      </c>
      <c r="O490" s="31">
        <f t="shared" si="13"/>
        <v>191009.76840000003</v>
      </c>
    </row>
    <row r="491" spans="12:15" x14ac:dyDescent="0.25">
      <c r="L491" s="29">
        <v>2015</v>
      </c>
      <c r="M491" s="29" t="s">
        <v>32</v>
      </c>
      <c r="N491" s="30">
        <v>193224.71859999999</v>
      </c>
      <c r="O491" s="31">
        <f t="shared" si="13"/>
        <v>191863.02739999999</v>
      </c>
    </row>
    <row r="492" spans="12:15" x14ac:dyDescent="0.25">
      <c r="L492" s="29">
        <v>2015</v>
      </c>
      <c r="M492" s="29" t="s">
        <v>33</v>
      </c>
      <c r="N492" s="30">
        <v>195313.12400000001</v>
      </c>
      <c r="O492" s="31">
        <f t="shared" si="13"/>
        <v>193358.36866666665</v>
      </c>
    </row>
    <row r="493" spans="12:15" x14ac:dyDescent="0.25">
      <c r="L493" s="29">
        <v>2015</v>
      </c>
      <c r="M493" s="29" t="s">
        <v>34</v>
      </c>
      <c r="N493" s="30">
        <v>196802.4578</v>
      </c>
      <c r="O493" s="31">
        <f t="shared" si="13"/>
        <v>195113.43346666664</v>
      </c>
    </row>
    <row r="494" spans="12:15" x14ac:dyDescent="0.25">
      <c r="L494" s="29">
        <v>2015</v>
      </c>
      <c r="M494" s="29" t="s">
        <v>35</v>
      </c>
      <c r="N494" s="30">
        <v>200141.56150000001</v>
      </c>
      <c r="O494" s="31">
        <f t="shared" si="13"/>
        <v>197419.04776666671</v>
      </c>
    </row>
    <row r="495" spans="12:15" x14ac:dyDescent="0.25">
      <c r="L495" s="29">
        <v>2015</v>
      </c>
      <c r="M495" s="29" t="s">
        <v>36</v>
      </c>
      <c r="N495" s="30">
        <v>201973.36470000001</v>
      </c>
      <c r="O495" s="31">
        <f t="shared" si="13"/>
        <v>199639.12800000003</v>
      </c>
    </row>
    <row r="496" spans="12:15" x14ac:dyDescent="0.25">
      <c r="L496" s="29">
        <v>2015</v>
      </c>
      <c r="M496" s="29" t="s">
        <v>37</v>
      </c>
      <c r="N496" s="30">
        <v>202388.7291</v>
      </c>
      <c r="O496" s="31">
        <f t="shared" si="13"/>
        <v>201501.21843333333</v>
      </c>
    </row>
    <row r="497" spans="12:15" x14ac:dyDescent="0.25">
      <c r="L497" s="29">
        <v>2015</v>
      </c>
      <c r="M497" s="29" t="s">
        <v>38</v>
      </c>
      <c r="N497" s="30">
        <v>202664.33869999999</v>
      </c>
      <c r="O497" s="31">
        <f t="shared" si="13"/>
        <v>202342.14416666667</v>
      </c>
    </row>
    <row r="498" spans="12:15" x14ac:dyDescent="0.25">
      <c r="L498" s="29">
        <v>2015</v>
      </c>
      <c r="M498" s="29" t="s">
        <v>39</v>
      </c>
      <c r="N498" s="30">
        <v>204223.23449999999</v>
      </c>
      <c r="O498" s="31">
        <f t="shared" si="13"/>
        <v>203092.10076666667</v>
      </c>
    </row>
    <row r="499" spans="12:15" x14ac:dyDescent="0.25">
      <c r="L499" s="29">
        <v>2015</v>
      </c>
      <c r="M499" s="29" t="s">
        <v>40</v>
      </c>
      <c r="N499" s="30">
        <v>204920.2481</v>
      </c>
      <c r="O499" s="31">
        <f t="shared" si="13"/>
        <v>203935.94043333331</v>
      </c>
    </row>
    <row r="500" spans="12:15" x14ac:dyDescent="0.25">
      <c r="L500" s="29">
        <v>2016</v>
      </c>
      <c r="M500" s="29" t="s">
        <v>29</v>
      </c>
      <c r="N500" s="30">
        <v>205464.29259999999</v>
      </c>
      <c r="O500" s="31">
        <f t="shared" si="13"/>
        <v>204869.25840000002</v>
      </c>
    </row>
    <row r="501" spans="12:15" x14ac:dyDescent="0.25">
      <c r="L501" s="29">
        <v>2016</v>
      </c>
      <c r="M501" s="29" t="s">
        <v>30</v>
      </c>
      <c r="N501" s="30">
        <v>205555.4075</v>
      </c>
      <c r="O501" s="31">
        <f t="shared" si="13"/>
        <v>205313.31606666665</v>
      </c>
    </row>
    <row r="502" spans="12:15" x14ac:dyDescent="0.25">
      <c r="L502" s="29">
        <v>2016</v>
      </c>
      <c r="M502" s="29" t="s">
        <v>31</v>
      </c>
      <c r="N502" s="30">
        <v>207667.16579999999</v>
      </c>
      <c r="O502" s="31">
        <f t="shared" si="13"/>
        <v>206228.9553</v>
      </c>
    </row>
    <row r="503" spans="12:15" x14ac:dyDescent="0.25">
      <c r="L503" s="29">
        <v>2016</v>
      </c>
      <c r="M503" s="29" t="s">
        <v>32</v>
      </c>
      <c r="N503" s="30">
        <v>208443.2286</v>
      </c>
      <c r="O503" s="31">
        <f t="shared" si="13"/>
        <v>207221.93396666666</v>
      </c>
    </row>
    <row r="504" spans="12:15" x14ac:dyDescent="0.25">
      <c r="L504" s="29">
        <v>2016</v>
      </c>
      <c r="M504" s="29" t="s">
        <v>33</v>
      </c>
      <c r="N504" s="30">
        <v>210872.41829999999</v>
      </c>
      <c r="O504" s="31">
        <f t="shared" si="13"/>
        <v>208994.2709</v>
      </c>
    </row>
    <row r="505" spans="12:15" x14ac:dyDescent="0.25">
      <c r="L505" s="29">
        <v>2016</v>
      </c>
      <c r="M505" s="29" t="s">
        <v>34</v>
      </c>
      <c r="N505" s="30">
        <v>212886.52989999999</v>
      </c>
      <c r="O505" s="31">
        <f t="shared" si="13"/>
        <v>210734.05893333335</v>
      </c>
    </row>
    <row r="506" spans="12:15" x14ac:dyDescent="0.25">
      <c r="L506" s="29">
        <v>2016</v>
      </c>
      <c r="M506" s="29" t="s">
        <v>35</v>
      </c>
      <c r="N506" s="30">
        <v>215126.97719999999</v>
      </c>
      <c r="O506" s="31">
        <f t="shared" si="13"/>
        <v>212961.97513333333</v>
      </c>
    </row>
    <row r="507" spans="12:15" x14ac:dyDescent="0.25">
      <c r="L507" s="29">
        <v>2016</v>
      </c>
      <c r="M507" s="29" t="s">
        <v>36</v>
      </c>
      <c r="N507" s="30">
        <v>215144.9613</v>
      </c>
      <c r="O507" s="31">
        <f t="shared" si="13"/>
        <v>214386.15613333334</v>
      </c>
    </row>
    <row r="508" spans="12:15" x14ac:dyDescent="0.25">
      <c r="L508" s="29">
        <v>2016</v>
      </c>
      <c r="M508" s="29" t="s">
        <v>37</v>
      </c>
      <c r="N508" s="30">
        <v>214816.236</v>
      </c>
      <c r="O508" s="31">
        <f t="shared" si="13"/>
        <v>215029.3915</v>
      </c>
    </row>
    <row r="509" spans="12:15" x14ac:dyDescent="0.25">
      <c r="L509" s="29">
        <v>2016</v>
      </c>
      <c r="M509" s="29" t="s">
        <v>38</v>
      </c>
      <c r="N509" s="30">
        <v>214106.8334</v>
      </c>
      <c r="O509" s="31">
        <f t="shared" si="13"/>
        <v>214689.34356666668</v>
      </c>
    </row>
    <row r="510" spans="12:15" x14ac:dyDescent="0.25">
      <c r="L510" s="29">
        <v>2016</v>
      </c>
      <c r="M510" s="29" t="s">
        <v>39</v>
      </c>
      <c r="N510" s="30">
        <v>215113.05660000001</v>
      </c>
      <c r="O510" s="31">
        <f t="shared" si="13"/>
        <v>214678.70866666667</v>
      </c>
    </row>
    <row r="511" spans="12:15" x14ac:dyDescent="0.25">
      <c r="L511" s="29">
        <v>2016</v>
      </c>
      <c r="M511" s="29" t="s">
        <v>40</v>
      </c>
      <c r="N511" s="30">
        <v>215499.8314</v>
      </c>
      <c r="O511" s="31">
        <f t="shared" si="13"/>
        <v>214906.57380000001</v>
      </c>
    </row>
    <row r="512" spans="12:15" x14ac:dyDescent="0.25">
      <c r="L512" s="29">
        <v>2017</v>
      </c>
      <c r="M512" s="29" t="s">
        <v>29</v>
      </c>
      <c r="N512" s="30">
        <v>215242.56229999999</v>
      </c>
      <c r="O512" s="31">
        <f t="shared" si="13"/>
        <v>215285.1501</v>
      </c>
    </row>
    <row r="513" spans="12:15" x14ac:dyDescent="0.25">
      <c r="L513" s="29">
        <v>2017</v>
      </c>
      <c r="M513" s="29" t="s">
        <v>30</v>
      </c>
      <c r="N513" s="30">
        <v>215697.47529999999</v>
      </c>
      <c r="O513" s="31">
        <f t="shared" si="13"/>
        <v>215479.95633333331</v>
      </c>
    </row>
    <row r="514" spans="12:15" x14ac:dyDescent="0.25">
      <c r="L514" s="29">
        <v>2017</v>
      </c>
      <c r="M514" s="29" t="s">
        <v>31</v>
      </c>
      <c r="N514" s="30">
        <v>215236.3504</v>
      </c>
      <c r="O514" s="31">
        <f t="shared" si="13"/>
        <v>215392.12933333335</v>
      </c>
    </row>
    <row r="515" spans="12:15" x14ac:dyDescent="0.25">
      <c r="L515" s="29">
        <v>2017</v>
      </c>
      <c r="M515" s="29" t="s">
        <v>32</v>
      </c>
      <c r="N515" s="30">
        <v>218641.59460000001</v>
      </c>
      <c r="O515" s="31">
        <f t="shared" si="13"/>
        <v>216525.14009999999</v>
      </c>
    </row>
    <row r="516" spans="12:15" x14ac:dyDescent="0.25">
      <c r="L516" s="29">
        <v>2017</v>
      </c>
      <c r="M516" s="29" t="s">
        <v>33</v>
      </c>
      <c r="N516" s="30">
        <v>219953.663</v>
      </c>
      <c r="O516" s="31">
        <f t="shared" si="13"/>
        <v>217943.86933333334</v>
      </c>
    </row>
    <row r="517" spans="12:15" x14ac:dyDescent="0.25">
      <c r="L517" s="29">
        <v>2017</v>
      </c>
      <c r="M517" s="29" t="s">
        <v>34</v>
      </c>
      <c r="N517" s="30">
        <v>221833.47829999999</v>
      </c>
      <c r="O517" s="31">
        <f t="shared" si="13"/>
        <v>220142.91196666667</v>
      </c>
    </row>
    <row r="518" spans="12:15" x14ac:dyDescent="0.25">
      <c r="L518" s="29">
        <v>2017</v>
      </c>
      <c r="M518" s="29" t="s">
        <v>35</v>
      </c>
      <c r="N518" s="30">
        <v>224719.13699999999</v>
      </c>
      <c r="O518" s="31">
        <f t="shared" si="13"/>
        <v>222168.75943333333</v>
      </c>
    </row>
    <row r="519" spans="12:15" x14ac:dyDescent="0.25">
      <c r="L519" s="29">
        <v>2017</v>
      </c>
      <c r="M519" s="29" t="s">
        <v>36</v>
      </c>
      <c r="N519" s="30">
        <v>225738.1678</v>
      </c>
      <c r="O519" s="31">
        <f t="shared" si="13"/>
        <v>224096.92769999997</v>
      </c>
    </row>
    <row r="520" spans="12:15" x14ac:dyDescent="0.25">
      <c r="L520" s="29">
        <v>2017</v>
      </c>
      <c r="M520" s="29" t="s">
        <v>37</v>
      </c>
      <c r="N520" s="30">
        <v>224895.01980000001</v>
      </c>
      <c r="O520" s="31">
        <f t="shared" si="13"/>
        <v>225117.4415333333</v>
      </c>
    </row>
    <row r="521" spans="12:15" x14ac:dyDescent="0.25">
      <c r="L521" s="29">
        <v>2017</v>
      </c>
      <c r="M521" s="29" t="s">
        <v>38</v>
      </c>
      <c r="N521" s="30">
        <v>225092.3259</v>
      </c>
      <c r="O521" s="31">
        <f t="shared" si="13"/>
        <v>225241.83783333332</v>
      </c>
    </row>
    <row r="522" spans="12:15" x14ac:dyDescent="0.25">
      <c r="L522" s="29">
        <v>2017</v>
      </c>
      <c r="M522" s="29" t="s">
        <v>39</v>
      </c>
      <c r="N522" s="30">
        <v>224452.6722</v>
      </c>
      <c r="O522" s="31">
        <f t="shared" si="13"/>
        <v>224813.33929999999</v>
      </c>
    </row>
    <row r="523" spans="12:15" x14ac:dyDescent="0.25">
      <c r="L523" s="29">
        <v>2017</v>
      </c>
      <c r="M523" s="29" t="s">
        <v>40</v>
      </c>
      <c r="N523" s="30">
        <v>225329.97760000001</v>
      </c>
      <c r="O523" s="31">
        <f t="shared" ref="O523:O577" si="14">AVERAGE(N521:N523)</f>
        <v>224958.32523333331</v>
      </c>
    </row>
    <row r="524" spans="12:15" x14ac:dyDescent="0.25">
      <c r="L524" s="29">
        <v>2018</v>
      </c>
      <c r="M524" s="29" t="s">
        <v>29</v>
      </c>
      <c r="N524" s="30">
        <v>224543.75589999999</v>
      </c>
      <c r="O524" s="31">
        <f t="shared" si="14"/>
        <v>224775.46856666668</v>
      </c>
    </row>
    <row r="525" spans="12:15" x14ac:dyDescent="0.25">
      <c r="L525" s="29">
        <v>2018</v>
      </c>
      <c r="M525" s="29" t="s">
        <v>30</v>
      </c>
      <c r="N525" s="30">
        <v>225131.19099999999</v>
      </c>
      <c r="O525" s="31">
        <f t="shared" si="14"/>
        <v>225001.6415</v>
      </c>
    </row>
    <row r="526" spans="12:15" x14ac:dyDescent="0.25">
      <c r="L526" s="29">
        <v>2018</v>
      </c>
      <c r="M526" s="29" t="s">
        <v>31</v>
      </c>
      <c r="N526" s="30">
        <v>223772.1802</v>
      </c>
      <c r="O526" s="31">
        <f t="shared" si="14"/>
        <v>224482.37569999998</v>
      </c>
    </row>
    <row r="527" spans="12:15" x14ac:dyDescent="0.25">
      <c r="L527" s="29">
        <v>2018</v>
      </c>
      <c r="M527" s="29" t="s">
        <v>32</v>
      </c>
      <c r="N527" s="30">
        <v>225910.18799999999</v>
      </c>
      <c r="O527" s="31">
        <f t="shared" si="14"/>
        <v>224937.85306666666</v>
      </c>
    </row>
    <row r="528" spans="12:15" x14ac:dyDescent="0.25">
      <c r="L528" s="29">
        <v>2018</v>
      </c>
      <c r="M528" s="29" t="s">
        <v>33</v>
      </c>
      <c r="N528" s="30">
        <v>226833.8665</v>
      </c>
      <c r="O528" s="31">
        <f t="shared" si="14"/>
        <v>225505.41156666668</v>
      </c>
    </row>
    <row r="529" spans="12:15" x14ac:dyDescent="0.25">
      <c r="L529" s="29">
        <v>2018</v>
      </c>
      <c r="M529" s="29" t="s">
        <v>34</v>
      </c>
      <c r="N529" s="30">
        <v>228355.30979999999</v>
      </c>
      <c r="O529" s="31">
        <f t="shared" si="14"/>
        <v>227033.12143333335</v>
      </c>
    </row>
    <row r="530" spans="12:15" x14ac:dyDescent="0.25">
      <c r="L530" s="29">
        <v>2018</v>
      </c>
      <c r="M530" s="29" t="s">
        <v>35</v>
      </c>
      <c r="N530" s="30">
        <v>231187.016</v>
      </c>
      <c r="O530" s="31">
        <f t="shared" si="14"/>
        <v>228792.06409999999</v>
      </c>
    </row>
    <row r="531" spans="12:15" x14ac:dyDescent="0.25">
      <c r="L531" s="29">
        <v>2018</v>
      </c>
      <c r="M531" s="29" t="s">
        <v>36</v>
      </c>
      <c r="N531" s="30">
        <v>231897.70189999999</v>
      </c>
      <c r="O531" s="31">
        <f t="shared" si="14"/>
        <v>230480.00923333332</v>
      </c>
    </row>
    <row r="532" spans="12:15" x14ac:dyDescent="0.25">
      <c r="L532" s="29">
        <v>2018</v>
      </c>
      <c r="M532" s="29" t="s">
        <v>37</v>
      </c>
      <c r="N532" s="30">
        <v>231454.25020000001</v>
      </c>
      <c r="O532" s="31">
        <f t="shared" si="14"/>
        <v>231512.98936666665</v>
      </c>
    </row>
    <row r="533" spans="12:15" x14ac:dyDescent="0.25">
      <c r="L533" s="29">
        <v>2018</v>
      </c>
      <c r="M533" s="29" t="s">
        <v>38</v>
      </c>
      <c r="N533" s="30">
        <v>231211.23019999999</v>
      </c>
      <c r="O533" s="31">
        <f t="shared" si="14"/>
        <v>231521.06076666666</v>
      </c>
    </row>
    <row r="534" spans="12:15" x14ac:dyDescent="0.25">
      <c r="L534" s="29">
        <v>2018</v>
      </c>
      <c r="M534" s="29" t="s">
        <v>39</v>
      </c>
      <c r="N534" s="30">
        <v>230224.30350000001</v>
      </c>
      <c r="O534" s="31">
        <f t="shared" si="14"/>
        <v>230963.26130000001</v>
      </c>
    </row>
    <row r="535" spans="12:15" x14ac:dyDescent="0.25">
      <c r="L535" s="29">
        <v>2018</v>
      </c>
      <c r="M535" s="29" t="s">
        <v>40</v>
      </c>
      <c r="N535" s="30">
        <v>229729.2591</v>
      </c>
      <c r="O535" s="31">
        <f t="shared" si="14"/>
        <v>230388.26426666669</v>
      </c>
    </row>
    <row r="536" spans="12:15" x14ac:dyDescent="0.25">
      <c r="L536" s="29">
        <v>2019</v>
      </c>
      <c r="M536" s="29" t="s">
        <v>29</v>
      </c>
      <c r="N536" s="30">
        <v>228314.4927</v>
      </c>
      <c r="O536" s="31">
        <f t="shared" si="14"/>
        <v>229422.6851</v>
      </c>
    </row>
    <row r="537" spans="12:15" x14ac:dyDescent="0.25">
      <c r="L537" s="29">
        <v>2019</v>
      </c>
      <c r="M537" s="29" t="s">
        <v>30</v>
      </c>
      <c r="N537" s="30">
        <v>227738.46419999999</v>
      </c>
      <c r="O537" s="31">
        <f t="shared" si="14"/>
        <v>228594.07200000001</v>
      </c>
    </row>
    <row r="538" spans="12:15" x14ac:dyDescent="0.25">
      <c r="L538" s="29">
        <v>2019</v>
      </c>
      <c r="M538" s="29" t="s">
        <v>31</v>
      </c>
      <c r="N538" s="30">
        <v>227103.96230000001</v>
      </c>
      <c r="O538" s="31">
        <f t="shared" si="14"/>
        <v>227718.97306666666</v>
      </c>
    </row>
    <row r="539" spans="12:15" x14ac:dyDescent="0.25">
      <c r="L539" s="29">
        <v>2019</v>
      </c>
      <c r="M539" s="29" t="s">
        <v>32</v>
      </c>
      <c r="N539" s="30">
        <v>228749.3498</v>
      </c>
      <c r="O539" s="31">
        <f t="shared" si="14"/>
        <v>227863.92543333335</v>
      </c>
    </row>
    <row r="540" spans="12:15" x14ac:dyDescent="0.25">
      <c r="L540" s="29">
        <v>2019</v>
      </c>
      <c r="M540" s="29" t="s">
        <v>33</v>
      </c>
      <c r="N540" s="30">
        <v>229061.11919999999</v>
      </c>
      <c r="O540" s="31">
        <f t="shared" si="14"/>
        <v>228304.8104333333</v>
      </c>
    </row>
    <row r="541" spans="12:15" x14ac:dyDescent="0.25">
      <c r="L541" s="29">
        <v>2019</v>
      </c>
      <c r="M541" s="29" t="s">
        <v>34</v>
      </c>
      <c r="N541" s="30">
        <v>230049.04519999999</v>
      </c>
      <c r="O541" s="31">
        <f t="shared" si="14"/>
        <v>229286.50473333334</v>
      </c>
    </row>
    <row r="542" spans="12:15" x14ac:dyDescent="0.25">
      <c r="L542" s="29">
        <v>2019</v>
      </c>
      <c r="M542" s="29" t="s">
        <v>35</v>
      </c>
      <c r="N542" s="30">
        <v>232618.1464</v>
      </c>
      <c r="O542" s="31">
        <f t="shared" si="14"/>
        <v>230576.1036</v>
      </c>
    </row>
    <row r="543" spans="12:15" x14ac:dyDescent="0.25">
      <c r="L543" s="29">
        <v>2019</v>
      </c>
      <c r="M543" s="29" t="s">
        <v>36</v>
      </c>
      <c r="N543" s="30">
        <v>233366.13709999999</v>
      </c>
      <c r="O543" s="31">
        <f t="shared" si="14"/>
        <v>232011.10956666665</v>
      </c>
    </row>
    <row r="544" spans="12:15" x14ac:dyDescent="0.25">
      <c r="L544" s="29">
        <v>2019</v>
      </c>
      <c r="M544" s="29" t="s">
        <v>37</v>
      </c>
      <c r="N544" s="30">
        <v>233536.15</v>
      </c>
      <c r="O544" s="31">
        <f t="shared" si="14"/>
        <v>233173.47783333334</v>
      </c>
    </row>
    <row r="545" spans="12:15" x14ac:dyDescent="0.25">
      <c r="L545" s="29">
        <v>2019</v>
      </c>
      <c r="M545" s="29" t="s">
        <v>38</v>
      </c>
      <c r="N545" s="30">
        <v>232919.40179999999</v>
      </c>
      <c r="O545" s="31">
        <f t="shared" si="14"/>
        <v>233273.89629999999</v>
      </c>
    </row>
    <row r="546" spans="12:15" x14ac:dyDescent="0.25">
      <c r="L546" s="29">
        <v>2019</v>
      </c>
      <c r="M546" s="29" t="s">
        <v>39</v>
      </c>
      <c r="N546" s="30">
        <v>232096.42600000001</v>
      </c>
      <c r="O546" s="31">
        <f t="shared" si="14"/>
        <v>232850.65926666665</v>
      </c>
    </row>
    <row r="547" spans="12:15" x14ac:dyDescent="0.25">
      <c r="L547" s="29">
        <v>2019</v>
      </c>
      <c r="M547" s="29" t="s">
        <v>40</v>
      </c>
      <c r="N547" s="30">
        <v>231792.2947</v>
      </c>
      <c r="O547" s="31">
        <f t="shared" si="14"/>
        <v>232269.37416666665</v>
      </c>
    </row>
    <row r="548" spans="12:15" x14ac:dyDescent="0.25">
      <c r="L548" s="29">
        <v>2020</v>
      </c>
      <c r="M548" s="29" t="s">
        <v>29</v>
      </c>
      <c r="N548" s="30">
        <v>231939.90900000001</v>
      </c>
      <c r="O548" s="31">
        <f t="shared" si="14"/>
        <v>231942.87656666667</v>
      </c>
    </row>
    <row r="549" spans="12:15" x14ac:dyDescent="0.25">
      <c r="L549" s="29">
        <v>2020</v>
      </c>
      <c r="M549" s="29" t="s">
        <v>30</v>
      </c>
      <c r="N549" s="30">
        <v>230609.00169999999</v>
      </c>
      <c r="O549" s="31">
        <f t="shared" si="14"/>
        <v>231447.06846666665</v>
      </c>
    </row>
    <row r="550" spans="12:15" x14ac:dyDescent="0.25">
      <c r="L550" s="29">
        <v>2020</v>
      </c>
      <c r="M550" s="29" t="s">
        <v>31</v>
      </c>
      <c r="N550" s="30">
        <v>232683.80619999999</v>
      </c>
      <c r="O550" s="31">
        <f t="shared" si="14"/>
        <v>231744.23896666666</v>
      </c>
    </row>
    <row r="551" spans="12:15" x14ac:dyDescent="0.25">
      <c r="L551" s="29">
        <v>2020</v>
      </c>
      <c r="M551" s="29" t="s">
        <v>32</v>
      </c>
      <c r="N551" s="30">
        <v>230317.758</v>
      </c>
      <c r="O551" s="31">
        <f t="shared" si="14"/>
        <v>231203.52196666668</v>
      </c>
    </row>
    <row r="552" spans="12:15" x14ac:dyDescent="0.25">
      <c r="L552" s="29">
        <v>2020</v>
      </c>
      <c r="M552" s="29" t="s">
        <v>33</v>
      </c>
      <c r="N552" s="30">
        <v>231507.70980000001</v>
      </c>
      <c r="O552" s="31">
        <f t="shared" si="14"/>
        <v>231503.09133333332</v>
      </c>
    </row>
    <row r="553" spans="12:15" x14ac:dyDescent="0.25">
      <c r="L553" s="29">
        <v>2020</v>
      </c>
      <c r="M553" s="29" t="s">
        <v>34</v>
      </c>
      <c r="N553" s="30">
        <v>234703.2452</v>
      </c>
      <c r="O553" s="31">
        <f t="shared" si="14"/>
        <v>232176.23766666665</v>
      </c>
    </row>
    <row r="554" spans="12:15" x14ac:dyDescent="0.25">
      <c r="L554" s="29">
        <v>2020</v>
      </c>
      <c r="M554" s="29" t="s">
        <v>35</v>
      </c>
      <c r="N554" s="30">
        <v>236686.92850000001</v>
      </c>
      <c r="O554" s="31">
        <f t="shared" si="14"/>
        <v>234299.29449999999</v>
      </c>
    </row>
    <row r="555" spans="12:15" x14ac:dyDescent="0.25">
      <c r="L555" s="29">
        <v>2020</v>
      </c>
      <c r="M555" s="29" t="s">
        <v>36</v>
      </c>
      <c r="N555" s="30">
        <v>238997.69159999999</v>
      </c>
      <c r="O555" s="31">
        <f t="shared" si="14"/>
        <v>236795.95510000002</v>
      </c>
    </row>
    <row r="556" spans="12:15" x14ac:dyDescent="0.25">
      <c r="L556" s="29">
        <v>2020</v>
      </c>
      <c r="M556" s="29" t="s">
        <v>37</v>
      </c>
      <c r="N556" s="30">
        <v>241541.40239999999</v>
      </c>
      <c r="O556" s="31">
        <f t="shared" si="14"/>
        <v>239075.34083333332</v>
      </c>
    </row>
    <row r="557" spans="12:15" x14ac:dyDescent="0.25">
      <c r="L557" s="29">
        <v>2020</v>
      </c>
      <c r="M557" s="29" t="s">
        <v>38</v>
      </c>
      <c r="N557" s="30">
        <v>243575.48269999999</v>
      </c>
      <c r="O557" s="31">
        <f t="shared" si="14"/>
        <v>241371.52556666665</v>
      </c>
    </row>
    <row r="558" spans="12:15" x14ac:dyDescent="0.25">
      <c r="L558" s="29">
        <v>2020</v>
      </c>
      <c r="M558" s="29" t="s">
        <v>39</v>
      </c>
      <c r="N558" s="30">
        <v>246064.9811</v>
      </c>
      <c r="O558" s="31">
        <f t="shared" si="14"/>
        <v>243727.28873333332</v>
      </c>
    </row>
    <row r="559" spans="12:15" x14ac:dyDescent="0.25">
      <c r="L559" s="29">
        <v>2020</v>
      </c>
      <c r="M559" s="29" t="s">
        <v>40</v>
      </c>
      <c r="N559" s="30">
        <v>247983.41200000001</v>
      </c>
      <c r="O559" s="31">
        <f t="shared" si="14"/>
        <v>245874.62526666667</v>
      </c>
    </row>
    <row r="560" spans="12:15" x14ac:dyDescent="0.25">
      <c r="L560" s="29">
        <v>2021</v>
      </c>
      <c r="M560" s="29" t="s">
        <v>29</v>
      </c>
      <c r="N560" s="30">
        <v>249689.53409999999</v>
      </c>
      <c r="O560" s="31">
        <f t="shared" si="14"/>
        <v>247912.64240000001</v>
      </c>
    </row>
    <row r="561" spans="12:15" x14ac:dyDescent="0.25">
      <c r="L561" s="29">
        <v>2021</v>
      </c>
      <c r="M561" s="29" t="s">
        <v>30</v>
      </c>
      <c r="N561" s="30">
        <v>249586.1029</v>
      </c>
      <c r="O561" s="31">
        <f t="shared" si="14"/>
        <v>249086.34966666668</v>
      </c>
    </row>
    <row r="562" spans="12:15" x14ac:dyDescent="0.25">
      <c r="L562" s="29">
        <v>2021</v>
      </c>
      <c r="M562" s="29" t="s">
        <v>31</v>
      </c>
      <c r="N562" s="30">
        <v>253505.55100000001</v>
      </c>
      <c r="O562" s="31">
        <f t="shared" si="14"/>
        <v>250927.06266666666</v>
      </c>
    </row>
    <row r="563" spans="12:15" x14ac:dyDescent="0.25">
      <c r="L563" s="29">
        <v>2021</v>
      </c>
      <c r="M563" s="29" t="s">
        <v>32</v>
      </c>
      <c r="N563" s="30">
        <v>250209.67129999999</v>
      </c>
      <c r="O563" s="31">
        <f t="shared" si="14"/>
        <v>251100.44173333337</v>
      </c>
    </row>
    <row r="564" spans="12:15" x14ac:dyDescent="0.25">
      <c r="L564" s="29">
        <v>2021</v>
      </c>
      <c r="M564" s="29" t="s">
        <v>33</v>
      </c>
      <c r="N564" s="30">
        <v>251285.4804</v>
      </c>
      <c r="O564" s="31">
        <f t="shared" si="14"/>
        <v>251666.90090000001</v>
      </c>
    </row>
    <row r="565" spans="12:15" x14ac:dyDescent="0.25">
      <c r="L565" s="29">
        <v>2021</v>
      </c>
      <c r="M565" s="29" t="s">
        <v>34</v>
      </c>
      <c r="N565" s="30">
        <v>265676.07549999998</v>
      </c>
      <c r="O565" s="31">
        <f t="shared" si="14"/>
        <v>255723.74239999999</v>
      </c>
    </row>
    <row r="566" spans="12:15" x14ac:dyDescent="0.25">
      <c r="L566" s="29">
        <v>2021</v>
      </c>
      <c r="M566" s="29" t="s">
        <v>35</v>
      </c>
      <c r="N566" s="30">
        <v>252960.13303</v>
      </c>
      <c r="O566" s="31">
        <f t="shared" si="14"/>
        <v>256640.56297666664</v>
      </c>
    </row>
    <row r="567" spans="12:15" x14ac:dyDescent="0.25">
      <c r="L567" s="29">
        <v>2021</v>
      </c>
      <c r="M567" s="29" t="s">
        <v>36</v>
      </c>
      <c r="N567" s="30">
        <v>260429.17931000001</v>
      </c>
      <c r="O567" s="31">
        <f t="shared" si="14"/>
        <v>259688.46261333334</v>
      </c>
    </row>
    <row r="568" spans="12:15" x14ac:dyDescent="0.25">
      <c r="L568" s="29">
        <v>2021</v>
      </c>
      <c r="M568" s="29" t="s">
        <v>37</v>
      </c>
      <c r="N568" s="30">
        <v>269003.07451000001</v>
      </c>
      <c r="O568" s="31">
        <f t="shared" si="14"/>
        <v>260797.46228333333</v>
      </c>
    </row>
    <row r="569" spans="12:15" x14ac:dyDescent="0.25">
      <c r="L569" s="29">
        <v>2021</v>
      </c>
      <c r="M569" s="29" t="s">
        <v>38</v>
      </c>
      <c r="N569" s="30">
        <v>263680.42092</v>
      </c>
      <c r="O569" s="31">
        <f t="shared" si="14"/>
        <v>264370.89158</v>
      </c>
    </row>
    <row r="570" spans="12:15" x14ac:dyDescent="0.25">
      <c r="L570" s="29">
        <v>2021</v>
      </c>
      <c r="M570" s="29" t="s">
        <v>39</v>
      </c>
      <c r="N570" s="30">
        <v>268194.82208000001</v>
      </c>
      <c r="O570" s="31">
        <f t="shared" si="14"/>
        <v>266959.43916999997</v>
      </c>
    </row>
    <row r="571" spans="12:15" x14ac:dyDescent="0.25">
      <c r="L571" s="29">
        <v>2021</v>
      </c>
      <c r="M571" s="29" t="s">
        <v>40</v>
      </c>
      <c r="N571" s="30">
        <v>268809.29149999999</v>
      </c>
      <c r="O571" s="31">
        <f t="shared" si="14"/>
        <v>266894.84483333334</v>
      </c>
    </row>
    <row r="572" spans="12:15" x14ac:dyDescent="0.25">
      <c r="L572" s="29">
        <v>2022</v>
      </c>
      <c r="M572" s="29" t="s">
        <v>29</v>
      </c>
      <c r="N572" s="30">
        <v>274073.48100000003</v>
      </c>
      <c r="O572" s="31">
        <f t="shared" si="14"/>
        <v>270359.19819333334</v>
      </c>
    </row>
    <row r="573" spans="12:15" x14ac:dyDescent="0.25">
      <c r="L573" s="29">
        <v>2022</v>
      </c>
      <c r="M573" s="29" t="s">
        <v>30</v>
      </c>
      <c r="N573" s="30">
        <v>274365.43753</v>
      </c>
      <c r="O573" s="31">
        <f t="shared" si="14"/>
        <v>272416.07000999997</v>
      </c>
    </row>
    <row r="574" spans="12:15" x14ac:dyDescent="0.25">
      <c r="L574" s="29">
        <v>2022</v>
      </c>
      <c r="M574" s="29" t="s">
        <v>31</v>
      </c>
      <c r="N574" s="30">
        <v>275752.98334999999</v>
      </c>
      <c r="O574" s="31">
        <f t="shared" si="14"/>
        <v>274730.63396000001</v>
      </c>
    </row>
    <row r="575" spans="12:15" x14ac:dyDescent="0.25">
      <c r="L575" s="29">
        <v>2022</v>
      </c>
      <c r="M575" s="29" t="s">
        <v>32</v>
      </c>
      <c r="N575" s="30">
        <v>279228.09178000002</v>
      </c>
      <c r="O575" s="31">
        <f t="shared" si="14"/>
        <v>276448.83755333332</v>
      </c>
    </row>
    <row r="576" spans="12:15" x14ac:dyDescent="0.25">
      <c r="L576" s="29">
        <v>2022</v>
      </c>
      <c r="M576" s="29" t="s">
        <v>33</v>
      </c>
      <c r="N576" s="30">
        <v>282432.53389000002</v>
      </c>
      <c r="O576" s="31">
        <f t="shared" si="14"/>
        <v>279137.86967333336</v>
      </c>
    </row>
    <row r="577" spans="12:15" x14ac:dyDescent="0.25">
      <c r="L577" s="29">
        <v>2022</v>
      </c>
      <c r="M577" s="29" t="s">
        <v>34</v>
      </c>
      <c r="N577" s="30">
        <v>285690.57259</v>
      </c>
      <c r="O577" s="31">
        <f t="shared" si="14"/>
        <v>282450.39941999997</v>
      </c>
    </row>
    <row r="579" spans="12:15" x14ac:dyDescent="0.25">
      <c r="L579" s="29">
        <v>1975</v>
      </c>
      <c r="M579" s="29" t="s">
        <v>31</v>
      </c>
      <c r="N579" s="30">
        <v>9179.4362270000001</v>
      </c>
      <c r="O579" s="32">
        <v>9179.4362270000001</v>
      </c>
    </row>
    <row r="580" spans="12:15" x14ac:dyDescent="0.25">
      <c r="L580" s="29">
        <v>1975</v>
      </c>
      <c r="M580" s="29" t="s">
        <v>34</v>
      </c>
      <c r="N580" s="30">
        <v>9423.1380740000004</v>
      </c>
      <c r="O580" s="32">
        <v>9423.1380740000004</v>
      </c>
    </row>
    <row r="581" spans="12:15" x14ac:dyDescent="0.25">
      <c r="L581" s="29">
        <v>1975</v>
      </c>
      <c r="M581" s="29" t="s">
        <v>37</v>
      </c>
      <c r="N581" s="30">
        <v>9707.4568949999993</v>
      </c>
      <c r="O581" s="32">
        <v>9707.4568949999993</v>
      </c>
    </row>
    <row r="582" spans="12:15" x14ac:dyDescent="0.25">
      <c r="L582" s="29">
        <v>1975</v>
      </c>
      <c r="M582" s="29" t="s">
        <v>40</v>
      </c>
      <c r="N582" s="30">
        <v>9808.9993310000009</v>
      </c>
      <c r="O582" s="32">
        <v>9808.9993310000009</v>
      </c>
    </row>
    <row r="583" spans="12:15" x14ac:dyDescent="0.25">
      <c r="L583" s="29">
        <v>1976</v>
      </c>
      <c r="M583" s="29" t="s">
        <v>31</v>
      </c>
      <c r="N583" s="30">
        <v>10012.084199999999</v>
      </c>
      <c r="O583" s="31">
        <v>10012.084199999999</v>
      </c>
    </row>
    <row r="584" spans="12:15" x14ac:dyDescent="0.25">
      <c r="L584" s="29">
        <v>1976</v>
      </c>
      <c r="M584" s="29" t="s">
        <v>34</v>
      </c>
      <c r="N584" s="30">
        <v>10276.09454</v>
      </c>
      <c r="O584" s="31">
        <v>10276.09454</v>
      </c>
    </row>
    <row r="585" spans="12:15" x14ac:dyDescent="0.25">
      <c r="L585" s="29">
        <v>1976</v>
      </c>
      <c r="M585" s="29" t="s">
        <v>37</v>
      </c>
      <c r="N585" s="30">
        <v>10519.79638</v>
      </c>
      <c r="O585" s="31">
        <v>10519.79638</v>
      </c>
    </row>
    <row r="586" spans="12:15" x14ac:dyDescent="0.25">
      <c r="L586" s="29">
        <v>1976</v>
      </c>
      <c r="M586" s="29" t="s">
        <v>40</v>
      </c>
      <c r="N586" s="30">
        <v>10682.264279999999</v>
      </c>
      <c r="O586" s="31">
        <v>10682.264279999999</v>
      </c>
    </row>
    <row r="587" spans="12:15" x14ac:dyDescent="0.25">
      <c r="L587" s="29">
        <v>1977</v>
      </c>
      <c r="M587" s="29" t="s">
        <v>31</v>
      </c>
      <c r="N587" s="30">
        <v>10763.498229999999</v>
      </c>
      <c r="O587" s="31">
        <v>10763.498229999999</v>
      </c>
    </row>
    <row r="588" spans="12:15" x14ac:dyDescent="0.25">
      <c r="L588" s="29">
        <v>1977</v>
      </c>
      <c r="M588" s="29" t="s">
        <v>34</v>
      </c>
      <c r="N588" s="30">
        <v>10925.966130000001</v>
      </c>
      <c r="O588" s="31">
        <v>10925.966130000001</v>
      </c>
    </row>
    <row r="589" spans="12:15" x14ac:dyDescent="0.25">
      <c r="L589" s="29">
        <v>1977</v>
      </c>
      <c r="M589" s="29" t="s">
        <v>37</v>
      </c>
      <c r="N589" s="30">
        <v>11250.90192</v>
      </c>
      <c r="O589" s="31">
        <v>11250.901919999998</v>
      </c>
    </row>
    <row r="590" spans="12:15" x14ac:dyDescent="0.25">
      <c r="L590" s="29">
        <v>1977</v>
      </c>
      <c r="M590" s="29" t="s">
        <v>40</v>
      </c>
      <c r="N590" s="30">
        <v>11596.146210000001</v>
      </c>
      <c r="O590" s="31">
        <v>11596.146210000001</v>
      </c>
    </row>
    <row r="591" spans="12:15" x14ac:dyDescent="0.25">
      <c r="L591" s="29">
        <v>1978</v>
      </c>
      <c r="M591" s="29" t="s">
        <v>31</v>
      </c>
      <c r="N591" s="30">
        <v>11860.15654</v>
      </c>
      <c r="O591" s="31">
        <v>11860.156540000002</v>
      </c>
    </row>
    <row r="592" spans="12:15" x14ac:dyDescent="0.25">
      <c r="L592" s="29">
        <v>1978</v>
      </c>
      <c r="M592" s="29" t="s">
        <v>34</v>
      </c>
      <c r="N592" s="30">
        <v>12428.794180000001</v>
      </c>
      <c r="O592" s="31">
        <v>12428.794180000003</v>
      </c>
    </row>
    <row r="593" spans="12:15" x14ac:dyDescent="0.25">
      <c r="L593" s="29">
        <v>1978</v>
      </c>
      <c r="M593" s="29" t="s">
        <v>37</v>
      </c>
      <c r="N593" s="30">
        <v>13302.05913</v>
      </c>
      <c r="O593" s="31">
        <v>13302.05913</v>
      </c>
    </row>
    <row r="594" spans="12:15" x14ac:dyDescent="0.25">
      <c r="L594" s="29">
        <v>1978</v>
      </c>
      <c r="M594" s="29" t="s">
        <v>40</v>
      </c>
      <c r="N594" s="30">
        <v>14236.24955</v>
      </c>
      <c r="O594" s="31">
        <v>14236.24955</v>
      </c>
    </row>
    <row r="595" spans="12:15" x14ac:dyDescent="0.25">
      <c r="L595" s="29">
        <v>1979</v>
      </c>
      <c r="M595" s="29" t="s">
        <v>31</v>
      </c>
      <c r="N595" s="30">
        <v>14987.663570000001</v>
      </c>
      <c r="O595" s="31">
        <v>14987.663569999999</v>
      </c>
    </row>
    <row r="596" spans="12:15" x14ac:dyDescent="0.25">
      <c r="L596" s="29">
        <v>1979</v>
      </c>
      <c r="M596" s="29" t="s">
        <v>34</v>
      </c>
      <c r="N596" s="30">
        <v>16145.24735</v>
      </c>
      <c r="O596" s="31">
        <v>16145.24735</v>
      </c>
    </row>
    <row r="597" spans="12:15" x14ac:dyDescent="0.25">
      <c r="L597" s="29">
        <v>1979</v>
      </c>
      <c r="M597" s="29" t="s">
        <v>37</v>
      </c>
      <c r="N597" s="30">
        <v>17384.065070000001</v>
      </c>
      <c r="O597" s="31">
        <v>17384.065070000001</v>
      </c>
    </row>
    <row r="598" spans="12:15" x14ac:dyDescent="0.25">
      <c r="L598" s="29">
        <v>1979</v>
      </c>
      <c r="M598" s="29" t="s">
        <v>40</v>
      </c>
      <c r="N598" s="30">
        <v>18541.648840000002</v>
      </c>
      <c r="O598" s="31">
        <v>18541.648840000002</v>
      </c>
    </row>
    <row r="599" spans="12:15" x14ac:dyDescent="0.25">
      <c r="L599" s="29">
        <v>1980</v>
      </c>
      <c r="M599" s="29" t="s">
        <v>31</v>
      </c>
      <c r="N599" s="30">
        <v>19272.754379999998</v>
      </c>
      <c r="O599" s="31">
        <v>19272.754379999998</v>
      </c>
    </row>
    <row r="600" spans="12:15" x14ac:dyDescent="0.25">
      <c r="L600" s="29">
        <v>1980</v>
      </c>
      <c r="M600" s="29" t="s">
        <v>34</v>
      </c>
      <c r="N600" s="30">
        <v>20044.476890000002</v>
      </c>
      <c r="O600" s="31">
        <v>20044.476890000002</v>
      </c>
    </row>
    <row r="601" spans="12:15" x14ac:dyDescent="0.25">
      <c r="L601" s="29">
        <v>1980</v>
      </c>
      <c r="M601" s="29" t="s">
        <v>37</v>
      </c>
      <c r="N601" s="30">
        <v>20856.81638</v>
      </c>
      <c r="O601" s="31">
        <v>20856.81638</v>
      </c>
    </row>
    <row r="602" spans="12:15" x14ac:dyDescent="0.25">
      <c r="L602" s="29">
        <v>1980</v>
      </c>
      <c r="M602" s="29" t="s">
        <v>40</v>
      </c>
      <c r="N602" s="30">
        <v>20897.433359999999</v>
      </c>
      <c r="O602" s="31">
        <v>20897.433359999999</v>
      </c>
    </row>
    <row r="603" spans="12:15" x14ac:dyDescent="0.25">
      <c r="L603" s="29">
        <v>1981</v>
      </c>
      <c r="M603" s="29" t="s">
        <v>31</v>
      </c>
      <c r="N603" s="30">
        <v>20938.050329999998</v>
      </c>
      <c r="O603" s="31">
        <v>20938.050329999998</v>
      </c>
    </row>
    <row r="604" spans="12:15" x14ac:dyDescent="0.25">
      <c r="L604" s="29">
        <v>1981</v>
      </c>
      <c r="M604" s="29" t="s">
        <v>34</v>
      </c>
      <c r="N604" s="30">
        <v>21506.687969999999</v>
      </c>
      <c r="O604" s="31">
        <v>21506.687969999999</v>
      </c>
    </row>
    <row r="605" spans="12:15" x14ac:dyDescent="0.25">
      <c r="L605" s="29">
        <v>1981</v>
      </c>
      <c r="M605" s="29" t="s">
        <v>37</v>
      </c>
      <c r="N605" s="30">
        <v>21851.932260000001</v>
      </c>
      <c r="O605" s="31">
        <v>21851.932260000001</v>
      </c>
    </row>
    <row r="606" spans="12:15" x14ac:dyDescent="0.25">
      <c r="L606" s="29">
        <v>1981</v>
      </c>
      <c r="M606" s="29" t="s">
        <v>40</v>
      </c>
      <c r="N606" s="30">
        <v>21425.454030000001</v>
      </c>
      <c r="O606" s="31">
        <v>21425.454030000001</v>
      </c>
    </row>
    <row r="607" spans="12:15" x14ac:dyDescent="0.25">
      <c r="L607" s="29">
        <v>1982</v>
      </c>
      <c r="M607" s="29" t="s">
        <v>31</v>
      </c>
      <c r="N607" s="30">
        <v>20897.433359999999</v>
      </c>
      <c r="O607" s="31">
        <v>20897.433359999999</v>
      </c>
    </row>
    <row r="608" spans="12:15" x14ac:dyDescent="0.25">
      <c r="L608" s="29">
        <v>1982</v>
      </c>
      <c r="M608" s="29" t="s">
        <v>34</v>
      </c>
      <c r="N608" s="30">
        <v>21811.315279999999</v>
      </c>
      <c r="O608" s="31">
        <v>21811.315279999999</v>
      </c>
    </row>
    <row r="609" spans="12:15" x14ac:dyDescent="0.25">
      <c r="L609" s="29">
        <v>1982</v>
      </c>
      <c r="M609" s="29" t="s">
        <v>37</v>
      </c>
      <c r="N609" s="30">
        <v>22359.64444</v>
      </c>
      <c r="O609" s="31">
        <v>22359.64444</v>
      </c>
    </row>
    <row r="610" spans="12:15" x14ac:dyDescent="0.25">
      <c r="L610" s="29">
        <v>1982</v>
      </c>
      <c r="M610" s="29" t="s">
        <v>40</v>
      </c>
      <c r="N610" s="30">
        <v>22684.58023</v>
      </c>
      <c r="O610" s="31">
        <v>22684.580230000003</v>
      </c>
    </row>
    <row r="611" spans="12:15" x14ac:dyDescent="0.25">
      <c r="L611" s="29">
        <v>1983</v>
      </c>
      <c r="M611" s="29" t="s">
        <v>31</v>
      </c>
      <c r="N611" s="30">
        <v>23354.760310000001</v>
      </c>
      <c r="O611" s="31">
        <v>23354.760310000001</v>
      </c>
    </row>
    <row r="612" spans="12:15" x14ac:dyDescent="0.25">
      <c r="L612" s="29">
        <v>1983</v>
      </c>
      <c r="M612" s="29" t="s">
        <v>34</v>
      </c>
      <c r="N612" s="30">
        <v>24167.0998</v>
      </c>
      <c r="O612" s="31">
        <v>24167.0998</v>
      </c>
    </row>
    <row r="613" spans="12:15" x14ac:dyDescent="0.25">
      <c r="L613" s="29">
        <v>1983</v>
      </c>
      <c r="M613" s="29" t="s">
        <v>37</v>
      </c>
      <c r="N613" s="30">
        <v>25182.524160000001</v>
      </c>
      <c r="O613" s="31">
        <v>25182.524160000001</v>
      </c>
    </row>
    <row r="614" spans="12:15" x14ac:dyDescent="0.25">
      <c r="L614" s="29">
        <v>1983</v>
      </c>
      <c r="M614" s="29" t="s">
        <v>40</v>
      </c>
      <c r="N614" s="30">
        <v>25385.609039999999</v>
      </c>
      <c r="O614" s="31">
        <v>25385.609039999999</v>
      </c>
    </row>
    <row r="615" spans="12:15" x14ac:dyDescent="0.25">
      <c r="L615" s="29">
        <v>1984</v>
      </c>
      <c r="M615" s="29" t="s">
        <v>31</v>
      </c>
      <c r="N615" s="30">
        <v>25588.693910000002</v>
      </c>
      <c r="O615" s="31">
        <v>25588.693910000002</v>
      </c>
    </row>
    <row r="616" spans="12:15" x14ac:dyDescent="0.25">
      <c r="L616" s="29">
        <v>1984</v>
      </c>
      <c r="M616" s="29" t="s">
        <v>34</v>
      </c>
      <c r="N616" s="30">
        <v>26401.0334</v>
      </c>
      <c r="O616" s="31">
        <v>26401.0334</v>
      </c>
    </row>
    <row r="617" spans="12:15" x14ac:dyDescent="0.25">
      <c r="L617" s="29">
        <v>1984</v>
      </c>
      <c r="M617" s="29" t="s">
        <v>37</v>
      </c>
      <c r="N617" s="30">
        <v>27416.457760000001</v>
      </c>
      <c r="O617" s="31">
        <v>27416.457760000001</v>
      </c>
    </row>
    <row r="618" spans="12:15" x14ac:dyDescent="0.25">
      <c r="L618" s="29">
        <v>1984</v>
      </c>
      <c r="M618" s="29" t="s">
        <v>40</v>
      </c>
      <c r="N618" s="30">
        <v>27822.627499999999</v>
      </c>
      <c r="O618" s="31">
        <v>27822.627499999999</v>
      </c>
    </row>
    <row r="619" spans="12:15" x14ac:dyDescent="0.25">
      <c r="L619" s="29">
        <v>1985</v>
      </c>
      <c r="M619" s="29" t="s">
        <v>31</v>
      </c>
      <c r="N619" s="30">
        <v>27822.627499999999</v>
      </c>
      <c r="O619" s="31">
        <v>27822.627499999999</v>
      </c>
    </row>
    <row r="620" spans="12:15" x14ac:dyDescent="0.25">
      <c r="L620" s="29">
        <v>1985</v>
      </c>
      <c r="M620" s="29" t="s">
        <v>34</v>
      </c>
      <c r="N620" s="30">
        <v>28838.05186</v>
      </c>
      <c r="O620" s="31">
        <v>28838.051859999996</v>
      </c>
    </row>
    <row r="621" spans="12:15" x14ac:dyDescent="0.25">
      <c r="L621" s="29">
        <v>1985</v>
      </c>
      <c r="M621" s="29" t="s">
        <v>37</v>
      </c>
      <c r="N621" s="30">
        <v>29447.306479999999</v>
      </c>
      <c r="O621" s="31">
        <v>29447.306479999999</v>
      </c>
    </row>
    <row r="622" spans="12:15" x14ac:dyDescent="0.25">
      <c r="L622" s="29">
        <v>1985</v>
      </c>
      <c r="M622" s="29" t="s">
        <v>40</v>
      </c>
      <c r="N622" s="30">
        <v>30462.73084</v>
      </c>
      <c r="O622" s="31">
        <v>30462.73084</v>
      </c>
    </row>
    <row r="623" spans="12:15" x14ac:dyDescent="0.25">
      <c r="L623" s="29">
        <v>1986</v>
      </c>
      <c r="M623" s="29" t="s">
        <v>31</v>
      </c>
      <c r="N623" s="30">
        <v>31071.98546</v>
      </c>
      <c r="O623" s="31">
        <v>31071.98546</v>
      </c>
    </row>
    <row r="624" spans="12:15" x14ac:dyDescent="0.25">
      <c r="L624" s="29">
        <v>1986</v>
      </c>
      <c r="M624" s="29" t="s">
        <v>34</v>
      </c>
      <c r="N624" s="30">
        <v>32493.579559999998</v>
      </c>
      <c r="O624" s="31">
        <v>32493.579559999998</v>
      </c>
    </row>
    <row r="625" spans="12:15" x14ac:dyDescent="0.25">
      <c r="L625" s="29">
        <v>1986</v>
      </c>
      <c r="M625" s="29" t="s">
        <v>37</v>
      </c>
      <c r="N625" s="30">
        <v>33915.173669999996</v>
      </c>
      <c r="O625" s="31">
        <v>33915.173669999996</v>
      </c>
    </row>
    <row r="626" spans="12:15" x14ac:dyDescent="0.25">
      <c r="L626" s="29">
        <v>1986</v>
      </c>
      <c r="M626" s="29" t="s">
        <v>40</v>
      </c>
      <c r="N626" s="30">
        <v>34930.598030000001</v>
      </c>
      <c r="O626" s="31">
        <v>34930.598030000001</v>
      </c>
    </row>
    <row r="627" spans="12:15" x14ac:dyDescent="0.25">
      <c r="L627" s="29">
        <v>1987</v>
      </c>
      <c r="M627" s="29" t="s">
        <v>31</v>
      </c>
      <c r="N627" s="30">
        <v>35946.022389999998</v>
      </c>
      <c r="O627" s="31">
        <v>35946.022389999998</v>
      </c>
    </row>
    <row r="628" spans="12:15" x14ac:dyDescent="0.25">
      <c r="L628" s="29">
        <v>1987</v>
      </c>
      <c r="M628" s="29" t="s">
        <v>34</v>
      </c>
      <c r="N628" s="30">
        <v>37570.701370000002</v>
      </c>
      <c r="O628" s="31">
        <v>37570.701370000002</v>
      </c>
    </row>
    <row r="629" spans="12:15" x14ac:dyDescent="0.25">
      <c r="L629" s="29">
        <v>1987</v>
      </c>
      <c r="M629" s="29" t="s">
        <v>37</v>
      </c>
      <c r="N629" s="30">
        <v>39398.465219999998</v>
      </c>
      <c r="O629" s="31">
        <v>39398.465219999998</v>
      </c>
    </row>
    <row r="630" spans="12:15" x14ac:dyDescent="0.25">
      <c r="L630" s="29">
        <v>1987</v>
      </c>
      <c r="M630" s="29" t="s">
        <v>40</v>
      </c>
      <c r="N630" s="30">
        <v>41731.767119999997</v>
      </c>
      <c r="O630" s="31">
        <v>41731.767119999997</v>
      </c>
    </row>
    <row r="631" spans="12:15" x14ac:dyDescent="0.25">
      <c r="L631" s="29">
        <v>1988</v>
      </c>
      <c r="M631" s="29" t="s">
        <v>31</v>
      </c>
      <c r="N631" s="30">
        <v>43482.750350000002</v>
      </c>
      <c r="O631" s="31">
        <v>43482.750350000002</v>
      </c>
    </row>
    <row r="632" spans="12:15" x14ac:dyDescent="0.25">
      <c r="L632" s="29">
        <v>1988</v>
      </c>
      <c r="M632" s="29" t="s">
        <v>34</v>
      </c>
      <c r="N632" s="30">
        <v>46109.225209999997</v>
      </c>
      <c r="O632" s="31">
        <v>46109.225209999997</v>
      </c>
    </row>
    <row r="633" spans="12:15" x14ac:dyDescent="0.25">
      <c r="L633" s="29">
        <v>1988</v>
      </c>
      <c r="M633" s="29" t="s">
        <v>37</v>
      </c>
      <c r="N633" s="30">
        <v>52237.666530000002</v>
      </c>
      <c r="O633" s="31">
        <v>52237.66653000001</v>
      </c>
    </row>
    <row r="634" spans="12:15" x14ac:dyDescent="0.25">
      <c r="L634" s="29">
        <v>1988</v>
      </c>
      <c r="M634" s="29" t="s">
        <v>40</v>
      </c>
      <c r="N634" s="30">
        <v>55447.802459999999</v>
      </c>
      <c r="O634" s="31">
        <v>55447.802459999999</v>
      </c>
    </row>
    <row r="635" spans="12:15" x14ac:dyDescent="0.25">
      <c r="L635" s="29">
        <v>1989</v>
      </c>
      <c r="M635" s="29" t="s">
        <v>31</v>
      </c>
      <c r="N635" s="30">
        <v>56615.124620000002</v>
      </c>
      <c r="O635" s="31">
        <v>56615.124619999995</v>
      </c>
    </row>
    <row r="636" spans="12:15" x14ac:dyDescent="0.25">
      <c r="L636" s="29">
        <v>1989</v>
      </c>
      <c r="M636" s="29" t="s">
        <v>34</v>
      </c>
      <c r="N636" s="30">
        <v>58657.938390000003</v>
      </c>
      <c r="O636" s="31">
        <v>58657.938390000003</v>
      </c>
    </row>
    <row r="637" spans="12:15" x14ac:dyDescent="0.25">
      <c r="L637" s="29">
        <v>1989</v>
      </c>
      <c r="M637" s="29" t="s">
        <v>37</v>
      </c>
      <c r="N637" s="30">
        <v>60700.75217</v>
      </c>
      <c r="O637" s="31">
        <v>60700.75217</v>
      </c>
    </row>
    <row r="638" spans="12:15" x14ac:dyDescent="0.25">
      <c r="L638" s="29">
        <v>1989</v>
      </c>
      <c r="M638" s="29" t="s">
        <v>40</v>
      </c>
      <c r="N638" s="30">
        <v>59533.430009999996</v>
      </c>
      <c r="O638" s="31">
        <v>59533.430009999989</v>
      </c>
    </row>
    <row r="639" spans="12:15" x14ac:dyDescent="0.25">
      <c r="L639" s="29">
        <v>1990</v>
      </c>
      <c r="M639" s="29" t="s">
        <v>31</v>
      </c>
      <c r="N639" s="30">
        <v>58249.72479</v>
      </c>
      <c r="O639" s="31">
        <v>58249.72479</v>
      </c>
    </row>
    <row r="640" spans="12:15" x14ac:dyDescent="0.25">
      <c r="L640" s="29">
        <v>1990</v>
      </c>
      <c r="M640" s="29" t="s">
        <v>34</v>
      </c>
      <c r="N640" s="30">
        <v>57726.00099</v>
      </c>
      <c r="O640" s="31">
        <v>57726.00099</v>
      </c>
    </row>
    <row r="641" spans="12:15" x14ac:dyDescent="0.25">
      <c r="L641" s="29">
        <v>1990</v>
      </c>
      <c r="M641" s="29" t="s">
        <v>37</v>
      </c>
      <c r="N641" s="30">
        <v>58773.44859</v>
      </c>
      <c r="O641" s="31">
        <v>58773.448590000007</v>
      </c>
    </row>
    <row r="642" spans="12:15" x14ac:dyDescent="0.25">
      <c r="L642" s="29">
        <v>1990</v>
      </c>
      <c r="M642" s="29" t="s">
        <v>40</v>
      </c>
      <c r="N642" s="30">
        <v>57900.57559</v>
      </c>
      <c r="O642" s="31">
        <v>57900.57559</v>
      </c>
    </row>
    <row r="643" spans="12:15" x14ac:dyDescent="0.25">
      <c r="L643" s="29">
        <v>1991</v>
      </c>
      <c r="M643" s="29" t="s">
        <v>31</v>
      </c>
      <c r="N643" s="30">
        <v>57085.894119999997</v>
      </c>
      <c r="O643" s="31">
        <v>57085.89411999999</v>
      </c>
    </row>
    <row r="644" spans="12:15" x14ac:dyDescent="0.25">
      <c r="L644" s="29">
        <v>1991</v>
      </c>
      <c r="M644" s="29" t="s">
        <v>34</v>
      </c>
      <c r="N644" s="30">
        <v>56853.127990000001</v>
      </c>
      <c r="O644" s="31">
        <v>56853.127990000001</v>
      </c>
    </row>
    <row r="645" spans="12:15" x14ac:dyDescent="0.25">
      <c r="L645" s="29">
        <v>1991</v>
      </c>
      <c r="M645" s="29" t="s">
        <v>37</v>
      </c>
      <c r="N645" s="30">
        <v>57958.767119999997</v>
      </c>
      <c r="O645" s="31">
        <v>57958.767119999997</v>
      </c>
    </row>
    <row r="646" spans="12:15" x14ac:dyDescent="0.25">
      <c r="L646" s="29">
        <v>1991</v>
      </c>
      <c r="M646" s="29" t="s">
        <v>40</v>
      </c>
      <c r="N646" s="30">
        <v>57435.043319999997</v>
      </c>
      <c r="O646" s="31">
        <v>57435.043319999997</v>
      </c>
    </row>
    <row r="647" spans="12:15" x14ac:dyDescent="0.25">
      <c r="L647" s="29">
        <v>1992</v>
      </c>
      <c r="M647" s="29" t="s">
        <v>31</v>
      </c>
      <c r="N647" s="30">
        <v>56503.978790000001</v>
      </c>
      <c r="O647" s="31">
        <v>56503.978790000001</v>
      </c>
    </row>
    <row r="648" spans="12:15" x14ac:dyDescent="0.25">
      <c r="L648" s="29">
        <v>1992</v>
      </c>
      <c r="M648" s="29" t="s">
        <v>34</v>
      </c>
      <c r="N648" s="30">
        <v>55165.573530000001</v>
      </c>
      <c r="O648" s="31">
        <v>55165.573530000001</v>
      </c>
    </row>
    <row r="649" spans="12:15" x14ac:dyDescent="0.25">
      <c r="L649" s="29">
        <v>1992</v>
      </c>
      <c r="M649" s="29" t="s">
        <v>37</v>
      </c>
      <c r="N649" s="30">
        <v>55328.303829999997</v>
      </c>
      <c r="O649" s="31">
        <v>55328.303829999997</v>
      </c>
    </row>
    <row r="650" spans="12:15" x14ac:dyDescent="0.25">
      <c r="L650" s="29">
        <v>1992</v>
      </c>
      <c r="M650" s="29" t="s">
        <v>40</v>
      </c>
      <c r="N650" s="30">
        <v>53212.809860000001</v>
      </c>
      <c r="O650" s="31">
        <v>53212.809860000001</v>
      </c>
    </row>
    <row r="651" spans="12:15" x14ac:dyDescent="0.25">
      <c r="L651" s="29">
        <v>1993</v>
      </c>
      <c r="M651" s="29" t="s">
        <v>31</v>
      </c>
      <c r="N651" s="30">
        <v>53484.027040000001</v>
      </c>
      <c r="O651" s="31">
        <v>53484.027039999994</v>
      </c>
    </row>
    <row r="652" spans="12:15" x14ac:dyDescent="0.25">
      <c r="L652" s="29">
        <v>1993</v>
      </c>
      <c r="M652" s="29" t="s">
        <v>34</v>
      </c>
      <c r="N652" s="30">
        <v>53917.974520000003</v>
      </c>
      <c r="O652" s="31">
        <v>53917.974520000011</v>
      </c>
    </row>
    <row r="653" spans="12:15" x14ac:dyDescent="0.25">
      <c r="L653" s="29">
        <v>1993</v>
      </c>
      <c r="M653" s="29" t="s">
        <v>37</v>
      </c>
      <c r="N653" s="30">
        <v>55057.086660000001</v>
      </c>
      <c r="O653" s="31">
        <v>55057.086660000001</v>
      </c>
    </row>
    <row r="654" spans="12:15" x14ac:dyDescent="0.25">
      <c r="L654" s="29">
        <v>1993</v>
      </c>
      <c r="M654" s="29" t="s">
        <v>40</v>
      </c>
      <c r="N654" s="30">
        <v>54026.461389999997</v>
      </c>
      <c r="O654" s="31">
        <v>54026.461389999989</v>
      </c>
    </row>
    <row r="655" spans="12:15" x14ac:dyDescent="0.25">
      <c r="L655" s="29">
        <v>1994</v>
      </c>
      <c r="M655" s="29" t="s">
        <v>31</v>
      </c>
      <c r="N655" s="30">
        <v>54623.139170000002</v>
      </c>
      <c r="O655" s="31">
        <v>54623.139170000002</v>
      </c>
    </row>
    <row r="656" spans="12:15" x14ac:dyDescent="0.25">
      <c r="L656" s="29">
        <v>1994</v>
      </c>
      <c r="M656" s="29" t="s">
        <v>34</v>
      </c>
      <c r="N656" s="30">
        <v>55382.547270000003</v>
      </c>
      <c r="O656" s="31">
        <v>55382.547270000003</v>
      </c>
    </row>
    <row r="657" spans="12:15" x14ac:dyDescent="0.25">
      <c r="L657" s="29">
        <v>1994</v>
      </c>
      <c r="M657" s="29" t="s">
        <v>37</v>
      </c>
      <c r="N657" s="30">
        <v>56304.685660000003</v>
      </c>
      <c r="O657" s="31">
        <v>56304.685659999996</v>
      </c>
    </row>
    <row r="658" spans="12:15" x14ac:dyDescent="0.25">
      <c r="L658" s="29">
        <v>1994</v>
      </c>
      <c r="M658" s="29" t="s">
        <v>40</v>
      </c>
      <c r="N658" s="30">
        <v>55924.981619999999</v>
      </c>
      <c r="O658" s="31">
        <v>55924.981619999999</v>
      </c>
    </row>
    <row r="659" spans="12:15" x14ac:dyDescent="0.25">
      <c r="L659" s="29">
        <v>1995</v>
      </c>
      <c r="M659" s="29" t="s">
        <v>31</v>
      </c>
      <c r="N659" s="30">
        <v>55436.790699999998</v>
      </c>
      <c r="O659" s="31">
        <v>55436.79069999999</v>
      </c>
    </row>
    <row r="660" spans="12:15" x14ac:dyDescent="0.25">
      <c r="L660" s="29">
        <v>1995</v>
      </c>
      <c r="M660" s="29" t="s">
        <v>34</v>
      </c>
      <c r="N660" s="30">
        <v>56033.468489999999</v>
      </c>
      <c r="O660" s="31">
        <v>56033.468489999999</v>
      </c>
    </row>
    <row r="661" spans="12:15" x14ac:dyDescent="0.25">
      <c r="L661" s="29">
        <v>1995</v>
      </c>
      <c r="M661" s="29" t="s">
        <v>37</v>
      </c>
      <c r="N661" s="30">
        <v>56521.659399999997</v>
      </c>
      <c r="O661" s="31">
        <v>56521.659399999997</v>
      </c>
    </row>
    <row r="662" spans="12:15" x14ac:dyDescent="0.25">
      <c r="L662" s="29">
        <v>1995</v>
      </c>
      <c r="M662" s="29" t="s">
        <v>40</v>
      </c>
      <c r="N662" s="30">
        <v>55762.25131</v>
      </c>
      <c r="O662" s="31">
        <v>55762.25131</v>
      </c>
    </row>
    <row r="663" spans="12:15" x14ac:dyDescent="0.25">
      <c r="L663" s="29">
        <v>1996</v>
      </c>
      <c r="M663" s="29" t="s">
        <v>31</v>
      </c>
      <c r="N663" s="30">
        <v>56575.902840000002</v>
      </c>
      <c r="O663" s="31">
        <v>56575.902840000002</v>
      </c>
    </row>
    <row r="664" spans="12:15" x14ac:dyDescent="0.25">
      <c r="L664" s="29">
        <v>1996</v>
      </c>
      <c r="M664" s="29" t="s">
        <v>34</v>
      </c>
      <c r="N664" s="30">
        <v>56630.146269999997</v>
      </c>
      <c r="O664" s="31">
        <v>56630.146269999997</v>
      </c>
    </row>
    <row r="665" spans="12:15" x14ac:dyDescent="0.25">
      <c r="L665" s="29">
        <v>1996</v>
      </c>
      <c r="M665" s="29" t="s">
        <v>37</v>
      </c>
      <c r="N665" s="30">
        <v>58854.127110000001</v>
      </c>
      <c r="O665" s="31">
        <v>58854.127110000001</v>
      </c>
    </row>
    <row r="666" spans="12:15" x14ac:dyDescent="0.25">
      <c r="L666" s="29">
        <v>1996</v>
      </c>
      <c r="M666" s="29" t="s">
        <v>40</v>
      </c>
      <c r="N666" s="30">
        <v>59884.752379999998</v>
      </c>
      <c r="O666" s="31">
        <v>59884.752379999998</v>
      </c>
    </row>
    <row r="667" spans="12:15" x14ac:dyDescent="0.25">
      <c r="L667" s="29">
        <v>1997</v>
      </c>
      <c r="M667" s="29" t="s">
        <v>31</v>
      </c>
      <c r="N667" s="30">
        <v>60698.403910000001</v>
      </c>
      <c r="O667" s="31">
        <v>60698.403910000001</v>
      </c>
    </row>
    <row r="668" spans="12:15" x14ac:dyDescent="0.25">
      <c r="L668" s="29">
        <v>1997</v>
      </c>
      <c r="M668" s="29" t="s">
        <v>34</v>
      </c>
      <c r="N668" s="30">
        <v>61946.002919999999</v>
      </c>
      <c r="O668" s="31">
        <v>61946.002919999999</v>
      </c>
    </row>
    <row r="669" spans="12:15" x14ac:dyDescent="0.25">
      <c r="L669" s="29">
        <v>1997</v>
      </c>
      <c r="M669" s="29" t="s">
        <v>37</v>
      </c>
      <c r="N669" s="30">
        <v>65092.122150000003</v>
      </c>
      <c r="O669" s="31">
        <v>65092.122150000003</v>
      </c>
    </row>
    <row r="670" spans="12:15" x14ac:dyDescent="0.25">
      <c r="L670" s="29">
        <v>1997</v>
      </c>
      <c r="M670" s="29" t="s">
        <v>40</v>
      </c>
      <c r="N670" s="30">
        <v>64603.931239999998</v>
      </c>
      <c r="O670" s="31">
        <v>64603.931239999998</v>
      </c>
    </row>
    <row r="671" spans="12:15" x14ac:dyDescent="0.25">
      <c r="L671" s="29">
        <v>1998</v>
      </c>
      <c r="M671" s="29" t="s">
        <v>31</v>
      </c>
      <c r="N671" s="30">
        <v>66231.234289999993</v>
      </c>
      <c r="O671" s="31">
        <v>66231.234289999993</v>
      </c>
    </row>
    <row r="672" spans="12:15" x14ac:dyDescent="0.25">
      <c r="L672" s="29">
        <v>1998</v>
      </c>
      <c r="M672" s="29" t="s">
        <v>34</v>
      </c>
      <c r="N672" s="30">
        <v>69757.057579999993</v>
      </c>
      <c r="O672" s="31">
        <v>69757.057579999993</v>
      </c>
    </row>
    <row r="673" spans="12:15" x14ac:dyDescent="0.25">
      <c r="L673" s="29">
        <v>1998</v>
      </c>
      <c r="M673" s="29" t="s">
        <v>37</v>
      </c>
      <c r="N673" s="30">
        <v>72794.689939999997</v>
      </c>
      <c r="O673" s="31">
        <v>72794.689939999997</v>
      </c>
    </row>
    <row r="674" spans="12:15" x14ac:dyDescent="0.25">
      <c r="L674" s="29">
        <v>1998</v>
      </c>
      <c r="M674" s="29" t="s">
        <v>40</v>
      </c>
      <c r="N674" s="30">
        <v>72469.229330000002</v>
      </c>
      <c r="O674" s="31">
        <v>72469.229330000002</v>
      </c>
    </row>
    <row r="675" spans="12:15" x14ac:dyDescent="0.25">
      <c r="L675" s="29">
        <v>1999</v>
      </c>
      <c r="M675" s="29" t="s">
        <v>31</v>
      </c>
      <c r="N675" s="30">
        <v>72903.176810000004</v>
      </c>
      <c r="O675" s="31">
        <v>72903.176810000004</v>
      </c>
    </row>
    <row r="676" spans="12:15" x14ac:dyDescent="0.25">
      <c r="L676" s="29">
        <v>1999</v>
      </c>
      <c r="M676" s="29" t="s">
        <v>34</v>
      </c>
      <c r="N676" s="30">
        <v>75995.052609999999</v>
      </c>
      <c r="O676" s="31">
        <v>75995.052609999999</v>
      </c>
    </row>
    <row r="677" spans="12:15" x14ac:dyDescent="0.25">
      <c r="L677" s="29">
        <v>1999</v>
      </c>
      <c r="M677" s="29" t="s">
        <v>37</v>
      </c>
      <c r="N677" s="30">
        <v>80443.014299999995</v>
      </c>
      <c r="O677" s="31">
        <v>80443.014299999995</v>
      </c>
    </row>
    <row r="678" spans="12:15" x14ac:dyDescent="0.25">
      <c r="L678" s="29">
        <v>1999</v>
      </c>
      <c r="M678" s="29" t="s">
        <v>40</v>
      </c>
      <c r="N678" s="30">
        <v>82504.26483</v>
      </c>
      <c r="O678" s="31">
        <v>82504.26483</v>
      </c>
    </row>
    <row r="679" spans="12:15" x14ac:dyDescent="0.25">
      <c r="L679" s="29">
        <v>2000</v>
      </c>
      <c r="M679" s="29" t="s">
        <v>31</v>
      </c>
      <c r="N679" s="30">
        <v>84619.758799999996</v>
      </c>
      <c r="O679" s="31">
        <v>84619.758799999996</v>
      </c>
    </row>
    <row r="680" spans="12:15" x14ac:dyDescent="0.25">
      <c r="L680" s="29">
        <v>2000</v>
      </c>
      <c r="M680" s="29" t="s">
        <v>34</v>
      </c>
      <c r="N680" s="30">
        <v>89230.450790000003</v>
      </c>
      <c r="O680" s="31">
        <v>89230.450789999988</v>
      </c>
    </row>
    <row r="681" spans="12:15" x14ac:dyDescent="0.25">
      <c r="L681" s="29">
        <v>2000</v>
      </c>
      <c r="M681" s="29" t="s">
        <v>37</v>
      </c>
      <c r="N681" s="30">
        <v>90911.997279999996</v>
      </c>
      <c r="O681" s="31">
        <v>90911.997279999996</v>
      </c>
    </row>
    <row r="682" spans="12:15" x14ac:dyDescent="0.25">
      <c r="L682" s="29">
        <v>2000</v>
      </c>
      <c r="M682" s="29" t="s">
        <v>40</v>
      </c>
      <c r="N682" s="30">
        <v>93624.169030000005</v>
      </c>
      <c r="O682" s="31">
        <v>93624.169030000005</v>
      </c>
    </row>
    <row r="683" spans="12:15" x14ac:dyDescent="0.25">
      <c r="L683" s="29">
        <v>2001</v>
      </c>
      <c r="M683" s="29" t="s">
        <v>31</v>
      </c>
      <c r="N683" s="30">
        <v>93135.97812</v>
      </c>
      <c r="O683" s="31">
        <v>93135.97812</v>
      </c>
    </row>
    <row r="684" spans="12:15" x14ac:dyDescent="0.25">
      <c r="L684" s="29">
        <v>2001</v>
      </c>
      <c r="M684" s="29" t="s">
        <v>34</v>
      </c>
      <c r="N684" s="30">
        <v>96499.071089999998</v>
      </c>
      <c r="O684" s="31">
        <v>96499.071089999998</v>
      </c>
    </row>
    <row r="685" spans="12:15" x14ac:dyDescent="0.25">
      <c r="L685" s="29">
        <v>2001</v>
      </c>
      <c r="M685" s="29" t="s">
        <v>37</v>
      </c>
      <c r="N685" s="30">
        <v>99970.650940000007</v>
      </c>
      <c r="O685" s="31">
        <v>99970.650940000007</v>
      </c>
    </row>
    <row r="686" spans="12:15" x14ac:dyDescent="0.25">
      <c r="L686" s="29">
        <v>2001</v>
      </c>
      <c r="M686" s="29" t="s">
        <v>40</v>
      </c>
      <c r="N686" s="30">
        <v>97963.643840000004</v>
      </c>
      <c r="O686" s="31">
        <v>97963.64383999999</v>
      </c>
    </row>
    <row r="687" spans="12:15" x14ac:dyDescent="0.25">
      <c r="L687" s="29">
        <v>2002</v>
      </c>
      <c r="M687" s="29" t="s">
        <v>31</v>
      </c>
      <c r="N687" s="30">
        <v>104704.7467</v>
      </c>
      <c r="O687" s="31">
        <v>101164.00649666668</v>
      </c>
    </row>
    <row r="688" spans="12:15" x14ac:dyDescent="0.25">
      <c r="L688" s="29">
        <v>2002</v>
      </c>
      <c r="M688" s="29" t="s">
        <v>34</v>
      </c>
      <c r="N688" s="30">
        <v>113303.68730000001</v>
      </c>
      <c r="O688" s="31">
        <v>109425.7337</v>
      </c>
    </row>
    <row r="689" spans="12:15" x14ac:dyDescent="0.25">
      <c r="L689" s="29">
        <v>2002</v>
      </c>
      <c r="M689" s="29" t="s">
        <v>37</v>
      </c>
      <c r="N689" s="30">
        <v>119575.8557</v>
      </c>
      <c r="O689" s="31">
        <v>116844.42753333335</v>
      </c>
    </row>
    <row r="690" spans="12:15" x14ac:dyDescent="0.25">
      <c r="L690" s="29">
        <v>2002</v>
      </c>
      <c r="M690" s="29" t="s">
        <v>40</v>
      </c>
      <c r="N690" s="30">
        <v>125746.86010000001</v>
      </c>
      <c r="O690" s="31">
        <v>122644.49723333334</v>
      </c>
    </row>
    <row r="691" spans="12:15" x14ac:dyDescent="0.25">
      <c r="L691" s="29">
        <v>2003</v>
      </c>
      <c r="M691" s="29" t="s">
        <v>31</v>
      </c>
      <c r="N691" s="30">
        <v>126151.51609999999</v>
      </c>
      <c r="O691" s="31">
        <v>124836.38403333334</v>
      </c>
    </row>
    <row r="692" spans="12:15" x14ac:dyDescent="0.25">
      <c r="L692" s="29">
        <v>2003</v>
      </c>
      <c r="M692" s="29" t="s">
        <v>34</v>
      </c>
      <c r="N692" s="30">
        <v>128579.4523</v>
      </c>
      <c r="O692" s="31">
        <v>128680.61629999999</v>
      </c>
    </row>
    <row r="693" spans="12:15" x14ac:dyDescent="0.25">
      <c r="L693" s="29">
        <v>2003</v>
      </c>
      <c r="M693" s="29" t="s">
        <v>37</v>
      </c>
      <c r="N693" s="30">
        <v>132727.1765</v>
      </c>
      <c r="O693" s="31">
        <v>132221.35649999999</v>
      </c>
    </row>
    <row r="694" spans="12:15" x14ac:dyDescent="0.25">
      <c r="L694" s="29">
        <v>2003</v>
      </c>
      <c r="M694" s="29" t="s">
        <v>40</v>
      </c>
      <c r="N694" s="30">
        <v>136166.75279999999</v>
      </c>
      <c r="O694" s="31">
        <v>134919.06336666667</v>
      </c>
    </row>
    <row r="695" spans="12:15" x14ac:dyDescent="0.25">
      <c r="L695" s="29">
        <v>2004</v>
      </c>
      <c r="M695" s="29" t="s">
        <v>31</v>
      </c>
      <c r="N695" s="30">
        <v>135964.42480000001</v>
      </c>
      <c r="O695" s="31">
        <v>136200.47409999999</v>
      </c>
    </row>
    <row r="696" spans="12:15" x14ac:dyDescent="0.25">
      <c r="L696" s="29">
        <v>2004</v>
      </c>
      <c r="M696" s="29" t="s">
        <v>34</v>
      </c>
      <c r="N696" s="30">
        <v>146384.3174</v>
      </c>
      <c r="O696" s="31">
        <v>144124.98796666667</v>
      </c>
    </row>
    <row r="697" spans="12:15" x14ac:dyDescent="0.25">
      <c r="L697" s="29">
        <v>2004</v>
      </c>
      <c r="M697" s="29" t="s">
        <v>37</v>
      </c>
      <c r="N697" s="30">
        <v>150936.69769999999</v>
      </c>
      <c r="O697" s="31">
        <v>150565.76300000001</v>
      </c>
    </row>
    <row r="698" spans="12:15" x14ac:dyDescent="0.25">
      <c r="L698" s="29">
        <v>2004</v>
      </c>
      <c r="M698" s="29" t="s">
        <v>40</v>
      </c>
      <c r="N698" s="30">
        <v>150734.36970000001</v>
      </c>
      <c r="O698" s="31">
        <v>151543.68176666668</v>
      </c>
    </row>
    <row r="699" spans="12:15" x14ac:dyDescent="0.25">
      <c r="L699" s="29">
        <v>2005</v>
      </c>
      <c r="M699" s="29" t="s">
        <v>31</v>
      </c>
      <c r="N699" s="30">
        <v>151723.0387</v>
      </c>
      <c r="O699" s="31">
        <v>150948.22530000002</v>
      </c>
    </row>
    <row r="700" spans="12:15" x14ac:dyDescent="0.25">
      <c r="L700" s="29">
        <v>2005</v>
      </c>
      <c r="M700" s="29" t="s">
        <v>34</v>
      </c>
      <c r="N700" s="30">
        <v>156767.05540000001</v>
      </c>
      <c r="O700" s="31">
        <v>155393.30220000001</v>
      </c>
    </row>
    <row r="701" spans="12:15" x14ac:dyDescent="0.25">
      <c r="L701" s="29">
        <v>2005</v>
      </c>
      <c r="M701" s="29" t="s">
        <v>37</v>
      </c>
      <c r="N701" s="30">
        <v>159183.1158</v>
      </c>
      <c r="O701" s="31">
        <v>159133.37726666665</v>
      </c>
    </row>
    <row r="702" spans="12:15" x14ac:dyDescent="0.25">
      <c r="L702" s="29">
        <v>2005</v>
      </c>
      <c r="M702" s="29" t="s">
        <v>40</v>
      </c>
      <c r="N702" s="30">
        <v>160208.97270000001</v>
      </c>
      <c r="O702" s="31">
        <v>159470.27823333335</v>
      </c>
    </row>
    <row r="703" spans="12:15" x14ac:dyDescent="0.25">
      <c r="L703" s="29">
        <v>2006</v>
      </c>
      <c r="M703" s="29" t="s">
        <v>31</v>
      </c>
      <c r="N703" s="30">
        <v>161530.57089999999</v>
      </c>
      <c r="O703" s="31">
        <v>160577.23403333334</v>
      </c>
    </row>
    <row r="704" spans="12:15" x14ac:dyDescent="0.25">
      <c r="L704" s="29">
        <v>2006</v>
      </c>
      <c r="M704" s="29" t="s">
        <v>34</v>
      </c>
      <c r="N704" s="30">
        <v>168184.13200000001</v>
      </c>
      <c r="O704" s="31">
        <v>166610.5273333333</v>
      </c>
    </row>
    <row r="705" spans="12:15" x14ac:dyDescent="0.25">
      <c r="L705" s="29">
        <v>2006</v>
      </c>
      <c r="M705" s="29" t="s">
        <v>37</v>
      </c>
      <c r="N705" s="30">
        <v>172738.0135</v>
      </c>
      <c r="O705" s="31">
        <v>171793.02473333335</v>
      </c>
    </row>
    <row r="706" spans="12:15" x14ac:dyDescent="0.25">
      <c r="L706" s="29">
        <v>2006</v>
      </c>
      <c r="M706" s="29" t="s">
        <v>40</v>
      </c>
      <c r="N706" s="30">
        <v>176819.0361</v>
      </c>
      <c r="O706" s="31">
        <v>175071.07543333332</v>
      </c>
    </row>
    <row r="707" spans="12:15" x14ac:dyDescent="0.25">
      <c r="L707" s="29">
        <v>2007</v>
      </c>
      <c r="M707" s="29" t="s">
        <v>31</v>
      </c>
      <c r="N707" s="30">
        <v>178636.42970000001</v>
      </c>
      <c r="O707" s="31">
        <v>177551.80999999997</v>
      </c>
    </row>
    <row r="708" spans="12:15" x14ac:dyDescent="0.25">
      <c r="L708" s="29">
        <v>2007</v>
      </c>
      <c r="M708" s="29" t="s">
        <v>34</v>
      </c>
      <c r="N708" s="30">
        <v>186348.11919999999</v>
      </c>
      <c r="O708" s="31">
        <v>184307.0533</v>
      </c>
    </row>
    <row r="709" spans="12:15" x14ac:dyDescent="0.25">
      <c r="L709" s="29">
        <v>2007</v>
      </c>
      <c r="M709" s="29" t="s">
        <v>37</v>
      </c>
      <c r="N709" s="30">
        <v>190031.91</v>
      </c>
      <c r="O709" s="31">
        <v>189502.86623333336</v>
      </c>
    </row>
    <row r="710" spans="12:15" x14ac:dyDescent="0.25">
      <c r="L710" s="29">
        <v>2007</v>
      </c>
      <c r="M710" s="29" t="s">
        <v>40</v>
      </c>
      <c r="N710" s="30">
        <v>189193.4909</v>
      </c>
      <c r="O710" s="31">
        <v>189423.83753333334</v>
      </c>
    </row>
    <row r="711" spans="12:15" x14ac:dyDescent="0.25">
      <c r="L711" s="29">
        <v>2008</v>
      </c>
      <c r="M711" s="29" t="s">
        <v>31</v>
      </c>
      <c r="N711" s="30">
        <v>182844.75769999999</v>
      </c>
      <c r="O711" s="31">
        <v>184270.34803333331</v>
      </c>
    </row>
    <row r="712" spans="12:15" x14ac:dyDescent="0.25">
      <c r="L712" s="29">
        <v>2008</v>
      </c>
      <c r="M712" s="29" t="s">
        <v>34</v>
      </c>
      <c r="N712" s="30">
        <v>181830.6502</v>
      </c>
      <c r="O712" s="31">
        <v>183081.9529</v>
      </c>
    </row>
    <row r="713" spans="12:15" x14ac:dyDescent="0.25">
      <c r="L713" s="29">
        <v>2008</v>
      </c>
      <c r="M713" s="29" t="s">
        <v>37</v>
      </c>
      <c r="N713" s="30">
        <v>171659.52129999999</v>
      </c>
      <c r="O713" s="31">
        <v>175865.69313333335</v>
      </c>
    </row>
    <row r="714" spans="12:15" x14ac:dyDescent="0.25">
      <c r="L714" s="29">
        <v>2008</v>
      </c>
      <c r="M714" s="29" t="s">
        <v>40</v>
      </c>
      <c r="N714" s="30">
        <v>160954.2262</v>
      </c>
      <c r="O714" s="31">
        <v>164192.75406666668</v>
      </c>
    </row>
    <row r="715" spans="12:15" x14ac:dyDescent="0.25">
      <c r="L715" s="29">
        <v>2009</v>
      </c>
      <c r="M715" s="29" t="s">
        <v>31</v>
      </c>
      <c r="N715" s="30">
        <v>154452.3806</v>
      </c>
      <c r="O715" s="31">
        <v>155701.22993333335</v>
      </c>
    </row>
    <row r="716" spans="12:15" x14ac:dyDescent="0.25">
      <c r="L716" s="29">
        <v>2009</v>
      </c>
      <c r="M716" s="29" t="s">
        <v>34</v>
      </c>
      <c r="N716" s="30">
        <v>159561.06049999999</v>
      </c>
      <c r="O716" s="31">
        <v>157805.8941</v>
      </c>
    </row>
    <row r="717" spans="12:15" x14ac:dyDescent="0.25">
      <c r="L717" s="29">
        <v>2009</v>
      </c>
      <c r="M717" s="29" t="s">
        <v>37</v>
      </c>
      <c r="N717" s="30">
        <v>165313.77009999999</v>
      </c>
      <c r="O717" s="31">
        <v>163920.78626666669</v>
      </c>
    </row>
    <row r="718" spans="12:15" x14ac:dyDescent="0.25">
      <c r="L718" s="29">
        <v>2009</v>
      </c>
      <c r="M718" s="29" t="s">
        <v>40</v>
      </c>
      <c r="N718" s="30">
        <v>168081.6091</v>
      </c>
      <c r="O718" s="31">
        <v>167164.22016666667</v>
      </c>
    </row>
    <row r="719" spans="12:15" x14ac:dyDescent="0.25">
      <c r="L719" s="29">
        <v>2010</v>
      </c>
      <c r="M719" s="29" t="s">
        <v>31</v>
      </c>
      <c r="N719" s="30">
        <v>167877.95079999999</v>
      </c>
      <c r="O719" s="31">
        <v>167744.85430000001</v>
      </c>
    </row>
    <row r="720" spans="12:15" x14ac:dyDescent="0.25">
      <c r="L720" s="29">
        <v>2010</v>
      </c>
      <c r="M720" s="29" t="s">
        <v>34</v>
      </c>
      <c r="N720" s="30">
        <v>171688.53700000001</v>
      </c>
      <c r="O720" s="31">
        <v>170854.11750000002</v>
      </c>
    </row>
    <row r="721" spans="12:15" x14ac:dyDescent="0.25">
      <c r="L721" s="29">
        <v>2010</v>
      </c>
      <c r="M721" s="29" t="s">
        <v>37</v>
      </c>
      <c r="N721" s="30">
        <v>172972.04430000001</v>
      </c>
      <c r="O721" s="31">
        <v>173272.20293333332</v>
      </c>
    </row>
    <row r="722" spans="12:15" x14ac:dyDescent="0.25">
      <c r="L722" s="29">
        <v>2010</v>
      </c>
      <c r="M722" s="29" t="s">
        <v>40</v>
      </c>
      <c r="N722" s="30">
        <v>168702.72140000001</v>
      </c>
      <c r="O722" s="31">
        <v>169586.86313333336</v>
      </c>
    </row>
    <row r="723" spans="12:15" x14ac:dyDescent="0.25">
      <c r="L723" s="29">
        <v>2011</v>
      </c>
      <c r="M723" s="29" t="s">
        <v>31</v>
      </c>
      <c r="N723" s="30">
        <v>165648.5379</v>
      </c>
      <c r="O723" s="31">
        <v>166454.64619999999</v>
      </c>
    </row>
    <row r="724" spans="12:15" x14ac:dyDescent="0.25">
      <c r="L724" s="29">
        <v>2011</v>
      </c>
      <c r="M724" s="29" t="s">
        <v>34</v>
      </c>
      <c r="N724" s="30">
        <v>167752.9093</v>
      </c>
      <c r="O724" s="31">
        <v>167813.5612</v>
      </c>
    </row>
    <row r="725" spans="12:15" x14ac:dyDescent="0.25">
      <c r="L725" s="29">
        <v>2011</v>
      </c>
      <c r="M725" s="29" t="s">
        <v>37</v>
      </c>
      <c r="N725" s="30">
        <v>169543.57339999999</v>
      </c>
      <c r="O725" s="31">
        <v>169792.46716666667</v>
      </c>
    </row>
    <row r="726" spans="12:15" x14ac:dyDescent="0.25">
      <c r="L726" s="29">
        <v>2011</v>
      </c>
      <c r="M726" s="29" t="s">
        <v>40</v>
      </c>
      <c r="N726" s="30">
        <v>167047.77059999999</v>
      </c>
      <c r="O726" s="31">
        <v>167492.60879999999</v>
      </c>
    </row>
    <row r="727" spans="12:15" x14ac:dyDescent="0.25">
      <c r="L727" s="29">
        <v>2012</v>
      </c>
      <c r="M727" s="29" t="s">
        <v>31</v>
      </c>
      <c r="N727" s="30">
        <v>165947.32740000001</v>
      </c>
      <c r="O727" s="31">
        <v>165770.9627</v>
      </c>
    </row>
    <row r="728" spans="12:15" x14ac:dyDescent="0.25">
      <c r="L728" s="29">
        <v>2012</v>
      </c>
      <c r="M728" s="29" t="s">
        <v>34</v>
      </c>
      <c r="N728" s="30">
        <v>170049.1636</v>
      </c>
      <c r="O728" s="31">
        <v>168766.18389999997</v>
      </c>
    </row>
    <row r="729" spans="12:15" x14ac:dyDescent="0.25">
      <c r="L729" s="29">
        <v>2012</v>
      </c>
      <c r="M729" s="29" t="s">
        <v>37</v>
      </c>
      <c r="N729" s="30">
        <v>170295.1292</v>
      </c>
      <c r="O729" s="31">
        <v>170632.90113333333</v>
      </c>
    </row>
    <row r="730" spans="12:15" x14ac:dyDescent="0.25">
      <c r="L730" s="29">
        <v>2012</v>
      </c>
      <c r="M730" s="29" t="s">
        <v>40</v>
      </c>
      <c r="N730" s="30">
        <v>168842.84340000001</v>
      </c>
      <c r="O730" s="31">
        <v>169053.20413333332</v>
      </c>
    </row>
    <row r="731" spans="12:15" x14ac:dyDescent="0.25">
      <c r="L731" s="29">
        <v>2013</v>
      </c>
      <c r="M731" s="29" t="s">
        <v>31</v>
      </c>
      <c r="N731" s="30">
        <v>168681.46840000001</v>
      </c>
      <c r="O731" s="31">
        <v>168026.50760000001</v>
      </c>
    </row>
    <row r="732" spans="12:15" x14ac:dyDescent="0.25">
      <c r="L732" s="29">
        <v>2013</v>
      </c>
      <c r="M732" s="29" t="s">
        <v>34</v>
      </c>
      <c r="N732" s="30">
        <v>172654.5105</v>
      </c>
      <c r="O732" s="31">
        <v>171407.87763333332</v>
      </c>
    </row>
    <row r="733" spans="12:15" x14ac:dyDescent="0.25">
      <c r="L733" s="29">
        <v>2013</v>
      </c>
      <c r="M733" s="29" t="s">
        <v>37</v>
      </c>
      <c r="N733" s="30">
        <v>176097.82750000001</v>
      </c>
      <c r="O733" s="31">
        <v>175557.46043333333</v>
      </c>
    </row>
    <row r="734" spans="12:15" x14ac:dyDescent="0.25">
      <c r="L734" s="29">
        <v>2013</v>
      </c>
      <c r="M734" s="29" t="s">
        <v>40</v>
      </c>
      <c r="N734" s="30">
        <v>177970.63200000001</v>
      </c>
      <c r="O734" s="31">
        <v>176566.86493333333</v>
      </c>
    </row>
    <row r="735" spans="12:15" x14ac:dyDescent="0.25">
      <c r="L735" s="29">
        <v>2014</v>
      </c>
      <c r="M735" s="29" t="s">
        <v>31</v>
      </c>
      <c r="N735" s="30">
        <v>179536.8481</v>
      </c>
      <c r="O735" s="31">
        <v>178880.16086666667</v>
      </c>
    </row>
    <row r="736" spans="12:15" x14ac:dyDescent="0.25">
      <c r="L736" s="29">
        <v>2014</v>
      </c>
      <c r="M736" s="29" t="s">
        <v>34</v>
      </c>
      <c r="N736" s="30">
        <v>187077.4797</v>
      </c>
      <c r="O736" s="31">
        <v>185361.86176666667</v>
      </c>
    </row>
    <row r="737" spans="12:15" x14ac:dyDescent="0.25">
      <c r="L737" s="29">
        <v>2014</v>
      </c>
      <c r="M737" s="29" t="s">
        <v>37</v>
      </c>
      <c r="N737" s="30">
        <v>192138.05600000001</v>
      </c>
      <c r="O737" s="31">
        <v>191259.80543333336</v>
      </c>
    </row>
    <row r="738" spans="12:15" x14ac:dyDescent="0.25">
      <c r="L738" s="29">
        <v>2014</v>
      </c>
      <c r="M738" s="29" t="s">
        <v>40</v>
      </c>
      <c r="N738" s="30">
        <v>191669.31049999999</v>
      </c>
      <c r="O738" s="31">
        <v>191577.69440000001</v>
      </c>
    </row>
    <row r="739" spans="12:15" x14ac:dyDescent="0.25">
      <c r="L739" s="29">
        <v>2015</v>
      </c>
      <c r="M739" s="29" t="s">
        <v>31</v>
      </c>
      <c r="N739" s="30">
        <v>191537.2634</v>
      </c>
      <c r="O739" s="31">
        <v>191009.76840000003</v>
      </c>
    </row>
    <row r="740" spans="12:15" x14ac:dyDescent="0.25">
      <c r="L740" s="29">
        <v>2015</v>
      </c>
      <c r="M740" s="29" t="s">
        <v>34</v>
      </c>
      <c r="N740" s="30">
        <v>196802.4578</v>
      </c>
      <c r="O740" s="31">
        <v>195113.43346666664</v>
      </c>
    </row>
    <row r="741" spans="12:15" x14ac:dyDescent="0.25">
      <c r="L741" s="29">
        <v>2015</v>
      </c>
      <c r="M741" s="29" t="s">
        <v>37</v>
      </c>
      <c r="N741" s="30">
        <v>202388.7291</v>
      </c>
      <c r="O741" s="31">
        <v>201501.21843333333</v>
      </c>
    </row>
    <row r="742" spans="12:15" x14ac:dyDescent="0.25">
      <c r="L742" s="29">
        <v>2015</v>
      </c>
      <c r="M742" s="29" t="s">
        <v>40</v>
      </c>
      <c r="N742" s="30">
        <v>204920.2481</v>
      </c>
      <c r="O742" s="31">
        <v>203935.94043333331</v>
      </c>
    </row>
    <row r="743" spans="12:15" x14ac:dyDescent="0.25">
      <c r="L743" s="29">
        <v>2016</v>
      </c>
      <c r="M743" s="29" t="s">
        <v>31</v>
      </c>
      <c r="N743" s="30">
        <v>207667.16579999999</v>
      </c>
      <c r="O743" s="31">
        <v>206228.9553</v>
      </c>
    </row>
    <row r="744" spans="12:15" x14ac:dyDescent="0.25">
      <c r="L744" s="29">
        <v>2016</v>
      </c>
      <c r="M744" s="29" t="s">
        <v>34</v>
      </c>
      <c r="N744" s="30">
        <v>212886.52989999999</v>
      </c>
      <c r="O744" s="31">
        <v>210734.05893333335</v>
      </c>
    </row>
    <row r="745" spans="12:15" x14ac:dyDescent="0.25">
      <c r="L745" s="29">
        <v>2016</v>
      </c>
      <c r="M745" s="29" t="s">
        <v>37</v>
      </c>
      <c r="N745" s="30">
        <v>214816.236</v>
      </c>
      <c r="O745" s="31">
        <v>215029.3915</v>
      </c>
    </row>
    <row r="746" spans="12:15" x14ac:dyDescent="0.25">
      <c r="L746" s="29">
        <v>2016</v>
      </c>
      <c r="M746" s="29" t="s">
        <v>40</v>
      </c>
      <c r="N746" s="30">
        <v>215499.8314</v>
      </c>
      <c r="O746" s="31">
        <v>214906.57380000001</v>
      </c>
    </row>
    <row r="747" spans="12:15" x14ac:dyDescent="0.25">
      <c r="L747" s="29">
        <v>2017</v>
      </c>
      <c r="M747" s="29" t="s">
        <v>31</v>
      </c>
      <c r="N747" s="30">
        <v>215236.3504</v>
      </c>
      <c r="O747" s="31">
        <v>215392.12933333335</v>
      </c>
    </row>
    <row r="748" spans="12:15" x14ac:dyDescent="0.25">
      <c r="L748" s="29">
        <v>2017</v>
      </c>
      <c r="M748" s="29" t="s">
        <v>34</v>
      </c>
      <c r="N748" s="30">
        <v>221833.47829999999</v>
      </c>
      <c r="O748" s="31">
        <v>220142.91196666667</v>
      </c>
    </row>
    <row r="749" spans="12:15" x14ac:dyDescent="0.25">
      <c r="L749" s="29">
        <v>2017</v>
      </c>
      <c r="M749" s="29" t="s">
        <v>37</v>
      </c>
      <c r="N749" s="30">
        <v>224895.01980000001</v>
      </c>
      <c r="O749" s="31">
        <v>225117.4415333333</v>
      </c>
    </row>
    <row r="750" spans="12:15" x14ac:dyDescent="0.25">
      <c r="L750" s="29">
        <v>2017</v>
      </c>
      <c r="M750" s="29" t="s">
        <v>40</v>
      </c>
      <c r="N750" s="30">
        <v>225329.97760000001</v>
      </c>
      <c r="O750" s="31">
        <v>224958.32523333331</v>
      </c>
    </row>
    <row r="751" spans="12:15" x14ac:dyDescent="0.25">
      <c r="L751" s="29">
        <v>2018</v>
      </c>
      <c r="M751" s="29" t="s">
        <v>31</v>
      </c>
      <c r="N751" s="30">
        <v>223772.1802</v>
      </c>
      <c r="O751" s="31">
        <v>224482.37569999998</v>
      </c>
    </row>
    <row r="752" spans="12:15" x14ac:dyDescent="0.25">
      <c r="L752" s="29">
        <v>2018</v>
      </c>
      <c r="M752" s="29" t="s">
        <v>34</v>
      </c>
      <c r="N752" s="30">
        <v>228355.30979999999</v>
      </c>
      <c r="O752" s="31">
        <v>227033.12143333335</v>
      </c>
    </row>
    <row r="753" spans="12:15" x14ac:dyDescent="0.25">
      <c r="L753" s="29">
        <v>2018</v>
      </c>
      <c r="M753" s="29" t="s">
        <v>37</v>
      </c>
      <c r="N753" s="30">
        <v>231454.25020000001</v>
      </c>
      <c r="O753" s="31">
        <v>231512.98936666665</v>
      </c>
    </row>
    <row r="754" spans="12:15" x14ac:dyDescent="0.25">
      <c r="L754" s="29">
        <v>2018</v>
      </c>
      <c r="M754" s="29" t="s">
        <v>40</v>
      </c>
      <c r="N754" s="30">
        <v>229729.2591</v>
      </c>
      <c r="O754" s="31">
        <v>230388.26426666669</v>
      </c>
    </row>
    <row r="755" spans="12:15" x14ac:dyDescent="0.25">
      <c r="L755" s="29">
        <v>2019</v>
      </c>
      <c r="M755" s="29" t="s">
        <v>31</v>
      </c>
      <c r="N755" s="30">
        <v>227103.96230000001</v>
      </c>
      <c r="O755" s="31">
        <v>227718.97306666666</v>
      </c>
    </row>
    <row r="756" spans="12:15" x14ac:dyDescent="0.25">
      <c r="L756" s="29">
        <v>2019</v>
      </c>
      <c r="M756" s="29" t="s">
        <v>34</v>
      </c>
      <c r="N756" s="30">
        <v>230049.04519999999</v>
      </c>
      <c r="O756" s="31">
        <v>229286.50473333334</v>
      </c>
    </row>
    <row r="757" spans="12:15" x14ac:dyDescent="0.25">
      <c r="L757" s="29">
        <v>2019</v>
      </c>
      <c r="M757" s="29" t="s">
        <v>37</v>
      </c>
      <c r="N757" s="30">
        <v>233536.15</v>
      </c>
      <c r="O757" s="31">
        <v>233173.47783333334</v>
      </c>
    </row>
    <row r="758" spans="12:15" x14ac:dyDescent="0.25">
      <c r="L758" s="29">
        <v>2019</v>
      </c>
      <c r="M758" s="29" t="s">
        <v>40</v>
      </c>
      <c r="N758" s="30">
        <v>231792.2947</v>
      </c>
      <c r="O758" s="31">
        <v>232269.37416666665</v>
      </c>
    </row>
    <row r="759" spans="12:15" x14ac:dyDescent="0.25">
      <c r="L759" s="29">
        <v>2020</v>
      </c>
      <c r="M759" s="29" t="s">
        <v>31</v>
      </c>
      <c r="N759" s="30">
        <v>232683.80619999999</v>
      </c>
      <c r="O759" s="31">
        <v>231744.23896666666</v>
      </c>
    </row>
    <row r="760" spans="12:15" x14ac:dyDescent="0.25">
      <c r="L760" s="29">
        <v>2020</v>
      </c>
      <c r="M760" s="29" t="s">
        <v>34</v>
      </c>
      <c r="N760" s="30">
        <v>234703.2452</v>
      </c>
      <c r="O760" s="31">
        <v>232176.23766666665</v>
      </c>
    </row>
    <row r="761" spans="12:15" x14ac:dyDescent="0.25">
      <c r="L761" s="29">
        <v>2020</v>
      </c>
      <c r="M761" s="29" t="s">
        <v>37</v>
      </c>
      <c r="N761" s="30">
        <v>241541.40239999999</v>
      </c>
      <c r="O761" s="31">
        <v>239075.34083333332</v>
      </c>
    </row>
    <row r="762" spans="12:15" x14ac:dyDescent="0.25">
      <c r="L762" s="29">
        <v>2020</v>
      </c>
      <c r="M762" s="29" t="s">
        <v>40</v>
      </c>
      <c r="N762" s="30">
        <v>247983.41200000001</v>
      </c>
      <c r="O762" s="31">
        <v>245874.62526666667</v>
      </c>
    </row>
    <row r="763" spans="12:15" x14ac:dyDescent="0.25">
      <c r="L763" s="29">
        <v>2021</v>
      </c>
      <c r="M763" s="29" t="s">
        <v>31</v>
      </c>
      <c r="N763" s="30">
        <v>253505.55100000001</v>
      </c>
      <c r="O763" s="31">
        <v>250927.06266666666</v>
      </c>
    </row>
    <row r="764" spans="12:15" x14ac:dyDescent="0.25">
      <c r="L764" s="29">
        <v>2021</v>
      </c>
      <c r="M764" s="29" t="s">
        <v>34</v>
      </c>
      <c r="N764" s="30">
        <v>265676.07549999998</v>
      </c>
      <c r="O764" s="31">
        <v>255723.74239999999</v>
      </c>
    </row>
    <row r="765" spans="12:15" x14ac:dyDescent="0.25">
      <c r="L765" s="29">
        <v>2021</v>
      </c>
      <c r="M765" s="29" t="s">
        <v>37</v>
      </c>
      <c r="N765" s="30">
        <v>269003.07451000001</v>
      </c>
      <c r="O765" s="31">
        <v>260797.46228333333</v>
      </c>
    </row>
    <row r="766" spans="12:15" x14ac:dyDescent="0.25">
      <c r="L766" s="29">
        <v>2021</v>
      </c>
      <c r="M766" s="29" t="s">
        <v>40</v>
      </c>
      <c r="N766" s="30">
        <v>268809.29149999999</v>
      </c>
      <c r="O766" s="31">
        <v>266894.84483333334</v>
      </c>
    </row>
    <row r="767" spans="12:15" x14ac:dyDescent="0.25">
      <c r="L767" s="29">
        <v>2022</v>
      </c>
      <c r="M767" s="29" t="s">
        <v>31</v>
      </c>
      <c r="N767" s="30">
        <v>275752.98334999999</v>
      </c>
      <c r="O767" s="31">
        <v>274730.63396000001</v>
      </c>
    </row>
    <row r="768" spans="12:15" x14ac:dyDescent="0.25">
      <c r="L768" s="29">
        <v>2022</v>
      </c>
      <c r="M768" s="29" t="s">
        <v>34</v>
      </c>
      <c r="N768" s="30">
        <v>285690.57259</v>
      </c>
      <c r="O768" s="31">
        <v>282450.39941999997</v>
      </c>
    </row>
  </sheetData>
  <autoFilter ref="L7:O577" xr:uid="{084F465D-DFAD-41E8-917B-72A26512C594}"/>
  <phoneticPr fontId="3" type="noConversion"/>
  <hyperlinks>
    <hyperlink ref="D6" r:id="rId1" display="https://www.gov.uk/government/statistical-data-sets/uk-house-price-index-data-downloads-september-2022" xr:uid="{5A8DCA60-B820-4D26-A6FA-CBE8ACB23FF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CCDB2-33A3-4F81-8140-52117272781D}">
  <dimension ref="B3:O197"/>
  <sheetViews>
    <sheetView zoomScale="75" zoomScaleNormal="75" workbookViewId="0">
      <selection activeCell="J24" sqref="J24"/>
    </sheetView>
  </sheetViews>
  <sheetFormatPr defaultRowHeight="15" x14ac:dyDescent="0.25"/>
  <cols>
    <col min="1" max="1" width="2.7109375" customWidth="1"/>
    <col min="2" max="2" width="8.7109375" customWidth="1"/>
    <col min="3" max="3" width="4.7109375" customWidth="1"/>
    <col min="4" max="5" width="15.7109375" style="21" customWidth="1"/>
    <col min="6" max="7" width="15.7109375" customWidth="1"/>
    <col min="8" max="8" width="15.7109375" style="95" customWidth="1"/>
    <col min="9" max="10" width="15.7109375" customWidth="1"/>
    <col min="11" max="11" width="2.7109375" customWidth="1"/>
    <col min="12" max="12" width="8.7109375" style="29" customWidth="1"/>
    <col min="13" max="15" width="15.7109375" style="29" customWidth="1"/>
  </cols>
  <sheetData>
    <row r="3" spans="2:15" x14ac:dyDescent="0.25">
      <c r="D3" s="21" t="s">
        <v>4</v>
      </c>
      <c r="E3" s="21" t="s">
        <v>5</v>
      </c>
      <c r="F3" t="s">
        <v>6</v>
      </c>
      <c r="G3" t="s">
        <v>18</v>
      </c>
      <c r="H3" s="95" t="s">
        <v>7</v>
      </c>
      <c r="I3" t="s">
        <v>8</v>
      </c>
      <c r="J3" t="s">
        <v>9</v>
      </c>
      <c r="L3" s="29" t="s">
        <v>41</v>
      </c>
    </row>
    <row r="4" spans="2:15" ht="135" customHeight="1" x14ac:dyDescent="0.25">
      <c r="B4" s="2" t="s">
        <v>17</v>
      </c>
      <c r="C4" s="2"/>
      <c r="D4" s="22" t="s">
        <v>45</v>
      </c>
      <c r="E4" s="22" t="s">
        <v>46</v>
      </c>
      <c r="F4" s="3"/>
      <c r="G4" s="3"/>
      <c r="H4" s="96" t="s">
        <v>42</v>
      </c>
      <c r="I4" s="2"/>
      <c r="J4" s="2"/>
    </row>
    <row r="5" spans="2:15" ht="45" customHeight="1" x14ac:dyDescent="0.25">
      <c r="B5" s="2" t="s">
        <v>16</v>
      </c>
      <c r="C5" s="2"/>
      <c r="D5" s="22" t="s">
        <v>62</v>
      </c>
      <c r="E5" s="22" t="s">
        <v>63</v>
      </c>
      <c r="F5" s="3"/>
      <c r="G5" s="3"/>
      <c r="H5" s="97"/>
      <c r="I5" s="2"/>
      <c r="J5" s="2"/>
    </row>
    <row r="6" spans="2:15" ht="15.75" customHeight="1" x14ac:dyDescent="0.25">
      <c r="B6" s="2" t="s">
        <v>13</v>
      </c>
      <c r="C6" s="2"/>
      <c r="D6" s="20" t="s">
        <v>43</v>
      </c>
      <c r="E6" s="20" t="s">
        <v>44</v>
      </c>
      <c r="F6" s="3"/>
      <c r="G6" s="3"/>
      <c r="H6" s="97"/>
      <c r="I6" s="20"/>
      <c r="J6" s="2"/>
    </row>
    <row r="7" spans="2:15" ht="15.75" customHeight="1" x14ac:dyDescent="0.25">
      <c r="B7" s="2" t="s">
        <v>15</v>
      </c>
      <c r="C7" s="2"/>
      <c r="D7" s="22" t="s">
        <v>48</v>
      </c>
      <c r="E7" s="22" t="s">
        <v>47</v>
      </c>
      <c r="F7" s="3"/>
      <c r="G7" s="3"/>
      <c r="H7" s="99"/>
      <c r="J7" s="2"/>
    </row>
    <row r="8" spans="2:15" x14ac:dyDescent="0.25">
      <c r="B8">
        <v>1975</v>
      </c>
      <c r="C8" s="4" t="s">
        <v>0</v>
      </c>
      <c r="D8" s="35">
        <v>10.3</v>
      </c>
      <c r="E8" s="42"/>
      <c r="H8" s="101">
        <f>IF(D8&gt;0,D8,D$164*E8/100)</f>
        <v>10.3</v>
      </c>
      <c r="I8" s="33">
        <v>10.3</v>
      </c>
      <c r="J8" s="1">
        <f>H8-I8</f>
        <v>0</v>
      </c>
      <c r="L8" s="29">
        <v>2014</v>
      </c>
      <c r="M8" s="29" t="s">
        <v>29</v>
      </c>
      <c r="N8" s="39">
        <v>100.6</v>
      </c>
    </row>
    <row r="9" spans="2:15" x14ac:dyDescent="0.25">
      <c r="C9" s="4" t="s">
        <v>1</v>
      </c>
      <c r="D9" s="35">
        <v>11.2</v>
      </c>
      <c r="E9" s="42"/>
      <c r="H9" s="101">
        <f t="shared" ref="H9:H72" si="0">IF(D9&gt;0,D9,D$164*E9/100)</f>
        <v>11.2</v>
      </c>
      <c r="I9" s="33">
        <v>11.2</v>
      </c>
      <c r="J9" s="1">
        <f t="shared" ref="J9:J72" si="1">H9-I9</f>
        <v>0</v>
      </c>
      <c r="L9" s="29">
        <v>2014</v>
      </c>
      <c r="M9" s="29" t="s">
        <v>30</v>
      </c>
      <c r="N9" s="39">
        <v>99.9</v>
      </c>
    </row>
    <row r="10" spans="2:15" x14ac:dyDescent="0.25">
      <c r="C10" s="4" t="s">
        <v>2</v>
      </c>
      <c r="D10" s="35">
        <v>11.7</v>
      </c>
      <c r="E10" s="42"/>
      <c r="H10" s="101">
        <f t="shared" si="0"/>
        <v>11.7</v>
      </c>
      <c r="I10" s="33">
        <v>11.7</v>
      </c>
      <c r="J10" s="1">
        <f t="shared" si="1"/>
        <v>0</v>
      </c>
      <c r="L10" s="29">
        <v>2014</v>
      </c>
      <c r="M10" s="29" t="s">
        <v>31</v>
      </c>
      <c r="N10" s="39">
        <v>99.4</v>
      </c>
      <c r="O10" s="41">
        <f>AVERAGE(N8:N10)</f>
        <v>99.966666666666654</v>
      </c>
    </row>
    <row r="11" spans="2:15" x14ac:dyDescent="0.25">
      <c r="C11" s="4" t="s">
        <v>3</v>
      </c>
      <c r="D11" s="35">
        <v>11.5</v>
      </c>
      <c r="E11" s="42"/>
      <c r="H11" s="101">
        <f t="shared" si="0"/>
        <v>11.5</v>
      </c>
      <c r="I11" s="33">
        <v>11.5</v>
      </c>
      <c r="J11" s="1">
        <f t="shared" si="1"/>
        <v>0</v>
      </c>
      <c r="L11" s="29">
        <v>2014</v>
      </c>
      <c r="M11" s="29" t="s">
        <v>32</v>
      </c>
      <c r="N11" s="39">
        <v>98.8</v>
      </c>
      <c r="O11" s="40">
        <f t="shared" ref="O11:O74" si="2">AVERAGE(N9:N11)</f>
        <v>99.366666666666674</v>
      </c>
    </row>
    <row r="12" spans="2:15" x14ac:dyDescent="0.25">
      <c r="B12">
        <v>1976</v>
      </c>
      <c r="C12" s="4" t="s">
        <v>0</v>
      </c>
      <c r="D12" s="35">
        <v>11.4</v>
      </c>
      <c r="E12" s="42"/>
      <c r="H12" s="101">
        <f t="shared" si="0"/>
        <v>11.4</v>
      </c>
      <c r="I12" s="33">
        <v>11.4</v>
      </c>
      <c r="J12" s="1">
        <f t="shared" si="1"/>
        <v>0</v>
      </c>
      <c r="L12" s="29">
        <v>2014</v>
      </c>
      <c r="M12" s="29" t="s">
        <v>33</v>
      </c>
      <c r="N12" s="39">
        <v>98.5</v>
      </c>
      <c r="O12" s="40">
        <f t="shared" si="2"/>
        <v>98.899999999999991</v>
      </c>
    </row>
    <row r="13" spans="2:15" x14ac:dyDescent="0.25">
      <c r="C13" s="4" t="s">
        <v>1</v>
      </c>
      <c r="D13" s="35">
        <v>12.4</v>
      </c>
      <c r="E13" s="42"/>
      <c r="H13" s="101">
        <f t="shared" si="0"/>
        <v>12.4</v>
      </c>
      <c r="I13" s="33">
        <v>12.4</v>
      </c>
      <c r="J13" s="1">
        <f t="shared" si="1"/>
        <v>0</v>
      </c>
      <c r="L13" s="29">
        <v>2014</v>
      </c>
      <c r="M13" s="29" t="s">
        <v>34</v>
      </c>
      <c r="N13" s="39">
        <v>99.1</v>
      </c>
      <c r="O13" s="41">
        <f t="shared" si="2"/>
        <v>98.8</v>
      </c>
    </row>
    <row r="14" spans="2:15" x14ac:dyDescent="0.25">
      <c r="C14" s="4" t="s">
        <v>2</v>
      </c>
      <c r="D14" s="35">
        <v>12.8</v>
      </c>
      <c r="E14" s="42"/>
      <c r="H14" s="101">
        <f t="shared" si="0"/>
        <v>12.8</v>
      </c>
      <c r="I14" s="33">
        <v>12.8</v>
      </c>
      <c r="J14" s="1">
        <f t="shared" si="1"/>
        <v>0</v>
      </c>
      <c r="L14" s="29">
        <v>2014</v>
      </c>
      <c r="M14" s="29" t="s">
        <v>35</v>
      </c>
      <c r="N14" s="39">
        <v>99.4</v>
      </c>
      <c r="O14" s="40">
        <f t="shared" si="2"/>
        <v>99</v>
      </c>
    </row>
    <row r="15" spans="2:15" x14ac:dyDescent="0.25">
      <c r="C15" s="4" t="s">
        <v>3</v>
      </c>
      <c r="D15" s="35">
        <v>12.7</v>
      </c>
      <c r="E15" s="42"/>
      <c r="H15" s="101">
        <f t="shared" si="0"/>
        <v>12.7</v>
      </c>
      <c r="I15" s="33">
        <v>12.7</v>
      </c>
      <c r="J15" s="1">
        <f t="shared" si="1"/>
        <v>0</v>
      </c>
      <c r="L15" s="29">
        <v>2014</v>
      </c>
      <c r="M15" s="29" t="s">
        <v>36</v>
      </c>
      <c r="N15" s="39">
        <v>98.8</v>
      </c>
      <c r="O15" s="40">
        <f t="shared" si="2"/>
        <v>99.100000000000009</v>
      </c>
    </row>
    <row r="16" spans="2:15" x14ac:dyDescent="0.25">
      <c r="B16">
        <v>1977</v>
      </c>
      <c r="C16" s="4" t="s">
        <v>0</v>
      </c>
      <c r="D16" s="35">
        <v>12.3</v>
      </c>
      <c r="E16" s="42"/>
      <c r="H16" s="101">
        <f t="shared" si="0"/>
        <v>12.3</v>
      </c>
      <c r="I16" s="33">
        <v>12.3</v>
      </c>
      <c r="J16" s="1">
        <f t="shared" si="1"/>
        <v>0</v>
      </c>
      <c r="L16" s="29">
        <v>2014</v>
      </c>
      <c r="M16" s="29" t="s">
        <v>37</v>
      </c>
      <c r="N16" s="39">
        <v>99.1</v>
      </c>
      <c r="O16" s="41">
        <f t="shared" si="2"/>
        <v>99.09999999999998</v>
      </c>
    </row>
    <row r="17" spans="2:15" x14ac:dyDescent="0.25">
      <c r="C17" s="4" t="s">
        <v>1</v>
      </c>
      <c r="D17" s="35">
        <v>13.5</v>
      </c>
      <c r="E17" s="42"/>
      <c r="H17" s="101">
        <f t="shared" si="0"/>
        <v>13.5</v>
      </c>
      <c r="I17" s="33">
        <v>13.5</v>
      </c>
      <c r="J17" s="1">
        <f t="shared" si="1"/>
        <v>0</v>
      </c>
      <c r="L17" s="29">
        <v>2014</v>
      </c>
      <c r="M17" s="29" t="s">
        <v>38</v>
      </c>
      <c r="N17" s="39">
        <v>99</v>
      </c>
      <c r="O17" s="40">
        <f t="shared" si="2"/>
        <v>98.966666666666654</v>
      </c>
    </row>
    <row r="18" spans="2:15" x14ac:dyDescent="0.25">
      <c r="C18" s="4" t="s">
        <v>2</v>
      </c>
      <c r="D18" s="35">
        <v>14.1</v>
      </c>
      <c r="E18" s="42"/>
      <c r="H18" s="101">
        <f t="shared" si="0"/>
        <v>14.1</v>
      </c>
      <c r="I18" s="33">
        <v>14.1</v>
      </c>
      <c r="J18" s="1">
        <f t="shared" si="1"/>
        <v>0</v>
      </c>
      <c r="L18" s="29">
        <v>2014</v>
      </c>
      <c r="M18" s="29" t="s">
        <v>39</v>
      </c>
      <c r="N18" s="39">
        <v>99.3</v>
      </c>
      <c r="O18" s="40">
        <f t="shared" si="2"/>
        <v>99.133333333333326</v>
      </c>
    </row>
    <row r="19" spans="2:15" x14ac:dyDescent="0.25">
      <c r="C19" s="4" t="s">
        <v>3</v>
      </c>
      <c r="D19" s="35">
        <v>14.1</v>
      </c>
      <c r="E19" s="42"/>
      <c r="H19" s="101">
        <f t="shared" si="0"/>
        <v>14.1</v>
      </c>
      <c r="I19" s="33">
        <v>14.1</v>
      </c>
      <c r="J19" s="1">
        <f t="shared" si="1"/>
        <v>0</v>
      </c>
      <c r="L19" s="29">
        <v>2014</v>
      </c>
      <c r="M19" s="29" t="s">
        <v>40</v>
      </c>
      <c r="N19" s="39">
        <v>99</v>
      </c>
      <c r="O19" s="41">
        <f t="shared" si="2"/>
        <v>99.100000000000009</v>
      </c>
    </row>
    <row r="20" spans="2:15" x14ac:dyDescent="0.25">
      <c r="B20" s="5">
        <v>1978</v>
      </c>
      <c r="C20" s="4" t="s">
        <v>0</v>
      </c>
      <c r="D20" s="35">
        <v>13.6</v>
      </c>
      <c r="E20" s="14"/>
      <c r="F20" s="14"/>
      <c r="G20" s="15"/>
      <c r="H20" s="101">
        <f t="shared" si="0"/>
        <v>13.6</v>
      </c>
      <c r="I20" s="33">
        <v>13.6</v>
      </c>
      <c r="J20" s="1">
        <f t="shared" si="1"/>
        <v>0</v>
      </c>
      <c r="L20" s="29">
        <v>2015</v>
      </c>
      <c r="M20" s="29" t="s">
        <v>29</v>
      </c>
      <c r="N20" s="39">
        <v>99</v>
      </c>
      <c r="O20" s="40">
        <f t="shared" si="2"/>
        <v>99.100000000000009</v>
      </c>
    </row>
    <row r="21" spans="2:15" x14ac:dyDescent="0.25">
      <c r="B21" s="5"/>
      <c r="C21" s="4" t="s">
        <v>1</v>
      </c>
      <c r="D21" s="35">
        <v>15.2</v>
      </c>
      <c r="E21" s="14"/>
      <c r="F21" s="14"/>
      <c r="G21" s="15"/>
      <c r="H21" s="101">
        <f t="shared" si="0"/>
        <v>15.2</v>
      </c>
      <c r="I21" s="33">
        <v>15.2</v>
      </c>
      <c r="J21" s="1">
        <f t="shared" si="1"/>
        <v>0</v>
      </c>
      <c r="L21" s="29">
        <v>2015</v>
      </c>
      <c r="M21" s="29" t="s">
        <v>30</v>
      </c>
      <c r="N21" s="39">
        <v>99.6</v>
      </c>
      <c r="O21" s="40">
        <f t="shared" si="2"/>
        <v>99.2</v>
      </c>
    </row>
    <row r="22" spans="2:15" x14ac:dyDescent="0.25">
      <c r="B22" s="5"/>
      <c r="C22" s="4" t="s">
        <v>2</v>
      </c>
      <c r="D22" s="35">
        <v>16.3</v>
      </c>
      <c r="E22" s="14"/>
      <c r="F22" s="14"/>
      <c r="G22" s="15"/>
      <c r="H22" s="101">
        <f t="shared" si="0"/>
        <v>16.3</v>
      </c>
      <c r="I22" s="33">
        <v>16.3</v>
      </c>
      <c r="J22" s="1">
        <f t="shared" si="1"/>
        <v>0</v>
      </c>
      <c r="L22" s="29">
        <v>2015</v>
      </c>
      <c r="M22" s="29" t="s">
        <v>31</v>
      </c>
      <c r="N22" s="39">
        <v>101</v>
      </c>
      <c r="O22" s="40">
        <f t="shared" si="2"/>
        <v>99.866666666666674</v>
      </c>
    </row>
    <row r="23" spans="2:15" x14ac:dyDescent="0.25">
      <c r="B23" s="5"/>
      <c r="C23" s="4" t="s">
        <v>3</v>
      </c>
      <c r="D23" s="35">
        <v>16.600000000000001</v>
      </c>
      <c r="E23" s="14"/>
      <c r="F23" s="14"/>
      <c r="G23" s="15"/>
      <c r="H23" s="101">
        <f t="shared" si="0"/>
        <v>16.600000000000001</v>
      </c>
      <c r="I23" s="33">
        <v>16.600000000000001</v>
      </c>
      <c r="J23" s="1">
        <f t="shared" si="1"/>
        <v>0</v>
      </c>
      <c r="L23" s="29">
        <v>2015</v>
      </c>
      <c r="M23" s="29" t="s">
        <v>32</v>
      </c>
      <c r="N23" s="39">
        <v>100</v>
      </c>
      <c r="O23" s="40">
        <f t="shared" si="2"/>
        <v>100.2</v>
      </c>
    </row>
    <row r="24" spans="2:15" x14ac:dyDescent="0.25">
      <c r="B24" s="5">
        <v>1979</v>
      </c>
      <c r="C24" s="4" t="s">
        <v>0</v>
      </c>
      <c r="D24" s="35">
        <v>16.2</v>
      </c>
      <c r="E24" s="14"/>
      <c r="F24" s="14"/>
      <c r="G24" s="15"/>
      <c r="H24" s="101">
        <f t="shared" si="0"/>
        <v>16.2</v>
      </c>
      <c r="I24" s="33">
        <v>16.2</v>
      </c>
      <c r="J24" s="1">
        <f t="shared" si="1"/>
        <v>0</v>
      </c>
      <c r="L24" s="29">
        <v>2015</v>
      </c>
      <c r="M24" s="29" t="s">
        <v>33</v>
      </c>
      <c r="N24" s="39">
        <v>99.9</v>
      </c>
      <c r="O24" s="40">
        <f t="shared" si="2"/>
        <v>100.3</v>
      </c>
    </row>
    <row r="25" spans="2:15" x14ac:dyDescent="0.25">
      <c r="B25" s="5"/>
      <c r="C25" s="4" t="s">
        <v>1</v>
      </c>
      <c r="D25" s="35">
        <v>18.2</v>
      </c>
      <c r="E25" s="14"/>
      <c r="F25" s="14"/>
      <c r="G25" s="15"/>
      <c r="H25" s="101">
        <f t="shared" si="0"/>
        <v>18.2</v>
      </c>
      <c r="I25" s="33">
        <v>18.2</v>
      </c>
      <c r="J25" s="1">
        <f t="shared" si="1"/>
        <v>0</v>
      </c>
      <c r="L25" s="29">
        <v>2015</v>
      </c>
      <c r="M25" s="29" t="s">
        <v>34</v>
      </c>
      <c r="N25" s="39">
        <v>100.3</v>
      </c>
      <c r="O25" s="40">
        <f t="shared" si="2"/>
        <v>100.06666666666666</v>
      </c>
    </row>
    <row r="26" spans="2:15" x14ac:dyDescent="0.25">
      <c r="B26" s="5"/>
      <c r="C26" s="4" t="s">
        <v>2</v>
      </c>
      <c r="D26" s="35">
        <v>20.100000000000001</v>
      </c>
      <c r="E26" s="14"/>
      <c r="F26" s="14"/>
      <c r="G26" s="15"/>
      <c r="H26" s="101">
        <f t="shared" si="0"/>
        <v>20.100000000000001</v>
      </c>
      <c r="I26" s="33">
        <v>20.100000000000001</v>
      </c>
      <c r="J26" s="1">
        <f t="shared" si="1"/>
        <v>0</v>
      </c>
      <c r="L26" s="29">
        <v>2015</v>
      </c>
      <c r="M26" s="29" t="s">
        <v>35</v>
      </c>
      <c r="N26" s="39">
        <v>100.4</v>
      </c>
      <c r="O26" s="40">
        <f t="shared" si="2"/>
        <v>100.2</v>
      </c>
    </row>
    <row r="27" spans="2:15" x14ac:dyDescent="0.25">
      <c r="B27" s="5"/>
      <c r="C27" s="4" t="s">
        <v>3</v>
      </c>
      <c r="D27" s="35">
        <v>20.6</v>
      </c>
      <c r="E27" s="14"/>
      <c r="F27" s="14"/>
      <c r="G27" s="15"/>
      <c r="H27" s="101">
        <f t="shared" si="0"/>
        <v>20.6</v>
      </c>
      <c r="I27" s="33">
        <v>20.6</v>
      </c>
      <c r="J27" s="1">
        <f t="shared" si="1"/>
        <v>0</v>
      </c>
      <c r="L27" s="29">
        <v>2015</v>
      </c>
      <c r="M27" s="29" t="s">
        <v>36</v>
      </c>
      <c r="N27" s="39">
        <v>99.7</v>
      </c>
      <c r="O27" s="40">
        <f t="shared" si="2"/>
        <v>100.13333333333333</v>
      </c>
    </row>
    <row r="28" spans="2:15" x14ac:dyDescent="0.25">
      <c r="B28" s="5">
        <v>1980</v>
      </c>
      <c r="C28" s="4" t="s">
        <v>0</v>
      </c>
      <c r="D28" s="35">
        <v>20.100000000000001</v>
      </c>
      <c r="E28" s="14"/>
      <c r="F28" s="14"/>
      <c r="G28" s="15"/>
      <c r="H28" s="101">
        <f t="shared" si="0"/>
        <v>20.100000000000001</v>
      </c>
      <c r="I28" s="33">
        <v>20.100000000000001</v>
      </c>
      <c r="J28" s="1">
        <f t="shared" si="1"/>
        <v>0</v>
      </c>
      <c r="L28" s="29">
        <v>2015</v>
      </c>
      <c r="M28" s="29" t="s">
        <v>37</v>
      </c>
      <c r="N28" s="39">
        <v>99.6</v>
      </c>
      <c r="O28" s="40">
        <f t="shared" si="2"/>
        <v>99.90000000000002</v>
      </c>
    </row>
    <row r="29" spans="2:15" x14ac:dyDescent="0.25">
      <c r="B29" s="5"/>
      <c r="C29" s="4" t="s">
        <v>1</v>
      </c>
      <c r="D29" s="35">
        <v>23</v>
      </c>
      <c r="E29" s="14"/>
      <c r="F29" s="14"/>
      <c r="G29" s="15"/>
      <c r="H29" s="101">
        <f t="shared" si="0"/>
        <v>23</v>
      </c>
      <c r="I29" s="33">
        <v>23</v>
      </c>
      <c r="J29" s="1">
        <f t="shared" si="1"/>
        <v>0</v>
      </c>
      <c r="L29" s="29">
        <v>2015</v>
      </c>
      <c r="M29" s="29" t="s">
        <v>38</v>
      </c>
      <c r="N29" s="39">
        <v>100.1</v>
      </c>
      <c r="O29" s="40">
        <f t="shared" si="2"/>
        <v>99.8</v>
      </c>
    </row>
    <row r="30" spans="2:15" x14ac:dyDescent="0.25">
      <c r="B30" s="5"/>
      <c r="C30" s="4" t="s">
        <v>2</v>
      </c>
      <c r="D30" s="35">
        <v>24.5</v>
      </c>
      <c r="E30" s="14"/>
      <c r="F30" s="14"/>
      <c r="G30" s="15"/>
      <c r="H30" s="101">
        <f t="shared" si="0"/>
        <v>24.5</v>
      </c>
      <c r="I30" s="33">
        <v>24.5</v>
      </c>
      <c r="J30" s="1">
        <f t="shared" si="1"/>
        <v>0</v>
      </c>
      <c r="L30" s="29">
        <v>2015</v>
      </c>
      <c r="M30" s="29" t="s">
        <v>39</v>
      </c>
      <c r="N30" s="39">
        <v>100.7</v>
      </c>
      <c r="O30" s="40">
        <f t="shared" si="2"/>
        <v>100.13333333333333</v>
      </c>
    </row>
    <row r="31" spans="2:15" x14ac:dyDescent="0.25">
      <c r="B31" s="5"/>
      <c r="C31" s="4" t="s">
        <v>3</v>
      </c>
      <c r="D31" s="35">
        <v>24.5</v>
      </c>
      <c r="E31" s="14"/>
      <c r="F31" s="14"/>
      <c r="G31" s="15"/>
      <c r="H31" s="101">
        <f t="shared" si="0"/>
        <v>24.5</v>
      </c>
      <c r="I31" s="33">
        <v>24.5</v>
      </c>
      <c r="J31" s="1">
        <f t="shared" si="1"/>
        <v>0</v>
      </c>
      <c r="L31" s="29">
        <v>2015</v>
      </c>
      <c r="M31" s="29" t="s">
        <v>40</v>
      </c>
      <c r="N31" s="39">
        <v>99.8</v>
      </c>
      <c r="O31" s="40">
        <f t="shared" si="2"/>
        <v>100.2</v>
      </c>
    </row>
    <row r="32" spans="2:15" x14ac:dyDescent="0.25">
      <c r="B32" s="5">
        <v>1981</v>
      </c>
      <c r="C32" s="4" t="s">
        <v>0</v>
      </c>
      <c r="D32" s="35">
        <v>23.1</v>
      </c>
      <c r="E32" s="14"/>
      <c r="F32" s="14"/>
      <c r="G32" s="15"/>
      <c r="H32" s="101">
        <f t="shared" si="0"/>
        <v>23.1</v>
      </c>
      <c r="I32" s="33">
        <v>23.1</v>
      </c>
      <c r="J32" s="1">
        <f t="shared" si="1"/>
        <v>0</v>
      </c>
      <c r="L32" s="29">
        <v>2016</v>
      </c>
      <c r="M32" s="29" t="s">
        <v>29</v>
      </c>
      <c r="N32" s="39">
        <v>101.4</v>
      </c>
      <c r="O32" s="40">
        <f t="shared" si="2"/>
        <v>100.63333333333333</v>
      </c>
    </row>
    <row r="33" spans="2:15" x14ac:dyDescent="0.25">
      <c r="B33" s="5"/>
      <c r="C33" s="4" t="s">
        <v>1</v>
      </c>
      <c r="D33" s="35">
        <v>25.3</v>
      </c>
      <c r="E33" s="14"/>
      <c r="F33" s="14"/>
      <c r="G33" s="15"/>
      <c r="H33" s="101">
        <f t="shared" si="0"/>
        <v>25.3</v>
      </c>
      <c r="I33" s="33">
        <v>25.3</v>
      </c>
      <c r="J33" s="1">
        <f t="shared" si="1"/>
        <v>0</v>
      </c>
      <c r="L33" s="29">
        <v>2016</v>
      </c>
      <c r="M33" s="29" t="s">
        <v>30</v>
      </c>
      <c r="N33" s="39">
        <v>101.6</v>
      </c>
      <c r="O33" s="40">
        <f t="shared" si="2"/>
        <v>100.93333333333332</v>
      </c>
    </row>
    <row r="34" spans="2:15" x14ac:dyDescent="0.25">
      <c r="B34" s="5"/>
      <c r="C34" s="4" t="s">
        <v>2</v>
      </c>
      <c r="D34" s="35">
        <v>25.5</v>
      </c>
      <c r="E34" s="14"/>
      <c r="F34" s="14"/>
      <c r="G34" s="15"/>
      <c r="H34" s="101">
        <f t="shared" si="0"/>
        <v>25.5</v>
      </c>
      <c r="I34" s="33">
        <v>25.5</v>
      </c>
      <c r="J34" s="1">
        <f t="shared" si="1"/>
        <v>0</v>
      </c>
      <c r="L34" s="29">
        <v>2016</v>
      </c>
      <c r="M34" s="29" t="s">
        <v>31</v>
      </c>
      <c r="N34" s="39">
        <v>102.2</v>
      </c>
      <c r="O34" s="40">
        <f t="shared" si="2"/>
        <v>101.73333333333333</v>
      </c>
    </row>
    <row r="35" spans="2:15" x14ac:dyDescent="0.25">
      <c r="B35" s="5"/>
      <c r="C35" s="4" t="s">
        <v>3</v>
      </c>
      <c r="D35" s="35">
        <v>24.5</v>
      </c>
      <c r="E35" s="14"/>
      <c r="F35" s="14"/>
      <c r="G35" s="15"/>
      <c r="H35" s="101">
        <f t="shared" si="0"/>
        <v>24.5</v>
      </c>
      <c r="I35" s="33">
        <v>24.5</v>
      </c>
      <c r="J35" s="1">
        <f t="shared" si="1"/>
        <v>0</v>
      </c>
      <c r="L35" s="29">
        <v>2016</v>
      </c>
      <c r="M35" s="29" t="s">
        <v>32</v>
      </c>
      <c r="N35" s="39">
        <v>102.5</v>
      </c>
      <c r="O35" s="40">
        <f t="shared" si="2"/>
        <v>102.10000000000001</v>
      </c>
    </row>
    <row r="36" spans="2:15" x14ac:dyDescent="0.25">
      <c r="B36" s="5">
        <v>1982</v>
      </c>
      <c r="C36" s="4" t="s">
        <v>0</v>
      </c>
      <c r="D36" s="35">
        <v>23.2</v>
      </c>
      <c r="E36" s="14"/>
      <c r="F36" s="14"/>
      <c r="G36" s="15"/>
      <c r="H36" s="101">
        <f t="shared" si="0"/>
        <v>23.2</v>
      </c>
      <c r="I36" s="33">
        <v>23.2</v>
      </c>
      <c r="J36" s="1">
        <f t="shared" si="1"/>
        <v>0</v>
      </c>
      <c r="L36" s="29">
        <v>2016</v>
      </c>
      <c r="M36" s="29" t="s">
        <v>33</v>
      </c>
      <c r="N36" s="39">
        <v>102.3</v>
      </c>
      <c r="O36" s="40">
        <f t="shared" si="2"/>
        <v>102.33333333333333</v>
      </c>
    </row>
    <row r="37" spans="2:15" x14ac:dyDescent="0.25">
      <c r="B37" s="5"/>
      <c r="C37" s="4" t="s">
        <v>1</v>
      </c>
      <c r="D37" s="35">
        <v>25.2</v>
      </c>
      <c r="E37" s="14"/>
      <c r="F37" s="14"/>
      <c r="G37" s="15"/>
      <c r="H37" s="101">
        <f t="shared" si="0"/>
        <v>25.2</v>
      </c>
      <c r="I37" s="33">
        <v>25.2</v>
      </c>
      <c r="J37" s="1">
        <f t="shared" si="1"/>
        <v>0</v>
      </c>
      <c r="L37" s="29">
        <v>2016</v>
      </c>
      <c r="M37" s="29" t="s">
        <v>34</v>
      </c>
      <c r="N37" s="39">
        <v>102.4</v>
      </c>
      <c r="O37" s="40">
        <f t="shared" si="2"/>
        <v>102.40000000000002</v>
      </c>
    </row>
    <row r="38" spans="2:15" x14ac:dyDescent="0.25">
      <c r="B38" s="5"/>
      <c r="C38" s="4" t="s">
        <v>2</v>
      </c>
      <c r="D38" s="35">
        <v>25.3</v>
      </c>
      <c r="E38" s="14"/>
      <c r="F38" s="14"/>
      <c r="G38" s="15"/>
      <c r="H38" s="101">
        <f t="shared" si="0"/>
        <v>25.3</v>
      </c>
      <c r="I38" s="33">
        <v>25.3</v>
      </c>
      <c r="J38" s="1">
        <f t="shared" si="1"/>
        <v>0</v>
      </c>
      <c r="L38" s="29">
        <v>2016</v>
      </c>
      <c r="M38" s="29" t="s">
        <v>35</v>
      </c>
      <c r="N38" s="39">
        <v>103.2</v>
      </c>
      <c r="O38" s="40">
        <f t="shared" si="2"/>
        <v>102.63333333333333</v>
      </c>
    </row>
    <row r="39" spans="2:15" x14ac:dyDescent="0.25">
      <c r="B39" s="5"/>
      <c r="C39" s="4" t="s">
        <v>3</v>
      </c>
      <c r="D39" s="35">
        <v>24.8</v>
      </c>
      <c r="E39" s="14"/>
      <c r="F39" s="14"/>
      <c r="G39" s="15"/>
      <c r="H39" s="101">
        <f t="shared" si="0"/>
        <v>24.8</v>
      </c>
      <c r="I39" s="33">
        <v>24.8</v>
      </c>
      <c r="J39" s="1">
        <f t="shared" si="1"/>
        <v>0</v>
      </c>
      <c r="L39" s="29">
        <v>2016</v>
      </c>
      <c r="M39" s="29" t="s">
        <v>36</v>
      </c>
      <c r="N39" s="39">
        <v>103.2</v>
      </c>
      <c r="O39" s="40">
        <f t="shared" si="2"/>
        <v>102.93333333333334</v>
      </c>
    </row>
    <row r="40" spans="2:15" x14ac:dyDescent="0.25">
      <c r="B40" s="5">
        <v>1983</v>
      </c>
      <c r="C40" s="4" t="s">
        <v>0</v>
      </c>
      <c r="D40" s="35">
        <v>25.6</v>
      </c>
      <c r="E40" s="14"/>
      <c r="F40" s="14"/>
      <c r="G40" s="15"/>
      <c r="H40" s="101">
        <f t="shared" si="0"/>
        <v>25.6</v>
      </c>
      <c r="I40" s="33">
        <v>25.6</v>
      </c>
      <c r="J40" s="1">
        <f t="shared" si="1"/>
        <v>0</v>
      </c>
      <c r="L40" s="29">
        <v>2016</v>
      </c>
      <c r="M40" s="29" t="s">
        <v>37</v>
      </c>
      <c r="N40" s="39">
        <v>103.5</v>
      </c>
      <c r="O40" s="40">
        <f t="shared" si="2"/>
        <v>103.3</v>
      </c>
    </row>
    <row r="41" spans="2:15" x14ac:dyDescent="0.25">
      <c r="B41" s="5"/>
      <c r="C41" s="4" t="s">
        <v>1</v>
      </c>
      <c r="D41" s="35">
        <v>26.2</v>
      </c>
      <c r="E41" s="14"/>
      <c r="F41" s="14"/>
      <c r="G41" s="15"/>
      <c r="H41" s="101">
        <f t="shared" si="0"/>
        <v>26.2</v>
      </c>
      <c r="I41" s="33">
        <v>26.2</v>
      </c>
      <c r="J41" s="1">
        <f t="shared" si="1"/>
        <v>0</v>
      </c>
      <c r="L41" s="29">
        <v>2016</v>
      </c>
      <c r="M41" s="29" t="s">
        <v>38</v>
      </c>
      <c r="N41" s="39">
        <v>104.1</v>
      </c>
      <c r="O41" s="40">
        <f t="shared" si="2"/>
        <v>103.59999999999998</v>
      </c>
    </row>
    <row r="42" spans="2:15" x14ac:dyDescent="0.25">
      <c r="B42" s="5"/>
      <c r="C42" s="4" t="s">
        <v>2</v>
      </c>
      <c r="D42" s="35">
        <v>26.9</v>
      </c>
      <c r="E42" s="14"/>
      <c r="F42" s="14"/>
      <c r="G42" s="15"/>
      <c r="H42" s="101">
        <f t="shared" si="0"/>
        <v>26.9</v>
      </c>
      <c r="I42" s="33">
        <v>26.9</v>
      </c>
      <c r="J42" s="1">
        <f t="shared" si="1"/>
        <v>0</v>
      </c>
      <c r="L42" s="29">
        <v>2016</v>
      </c>
      <c r="M42" s="29" t="s">
        <v>39</v>
      </c>
      <c r="N42" s="39">
        <v>104.8</v>
      </c>
      <c r="O42" s="40">
        <f t="shared" si="2"/>
        <v>104.13333333333333</v>
      </c>
    </row>
    <row r="43" spans="2:15" x14ac:dyDescent="0.25">
      <c r="B43" s="5"/>
      <c r="C43" s="4" t="s">
        <v>3</v>
      </c>
      <c r="D43" s="35">
        <v>27.3</v>
      </c>
      <c r="E43" s="14"/>
      <c r="F43" s="14"/>
      <c r="G43" s="15"/>
      <c r="H43" s="101">
        <f t="shared" si="0"/>
        <v>27.3</v>
      </c>
      <c r="I43" s="33">
        <v>27.3</v>
      </c>
      <c r="J43" s="1">
        <f t="shared" si="1"/>
        <v>0</v>
      </c>
      <c r="L43" s="29">
        <v>2016</v>
      </c>
      <c r="M43" s="29" t="s">
        <v>40</v>
      </c>
      <c r="N43" s="39">
        <v>104.8</v>
      </c>
      <c r="O43" s="40">
        <f t="shared" si="2"/>
        <v>104.56666666666666</v>
      </c>
    </row>
    <row r="44" spans="2:15" x14ac:dyDescent="0.25">
      <c r="B44" s="5">
        <v>1984</v>
      </c>
      <c r="C44" s="4" t="s">
        <v>0</v>
      </c>
      <c r="D44" s="35">
        <v>27.8</v>
      </c>
      <c r="E44" s="14"/>
      <c r="F44" s="14"/>
      <c r="G44" s="15"/>
      <c r="H44" s="101">
        <f t="shared" si="0"/>
        <v>27.8</v>
      </c>
      <c r="I44" s="33">
        <v>27.8</v>
      </c>
      <c r="J44" s="1">
        <f t="shared" si="1"/>
        <v>0</v>
      </c>
      <c r="L44" s="29">
        <v>2017</v>
      </c>
      <c r="M44" s="29" t="s">
        <v>29</v>
      </c>
      <c r="N44" s="39">
        <v>105.6</v>
      </c>
      <c r="O44" s="40">
        <f t="shared" si="2"/>
        <v>105.06666666666666</v>
      </c>
    </row>
    <row r="45" spans="2:15" x14ac:dyDescent="0.25">
      <c r="B45" s="5"/>
      <c r="C45" s="4" t="s">
        <v>1</v>
      </c>
      <c r="D45" s="35">
        <v>28.3</v>
      </c>
      <c r="E45" s="14"/>
      <c r="F45" s="14"/>
      <c r="G45" s="15"/>
      <c r="H45" s="101">
        <f t="shared" si="0"/>
        <v>28.3</v>
      </c>
      <c r="I45" s="33">
        <v>28.3</v>
      </c>
      <c r="J45" s="1">
        <f t="shared" si="1"/>
        <v>0</v>
      </c>
      <c r="L45" s="29">
        <v>2017</v>
      </c>
      <c r="M45" s="29" t="s">
        <v>30</v>
      </c>
      <c r="N45" s="39">
        <v>105.8</v>
      </c>
      <c r="O45" s="40">
        <f t="shared" si="2"/>
        <v>105.39999999999999</v>
      </c>
    </row>
    <row r="46" spans="2:15" x14ac:dyDescent="0.25">
      <c r="B46" s="5"/>
      <c r="C46" s="4" t="s">
        <v>2</v>
      </c>
      <c r="D46" s="35">
        <v>28.8</v>
      </c>
      <c r="E46" s="14"/>
      <c r="F46" s="14"/>
      <c r="G46" s="15"/>
      <c r="H46" s="101">
        <f t="shared" si="0"/>
        <v>28.8</v>
      </c>
      <c r="I46" s="33">
        <v>28.8</v>
      </c>
      <c r="J46" s="1">
        <f t="shared" si="1"/>
        <v>0</v>
      </c>
      <c r="L46" s="29">
        <v>2017</v>
      </c>
      <c r="M46" s="29" t="s">
        <v>31</v>
      </c>
      <c r="N46" s="39">
        <v>106.1</v>
      </c>
      <c r="O46" s="40">
        <f t="shared" si="2"/>
        <v>105.83333333333333</v>
      </c>
    </row>
    <row r="47" spans="2:15" x14ac:dyDescent="0.25">
      <c r="B47" s="5"/>
      <c r="C47" s="4" t="s">
        <v>3</v>
      </c>
      <c r="D47" s="35">
        <v>29.1</v>
      </c>
      <c r="E47" s="14"/>
      <c r="F47" s="14"/>
      <c r="G47" s="15"/>
      <c r="H47" s="101">
        <f t="shared" si="0"/>
        <v>29.1</v>
      </c>
      <c r="I47" s="33">
        <v>29.1</v>
      </c>
      <c r="J47" s="1">
        <f t="shared" si="1"/>
        <v>0</v>
      </c>
      <c r="L47" s="29">
        <v>2017</v>
      </c>
      <c r="M47" s="29" t="s">
        <v>32</v>
      </c>
      <c r="N47" s="39">
        <v>106.1</v>
      </c>
      <c r="O47" s="40">
        <f t="shared" si="2"/>
        <v>106</v>
      </c>
    </row>
    <row r="48" spans="2:15" x14ac:dyDescent="0.25">
      <c r="B48" s="5">
        <v>1985</v>
      </c>
      <c r="C48" s="4" t="s">
        <v>0</v>
      </c>
      <c r="D48" s="35">
        <v>29.5</v>
      </c>
      <c r="E48" s="14"/>
      <c r="F48" s="14"/>
      <c r="G48" s="15"/>
      <c r="H48" s="101">
        <f t="shared" si="0"/>
        <v>29.5</v>
      </c>
      <c r="I48" s="33">
        <v>29.5</v>
      </c>
      <c r="J48" s="1">
        <f t="shared" si="1"/>
        <v>0</v>
      </c>
      <c r="L48" s="29">
        <v>2017</v>
      </c>
      <c r="M48" s="29" t="s">
        <v>33</v>
      </c>
      <c r="N48" s="39">
        <v>106.2</v>
      </c>
      <c r="O48" s="40">
        <f t="shared" si="2"/>
        <v>106.13333333333333</v>
      </c>
    </row>
    <row r="49" spans="2:15" x14ac:dyDescent="0.25">
      <c r="B49" s="5"/>
      <c r="C49" s="4" t="s">
        <v>1</v>
      </c>
      <c r="D49" s="35">
        <v>29.9</v>
      </c>
      <c r="E49" s="14"/>
      <c r="F49" s="14"/>
      <c r="G49" s="15"/>
      <c r="H49" s="101">
        <f t="shared" si="0"/>
        <v>29.9</v>
      </c>
      <c r="I49" s="33">
        <v>29.9</v>
      </c>
      <c r="J49" s="1">
        <f t="shared" si="1"/>
        <v>0</v>
      </c>
      <c r="L49" s="29">
        <v>2017</v>
      </c>
      <c r="M49" s="29" t="s">
        <v>34</v>
      </c>
      <c r="N49" s="39">
        <v>106.7</v>
      </c>
      <c r="O49" s="40">
        <f t="shared" si="2"/>
        <v>106.33333333333333</v>
      </c>
    </row>
    <row r="50" spans="2:15" x14ac:dyDescent="0.25">
      <c r="B50" s="5"/>
      <c r="C50" s="4" t="s">
        <v>2</v>
      </c>
      <c r="D50" s="35">
        <v>30.4</v>
      </c>
      <c r="E50" s="14"/>
      <c r="F50" s="14"/>
      <c r="G50" s="15"/>
      <c r="H50" s="101">
        <f t="shared" si="0"/>
        <v>30.4</v>
      </c>
      <c r="I50" s="33">
        <v>30.4</v>
      </c>
      <c r="J50" s="1">
        <f t="shared" si="1"/>
        <v>0</v>
      </c>
      <c r="L50" s="29">
        <v>2017</v>
      </c>
      <c r="M50" s="29" t="s">
        <v>35</v>
      </c>
      <c r="N50" s="39">
        <v>107.3</v>
      </c>
      <c r="O50" s="40">
        <f t="shared" si="2"/>
        <v>106.73333333333333</v>
      </c>
    </row>
    <row r="51" spans="2:15" x14ac:dyDescent="0.25">
      <c r="B51" s="5"/>
      <c r="C51" s="4" t="s">
        <v>3</v>
      </c>
      <c r="D51" s="35">
        <v>31</v>
      </c>
      <c r="E51" s="14"/>
      <c r="F51" s="14"/>
      <c r="G51" s="15"/>
      <c r="H51" s="101">
        <f t="shared" si="0"/>
        <v>31</v>
      </c>
      <c r="I51" s="33">
        <v>31</v>
      </c>
      <c r="J51" s="1">
        <f t="shared" si="1"/>
        <v>0</v>
      </c>
      <c r="L51" s="29">
        <v>2017</v>
      </c>
      <c r="M51" s="29" t="s">
        <v>36</v>
      </c>
      <c r="N51" s="39">
        <v>107.6</v>
      </c>
      <c r="O51" s="40">
        <f t="shared" si="2"/>
        <v>107.2</v>
      </c>
    </row>
    <row r="52" spans="2:15" x14ac:dyDescent="0.25">
      <c r="B52" s="5">
        <v>1986</v>
      </c>
      <c r="C52" s="4" t="s">
        <v>0</v>
      </c>
      <c r="D52" s="35">
        <v>31.9</v>
      </c>
      <c r="E52" s="14"/>
      <c r="F52" s="14"/>
      <c r="G52" s="15"/>
      <c r="H52" s="101">
        <f t="shared" si="0"/>
        <v>31.9</v>
      </c>
      <c r="I52" s="33">
        <v>31.9</v>
      </c>
      <c r="J52" s="1">
        <f t="shared" si="1"/>
        <v>0</v>
      </c>
      <c r="L52" s="29">
        <v>2017</v>
      </c>
      <c r="M52" s="29" t="s">
        <v>37</v>
      </c>
      <c r="N52" s="39">
        <v>108.6</v>
      </c>
      <c r="O52" s="40">
        <f t="shared" si="2"/>
        <v>107.83333333333333</v>
      </c>
    </row>
    <row r="53" spans="2:15" x14ac:dyDescent="0.25">
      <c r="B53" s="5"/>
      <c r="C53" s="4" t="s">
        <v>1</v>
      </c>
      <c r="D53" s="35">
        <v>32.4</v>
      </c>
      <c r="E53" s="14"/>
      <c r="F53" s="14"/>
      <c r="G53" s="15"/>
      <c r="H53" s="101">
        <f t="shared" si="0"/>
        <v>32.4</v>
      </c>
      <c r="I53" s="33">
        <v>32.4</v>
      </c>
      <c r="J53" s="1">
        <f t="shared" si="1"/>
        <v>0</v>
      </c>
      <c r="L53" s="29">
        <v>2017</v>
      </c>
      <c r="M53" s="29" t="s">
        <v>38</v>
      </c>
      <c r="N53" s="39">
        <v>108.4</v>
      </c>
      <c r="O53" s="40">
        <f t="shared" si="2"/>
        <v>108.2</v>
      </c>
    </row>
    <row r="54" spans="2:15" x14ac:dyDescent="0.25">
      <c r="B54" s="5"/>
      <c r="C54" s="4" t="s">
        <v>2</v>
      </c>
      <c r="D54" s="35">
        <v>33.200000000000003</v>
      </c>
      <c r="E54" s="14"/>
      <c r="F54" s="14"/>
      <c r="G54" s="15"/>
      <c r="H54" s="101">
        <f t="shared" si="0"/>
        <v>33.200000000000003</v>
      </c>
      <c r="I54" s="33">
        <v>33.200000000000003</v>
      </c>
      <c r="J54" s="1">
        <f t="shared" si="1"/>
        <v>0</v>
      </c>
      <c r="L54" s="29">
        <v>2017</v>
      </c>
      <c r="M54" s="29" t="s">
        <v>39</v>
      </c>
      <c r="N54" s="39">
        <v>108.9</v>
      </c>
      <c r="O54" s="40">
        <f t="shared" si="2"/>
        <v>108.63333333333333</v>
      </c>
    </row>
    <row r="55" spans="2:15" x14ac:dyDescent="0.25">
      <c r="B55" s="5"/>
      <c r="C55" s="4" t="s">
        <v>3</v>
      </c>
      <c r="D55" s="35">
        <v>33.700000000000003</v>
      </c>
      <c r="E55" s="14"/>
      <c r="F55" s="14"/>
      <c r="G55" s="15"/>
      <c r="H55" s="101">
        <f t="shared" si="0"/>
        <v>33.700000000000003</v>
      </c>
      <c r="I55" s="33">
        <v>33.700000000000003</v>
      </c>
      <c r="J55" s="1">
        <f t="shared" si="1"/>
        <v>0</v>
      </c>
      <c r="L55" s="29">
        <v>2017</v>
      </c>
      <c r="M55" s="29" t="s">
        <v>40</v>
      </c>
      <c r="N55" s="39">
        <v>109</v>
      </c>
      <c r="O55" s="40">
        <f t="shared" si="2"/>
        <v>108.76666666666667</v>
      </c>
    </row>
    <row r="56" spans="2:15" x14ac:dyDescent="0.25">
      <c r="B56" s="5">
        <v>1987</v>
      </c>
      <c r="C56" s="4" t="s">
        <v>0</v>
      </c>
      <c r="D56" s="35">
        <v>34.6</v>
      </c>
      <c r="E56" s="14"/>
      <c r="F56" s="14"/>
      <c r="G56" s="15"/>
      <c r="H56" s="101">
        <f t="shared" si="0"/>
        <v>34.6</v>
      </c>
      <c r="I56" s="33">
        <v>34.6</v>
      </c>
      <c r="J56" s="1">
        <f t="shared" si="1"/>
        <v>0</v>
      </c>
      <c r="L56" s="29">
        <v>2018</v>
      </c>
      <c r="M56" s="29" t="s">
        <v>29</v>
      </c>
      <c r="N56" s="39">
        <v>110.1</v>
      </c>
      <c r="O56" s="40">
        <f t="shared" si="2"/>
        <v>109.33333333333333</v>
      </c>
    </row>
    <row r="57" spans="2:15" x14ac:dyDescent="0.25">
      <c r="B57" s="5"/>
      <c r="C57" s="4" t="s">
        <v>1</v>
      </c>
      <c r="D57" s="35">
        <v>35.4</v>
      </c>
      <c r="E57" s="14"/>
      <c r="F57" s="14"/>
      <c r="G57" s="15"/>
      <c r="H57" s="101">
        <f t="shared" si="0"/>
        <v>35.4</v>
      </c>
      <c r="I57" s="33">
        <v>35.4</v>
      </c>
      <c r="J57" s="1">
        <f t="shared" si="1"/>
        <v>0</v>
      </c>
      <c r="L57" s="29">
        <v>2018</v>
      </c>
      <c r="M57" s="29" t="s">
        <v>30</v>
      </c>
      <c r="N57" s="39">
        <v>109.8</v>
      </c>
      <c r="O57" s="40">
        <f t="shared" si="2"/>
        <v>109.63333333333333</v>
      </c>
    </row>
    <row r="58" spans="2:15" x14ac:dyDescent="0.25">
      <c r="B58" s="5"/>
      <c r="C58" s="4" t="s">
        <v>2</v>
      </c>
      <c r="D58" s="35">
        <v>36.4</v>
      </c>
      <c r="E58" s="14"/>
      <c r="F58" s="14"/>
      <c r="G58" s="15"/>
      <c r="H58" s="101">
        <f t="shared" si="0"/>
        <v>36.4</v>
      </c>
      <c r="I58" s="33">
        <v>36.4</v>
      </c>
      <c r="J58" s="1">
        <f t="shared" si="1"/>
        <v>0</v>
      </c>
      <c r="L58" s="29">
        <v>2018</v>
      </c>
      <c r="M58" s="29" t="s">
        <v>31</v>
      </c>
      <c r="N58" s="39">
        <v>110.6</v>
      </c>
      <c r="O58" s="40">
        <f t="shared" si="2"/>
        <v>110.16666666666667</v>
      </c>
    </row>
    <row r="59" spans="2:15" x14ac:dyDescent="0.25">
      <c r="B59" s="5"/>
      <c r="C59" s="4" t="s">
        <v>3</v>
      </c>
      <c r="D59" s="35">
        <v>37.5</v>
      </c>
      <c r="E59" s="14"/>
      <c r="F59" s="14"/>
      <c r="G59" s="15"/>
      <c r="H59" s="101">
        <f t="shared" si="0"/>
        <v>37.5</v>
      </c>
      <c r="I59" s="33">
        <v>37.5</v>
      </c>
      <c r="J59" s="1">
        <f t="shared" si="1"/>
        <v>0</v>
      </c>
      <c r="L59" s="29">
        <v>2018</v>
      </c>
      <c r="M59" s="29" t="s">
        <v>32</v>
      </c>
      <c r="N59" s="39">
        <v>110.9</v>
      </c>
      <c r="O59" s="40">
        <f t="shared" si="2"/>
        <v>110.43333333333332</v>
      </c>
    </row>
    <row r="60" spans="2:15" x14ac:dyDescent="0.25">
      <c r="B60" s="5">
        <v>1988</v>
      </c>
      <c r="C60" s="4" t="s">
        <v>0</v>
      </c>
      <c r="D60" s="35">
        <v>38.6</v>
      </c>
      <c r="E60" s="14"/>
      <c r="F60" s="14"/>
      <c r="G60" s="15"/>
      <c r="H60" s="101">
        <f t="shared" si="0"/>
        <v>38.6</v>
      </c>
      <c r="I60" s="33">
        <v>38.6</v>
      </c>
      <c r="J60" s="1">
        <f t="shared" si="1"/>
        <v>0</v>
      </c>
      <c r="L60" s="29">
        <v>2018</v>
      </c>
      <c r="M60" s="29" t="s">
        <v>33</v>
      </c>
      <c r="N60" s="39">
        <v>111.2</v>
      </c>
      <c r="O60" s="40">
        <f t="shared" si="2"/>
        <v>110.89999999999999</v>
      </c>
    </row>
    <row r="61" spans="2:15" x14ac:dyDescent="0.25">
      <c r="B61" s="5"/>
      <c r="C61" s="4" t="s">
        <v>1</v>
      </c>
      <c r="D61" s="35">
        <v>40.1</v>
      </c>
      <c r="E61" s="14"/>
      <c r="F61" s="14"/>
      <c r="G61" s="15"/>
      <c r="H61" s="101">
        <f t="shared" si="0"/>
        <v>40.1</v>
      </c>
      <c r="I61" s="33">
        <v>40.1</v>
      </c>
      <c r="J61" s="1">
        <f t="shared" si="1"/>
        <v>0</v>
      </c>
      <c r="L61" s="29">
        <v>2018</v>
      </c>
      <c r="M61" s="29" t="s">
        <v>34</v>
      </c>
      <c r="N61" s="39">
        <v>111.6</v>
      </c>
      <c r="O61" s="40">
        <f t="shared" si="2"/>
        <v>111.23333333333335</v>
      </c>
    </row>
    <row r="62" spans="2:15" x14ac:dyDescent="0.25">
      <c r="B62" s="5"/>
      <c r="C62" s="4" t="s">
        <v>2</v>
      </c>
      <c r="D62" s="35">
        <v>42.1</v>
      </c>
      <c r="E62" s="14"/>
      <c r="F62" s="14"/>
      <c r="G62" s="15"/>
      <c r="H62" s="101">
        <f t="shared" si="0"/>
        <v>42.1</v>
      </c>
      <c r="I62" s="33">
        <v>42.1</v>
      </c>
      <c r="J62" s="1">
        <f t="shared" si="1"/>
        <v>0</v>
      </c>
      <c r="L62" s="29">
        <v>2018</v>
      </c>
      <c r="M62" s="29" t="s">
        <v>35</v>
      </c>
      <c r="N62" s="39">
        <v>111.4</v>
      </c>
      <c r="O62" s="40">
        <f t="shared" si="2"/>
        <v>111.40000000000002</v>
      </c>
    </row>
    <row r="63" spans="2:15" x14ac:dyDescent="0.25">
      <c r="B63" s="5"/>
      <c r="C63" s="4" t="s">
        <v>3</v>
      </c>
      <c r="D63" s="35">
        <v>43.8</v>
      </c>
      <c r="E63" s="14"/>
      <c r="F63" s="14"/>
      <c r="G63" s="15"/>
      <c r="H63" s="101">
        <f t="shared" si="0"/>
        <v>43.8</v>
      </c>
      <c r="I63" s="33">
        <v>43.8</v>
      </c>
      <c r="J63" s="1">
        <f t="shared" si="1"/>
        <v>0</v>
      </c>
      <c r="L63" s="29">
        <v>2018</v>
      </c>
      <c r="M63" s="29" t="s">
        <v>36</v>
      </c>
      <c r="N63" s="39">
        <v>111.2</v>
      </c>
      <c r="O63" s="40">
        <f t="shared" si="2"/>
        <v>111.39999999999999</v>
      </c>
    </row>
    <row r="64" spans="2:15" x14ac:dyDescent="0.25">
      <c r="B64" s="5">
        <v>1989</v>
      </c>
      <c r="C64" s="4" t="s">
        <v>0</v>
      </c>
      <c r="D64" s="35">
        <v>45.5</v>
      </c>
      <c r="E64" s="14"/>
      <c r="F64" s="14"/>
      <c r="G64" s="15"/>
      <c r="H64" s="101">
        <f t="shared" si="0"/>
        <v>45.5</v>
      </c>
      <c r="I64" s="33">
        <v>45.5</v>
      </c>
      <c r="J64" s="1">
        <f t="shared" si="1"/>
        <v>0</v>
      </c>
      <c r="L64" s="29">
        <v>2018</v>
      </c>
      <c r="M64" s="29" t="s">
        <v>37</v>
      </c>
      <c r="N64" s="39">
        <v>111.2</v>
      </c>
      <c r="O64" s="40">
        <f t="shared" si="2"/>
        <v>111.26666666666667</v>
      </c>
    </row>
    <row r="65" spans="2:15" x14ac:dyDescent="0.25">
      <c r="B65" s="5"/>
      <c r="C65" s="4" t="s">
        <v>1</v>
      </c>
      <c r="D65" s="35">
        <v>47.1</v>
      </c>
      <c r="E65" s="14"/>
      <c r="F65" s="14"/>
      <c r="G65" s="15"/>
      <c r="H65" s="101">
        <f t="shared" si="0"/>
        <v>47.1</v>
      </c>
      <c r="I65" s="33">
        <v>47.1</v>
      </c>
      <c r="J65" s="1">
        <f t="shared" si="1"/>
        <v>0</v>
      </c>
      <c r="L65" s="29">
        <v>2018</v>
      </c>
      <c r="M65" s="29" t="s">
        <v>38</v>
      </c>
      <c r="N65" s="39">
        <v>111.4</v>
      </c>
      <c r="O65" s="40">
        <f t="shared" si="2"/>
        <v>111.26666666666667</v>
      </c>
    </row>
    <row r="66" spans="2:15" x14ac:dyDescent="0.25">
      <c r="B66" s="5"/>
      <c r="C66" s="4" t="s">
        <v>2</v>
      </c>
      <c r="D66" s="35">
        <v>48.4</v>
      </c>
      <c r="E66" s="14"/>
      <c r="F66" s="14"/>
      <c r="G66" s="15"/>
      <c r="H66" s="101">
        <f t="shared" si="0"/>
        <v>48.4</v>
      </c>
      <c r="I66" s="33">
        <v>48.4</v>
      </c>
      <c r="J66" s="1">
        <f t="shared" si="1"/>
        <v>0</v>
      </c>
      <c r="L66" s="29">
        <v>2018</v>
      </c>
      <c r="M66" s="29" t="s">
        <v>39</v>
      </c>
      <c r="N66" s="39">
        <v>112.5</v>
      </c>
      <c r="O66" s="40">
        <f t="shared" si="2"/>
        <v>111.7</v>
      </c>
    </row>
    <row r="67" spans="2:15" x14ac:dyDescent="0.25">
      <c r="B67" s="5"/>
      <c r="C67" s="4" t="s">
        <v>3</v>
      </c>
      <c r="D67" s="35">
        <v>49.7</v>
      </c>
      <c r="E67" s="14"/>
      <c r="F67" s="14"/>
      <c r="G67" s="15"/>
      <c r="H67" s="101">
        <f t="shared" si="0"/>
        <v>49.7</v>
      </c>
      <c r="I67" s="33">
        <v>49.7</v>
      </c>
      <c r="J67" s="1">
        <f t="shared" si="1"/>
        <v>0</v>
      </c>
      <c r="L67" s="29">
        <v>2018</v>
      </c>
      <c r="M67" s="29" t="s">
        <v>40</v>
      </c>
      <c r="N67" s="39">
        <v>112.5</v>
      </c>
      <c r="O67" s="40">
        <f t="shared" si="2"/>
        <v>112.13333333333333</v>
      </c>
    </row>
    <row r="68" spans="2:15" x14ac:dyDescent="0.25">
      <c r="B68" s="5">
        <v>1990</v>
      </c>
      <c r="C68" s="4" t="s">
        <v>0</v>
      </c>
      <c r="D68" s="35">
        <v>50.9</v>
      </c>
      <c r="E68" s="14"/>
      <c r="F68" s="14"/>
      <c r="G68" s="15"/>
      <c r="H68" s="101">
        <f t="shared" si="0"/>
        <v>50.9</v>
      </c>
      <c r="I68" s="33">
        <v>50.9</v>
      </c>
      <c r="J68" s="1">
        <f t="shared" si="1"/>
        <v>0</v>
      </c>
      <c r="L68" s="29">
        <v>2019</v>
      </c>
      <c r="M68" s="29" t="s">
        <v>29</v>
      </c>
      <c r="N68" s="39">
        <v>112.8</v>
      </c>
      <c r="O68" s="40">
        <f t="shared" si="2"/>
        <v>112.60000000000001</v>
      </c>
    </row>
    <row r="69" spans="2:15" x14ac:dyDescent="0.25">
      <c r="B69" s="5"/>
      <c r="C69" s="4" t="s">
        <v>1</v>
      </c>
      <c r="D69" s="35">
        <v>51.8</v>
      </c>
      <c r="E69" s="14"/>
      <c r="F69" s="14"/>
      <c r="G69" s="15"/>
      <c r="H69" s="101">
        <f t="shared" si="0"/>
        <v>51.8</v>
      </c>
      <c r="I69" s="33">
        <v>51.8</v>
      </c>
      <c r="J69" s="1">
        <f t="shared" si="1"/>
        <v>0</v>
      </c>
      <c r="L69" s="29">
        <v>2019</v>
      </c>
      <c r="M69" s="29" t="s">
        <v>30</v>
      </c>
      <c r="N69" s="39">
        <v>113.4</v>
      </c>
      <c r="O69" s="40">
        <f t="shared" si="2"/>
        <v>112.90000000000002</v>
      </c>
    </row>
    <row r="70" spans="2:15" x14ac:dyDescent="0.25">
      <c r="B70" s="5"/>
      <c r="C70" s="4" t="s">
        <v>2</v>
      </c>
      <c r="D70" s="35">
        <v>52.5</v>
      </c>
      <c r="E70" s="14"/>
      <c r="F70" s="14"/>
      <c r="G70" s="15"/>
      <c r="H70" s="101">
        <f t="shared" si="0"/>
        <v>52.5</v>
      </c>
      <c r="I70" s="33">
        <v>52.5</v>
      </c>
      <c r="J70" s="1">
        <f t="shared" si="1"/>
        <v>0</v>
      </c>
      <c r="L70" s="29">
        <v>2019</v>
      </c>
      <c r="M70" s="29" t="s">
        <v>31</v>
      </c>
      <c r="N70" s="39">
        <v>113.6</v>
      </c>
      <c r="O70" s="40">
        <f t="shared" si="2"/>
        <v>113.26666666666665</v>
      </c>
    </row>
    <row r="71" spans="2:15" x14ac:dyDescent="0.25">
      <c r="B71" s="5"/>
      <c r="C71" s="4" t="s">
        <v>3</v>
      </c>
      <c r="D71" s="35">
        <v>52.9</v>
      </c>
      <c r="E71" s="14"/>
      <c r="F71" s="14"/>
      <c r="G71" s="15"/>
      <c r="H71" s="101">
        <f t="shared" si="0"/>
        <v>52.9</v>
      </c>
      <c r="I71" s="33">
        <v>52.9</v>
      </c>
      <c r="J71" s="1">
        <f t="shared" si="1"/>
        <v>0</v>
      </c>
      <c r="L71" s="29">
        <v>2019</v>
      </c>
      <c r="M71" s="29" t="s">
        <v>32</v>
      </c>
      <c r="N71" s="39">
        <v>114.3</v>
      </c>
      <c r="O71" s="40">
        <f t="shared" si="2"/>
        <v>113.76666666666667</v>
      </c>
    </row>
    <row r="72" spans="2:15" x14ac:dyDescent="0.25">
      <c r="B72" s="5">
        <v>1991</v>
      </c>
      <c r="C72" s="4" t="s">
        <v>0</v>
      </c>
      <c r="D72" s="35">
        <v>53</v>
      </c>
      <c r="E72" s="14"/>
      <c r="F72" s="14"/>
      <c r="G72" s="15"/>
      <c r="H72" s="101">
        <f t="shared" si="0"/>
        <v>53</v>
      </c>
      <c r="I72" s="33">
        <v>53</v>
      </c>
      <c r="J72" s="1">
        <f t="shared" si="1"/>
        <v>0</v>
      </c>
      <c r="L72" s="29">
        <v>2019</v>
      </c>
      <c r="M72" s="29" t="s">
        <v>33</v>
      </c>
      <c r="N72" s="39">
        <v>115</v>
      </c>
      <c r="O72" s="40">
        <f t="shared" si="2"/>
        <v>114.3</v>
      </c>
    </row>
    <row r="73" spans="2:15" x14ac:dyDescent="0.25">
      <c r="B73" s="5"/>
      <c r="C73" s="4" t="s">
        <v>1</v>
      </c>
      <c r="D73" s="35">
        <v>52.5</v>
      </c>
      <c r="E73" s="14"/>
      <c r="F73" s="14"/>
      <c r="G73" s="15"/>
      <c r="H73" s="101">
        <f t="shared" ref="H73:H136" si="3">IF(D73&gt;0,D73,D$164*E73/100)</f>
        <v>52.5</v>
      </c>
      <c r="I73" s="33">
        <v>52.5</v>
      </c>
      <c r="J73" s="1">
        <f t="shared" ref="J73:J136" si="4">H73-I73</f>
        <v>0</v>
      </c>
      <c r="L73" s="29">
        <v>2019</v>
      </c>
      <c r="M73" s="29" t="s">
        <v>34</v>
      </c>
      <c r="N73" s="39">
        <v>115.3</v>
      </c>
      <c r="O73" s="40">
        <f t="shared" si="2"/>
        <v>114.86666666666667</v>
      </c>
    </row>
    <row r="74" spans="2:15" x14ac:dyDescent="0.25">
      <c r="B74" s="5"/>
      <c r="C74" s="4" t="s">
        <v>2</v>
      </c>
      <c r="D74" s="35">
        <v>52.4</v>
      </c>
      <c r="E74" s="14"/>
      <c r="F74" s="14"/>
      <c r="G74" s="15"/>
      <c r="H74" s="101">
        <f t="shared" si="3"/>
        <v>52.4</v>
      </c>
      <c r="I74" s="33">
        <v>52.4</v>
      </c>
      <c r="J74" s="1">
        <f t="shared" si="4"/>
        <v>0</v>
      </c>
      <c r="L74" s="29">
        <v>2019</v>
      </c>
      <c r="M74" s="29" t="s">
        <v>35</v>
      </c>
      <c r="N74" s="39">
        <v>115.5</v>
      </c>
      <c r="O74" s="40">
        <f t="shared" si="2"/>
        <v>115.26666666666667</v>
      </c>
    </row>
    <row r="75" spans="2:15" x14ac:dyDescent="0.25">
      <c r="B75" s="5"/>
      <c r="C75" s="4" t="s">
        <v>3</v>
      </c>
      <c r="D75" s="35">
        <v>52.1</v>
      </c>
      <c r="E75" s="14"/>
      <c r="F75" s="14"/>
      <c r="G75" s="15"/>
      <c r="H75" s="101">
        <f t="shared" si="3"/>
        <v>52.1</v>
      </c>
      <c r="I75" s="33">
        <v>52.1</v>
      </c>
      <c r="J75" s="1">
        <f t="shared" si="4"/>
        <v>0</v>
      </c>
      <c r="L75" s="29">
        <v>2019</v>
      </c>
      <c r="M75" s="29" t="s">
        <v>36</v>
      </c>
      <c r="N75" s="39">
        <v>115.3</v>
      </c>
      <c r="O75" s="40">
        <f t="shared" ref="O75:O109" si="5">AVERAGE(N73:N75)</f>
        <v>115.36666666666667</v>
      </c>
    </row>
    <row r="76" spans="2:15" x14ac:dyDescent="0.25">
      <c r="B76" s="5">
        <v>1992</v>
      </c>
      <c r="C76" s="4" t="s">
        <v>0</v>
      </c>
      <c r="D76" s="35">
        <v>51.6</v>
      </c>
      <c r="E76" s="14"/>
      <c r="F76" s="14"/>
      <c r="G76" s="15"/>
      <c r="H76" s="101">
        <f t="shared" si="3"/>
        <v>51.6</v>
      </c>
      <c r="I76" s="33">
        <v>51.6</v>
      </c>
      <c r="J76" s="1">
        <f t="shared" si="4"/>
        <v>0</v>
      </c>
      <c r="L76" s="29">
        <v>2019</v>
      </c>
      <c r="M76" s="29" t="s">
        <v>37</v>
      </c>
      <c r="N76" s="39">
        <v>115.3</v>
      </c>
      <c r="O76" s="40">
        <f t="shared" si="5"/>
        <v>115.36666666666667</v>
      </c>
    </row>
    <row r="77" spans="2:15" x14ac:dyDescent="0.25">
      <c r="B77" s="5"/>
      <c r="C77" s="4" t="s">
        <v>1</v>
      </c>
      <c r="D77" s="35">
        <v>51.1</v>
      </c>
      <c r="E77" s="14"/>
      <c r="F77" s="14"/>
      <c r="G77" s="15"/>
      <c r="H77" s="101">
        <f t="shared" si="3"/>
        <v>51.1</v>
      </c>
      <c r="I77" s="33">
        <v>51.1</v>
      </c>
      <c r="J77" s="1">
        <f t="shared" si="4"/>
        <v>0</v>
      </c>
      <c r="L77" s="29">
        <v>2019</v>
      </c>
      <c r="M77" s="29" t="s">
        <v>38</v>
      </c>
      <c r="N77" s="39">
        <v>114.7</v>
      </c>
      <c r="O77" s="40">
        <f t="shared" si="5"/>
        <v>115.10000000000001</v>
      </c>
    </row>
    <row r="78" spans="2:15" x14ac:dyDescent="0.25">
      <c r="B78" s="5"/>
      <c r="C78" s="4" t="s">
        <v>2</v>
      </c>
      <c r="D78" s="35">
        <v>50.7</v>
      </c>
      <c r="E78" s="14"/>
      <c r="F78" s="14"/>
      <c r="G78" s="15"/>
      <c r="H78" s="101">
        <f t="shared" si="3"/>
        <v>50.7</v>
      </c>
      <c r="I78" s="33">
        <v>50.7</v>
      </c>
      <c r="J78" s="1">
        <f t="shared" si="4"/>
        <v>0</v>
      </c>
      <c r="L78" s="29">
        <v>2019</v>
      </c>
      <c r="M78" s="29" t="s">
        <v>39</v>
      </c>
      <c r="N78" s="39">
        <v>114.8</v>
      </c>
      <c r="O78" s="40">
        <f t="shared" si="5"/>
        <v>114.93333333333334</v>
      </c>
    </row>
    <row r="79" spans="2:15" x14ac:dyDescent="0.25">
      <c r="B79" s="5"/>
      <c r="C79" s="4" t="s">
        <v>3</v>
      </c>
      <c r="D79" s="35">
        <v>50.2</v>
      </c>
      <c r="E79" s="14"/>
      <c r="F79" s="14"/>
      <c r="G79" s="15"/>
      <c r="H79" s="101">
        <f t="shared" si="3"/>
        <v>50.2</v>
      </c>
      <c r="I79" s="33">
        <v>50.2</v>
      </c>
      <c r="J79" s="1">
        <f t="shared" si="4"/>
        <v>0</v>
      </c>
      <c r="L79" s="29">
        <v>2019</v>
      </c>
      <c r="M79" s="29" t="s">
        <v>40</v>
      </c>
      <c r="N79" s="39">
        <v>114.2</v>
      </c>
      <c r="O79" s="40">
        <f t="shared" si="5"/>
        <v>114.56666666666666</v>
      </c>
    </row>
    <row r="80" spans="2:15" x14ac:dyDescent="0.25">
      <c r="B80" s="5">
        <v>1993</v>
      </c>
      <c r="C80" s="4" t="s">
        <v>0</v>
      </c>
      <c r="D80" s="35">
        <v>48.7</v>
      </c>
      <c r="E80" s="14"/>
      <c r="F80" s="14"/>
      <c r="G80" s="15"/>
      <c r="H80" s="101">
        <f t="shared" si="3"/>
        <v>48.7</v>
      </c>
      <c r="I80" s="33">
        <v>48.7</v>
      </c>
      <c r="J80" s="1">
        <f t="shared" si="4"/>
        <v>0</v>
      </c>
      <c r="L80" s="29">
        <v>2020</v>
      </c>
      <c r="M80" s="29" t="s">
        <v>29</v>
      </c>
      <c r="N80" s="39">
        <v>114.7</v>
      </c>
      <c r="O80" s="40">
        <f t="shared" si="5"/>
        <v>114.56666666666666</v>
      </c>
    </row>
    <row r="81" spans="2:15" x14ac:dyDescent="0.25">
      <c r="B81" s="5"/>
      <c r="C81" s="4" t="s">
        <v>1</v>
      </c>
      <c r="D81" s="35">
        <v>50.1</v>
      </c>
      <c r="E81" s="14"/>
      <c r="F81" s="14"/>
      <c r="G81" s="15"/>
      <c r="H81" s="101">
        <f t="shared" si="3"/>
        <v>50.1</v>
      </c>
      <c r="I81" s="33">
        <v>50.1</v>
      </c>
      <c r="J81" s="1">
        <f t="shared" si="4"/>
        <v>0</v>
      </c>
      <c r="L81" s="29">
        <v>2020</v>
      </c>
      <c r="M81" s="29" t="s">
        <v>30</v>
      </c>
      <c r="N81" s="39">
        <v>114.8</v>
      </c>
      <c r="O81" s="40">
        <f t="shared" si="5"/>
        <v>114.56666666666666</v>
      </c>
    </row>
    <row r="82" spans="2:15" x14ac:dyDescent="0.25">
      <c r="B82" s="5"/>
      <c r="C82" s="4" t="s">
        <v>2</v>
      </c>
      <c r="D82" s="35">
        <v>50.2</v>
      </c>
      <c r="E82" s="14"/>
      <c r="F82" s="14"/>
      <c r="G82" s="15"/>
      <c r="H82" s="101">
        <f t="shared" si="3"/>
        <v>50.2</v>
      </c>
      <c r="I82" s="33">
        <v>50.2</v>
      </c>
      <c r="J82" s="1">
        <f t="shared" si="4"/>
        <v>0</v>
      </c>
      <c r="L82" s="29">
        <v>2020</v>
      </c>
      <c r="M82" s="29" t="s">
        <v>31</v>
      </c>
      <c r="N82" s="39">
        <v>114.6</v>
      </c>
      <c r="O82" s="40">
        <f t="shared" si="5"/>
        <v>114.7</v>
      </c>
    </row>
    <row r="83" spans="2:15" x14ac:dyDescent="0.25">
      <c r="B83" s="5"/>
      <c r="C83" s="4" t="s">
        <v>3</v>
      </c>
      <c r="D83" s="35">
        <v>51.5</v>
      </c>
      <c r="E83" s="14"/>
      <c r="F83" s="14"/>
      <c r="G83" s="15"/>
      <c r="H83" s="101">
        <f t="shared" si="3"/>
        <v>51.5</v>
      </c>
      <c r="I83" s="33">
        <v>51.5</v>
      </c>
      <c r="J83" s="1">
        <f t="shared" si="4"/>
        <v>0</v>
      </c>
      <c r="L83" s="29">
        <v>2020</v>
      </c>
      <c r="M83" s="29" t="s">
        <v>32</v>
      </c>
      <c r="N83" s="39">
        <v>114.8</v>
      </c>
      <c r="O83" s="40">
        <f t="shared" si="5"/>
        <v>114.73333333333333</v>
      </c>
    </row>
    <row r="84" spans="2:15" x14ac:dyDescent="0.25">
      <c r="B84" s="5">
        <v>1994</v>
      </c>
      <c r="C84" s="4" t="s">
        <v>0</v>
      </c>
      <c r="D84" s="35">
        <v>52.3</v>
      </c>
      <c r="E84" s="14"/>
      <c r="F84" s="14"/>
      <c r="G84" s="15"/>
      <c r="H84" s="101">
        <f t="shared" si="3"/>
        <v>52.3</v>
      </c>
      <c r="I84" s="33">
        <v>52.3</v>
      </c>
      <c r="J84" s="1">
        <f t="shared" si="4"/>
        <v>0</v>
      </c>
      <c r="L84" s="29">
        <v>2020</v>
      </c>
      <c r="M84" s="29" t="s">
        <v>33</v>
      </c>
      <c r="N84" s="39">
        <v>114.8</v>
      </c>
      <c r="O84" s="40">
        <f t="shared" si="5"/>
        <v>114.73333333333333</v>
      </c>
    </row>
    <row r="85" spans="2:15" x14ac:dyDescent="0.25">
      <c r="B85" s="5"/>
      <c r="C85" s="4" t="s">
        <v>1</v>
      </c>
      <c r="D85" s="35">
        <v>53.7</v>
      </c>
      <c r="E85" s="14"/>
      <c r="F85" s="14"/>
      <c r="G85" s="15"/>
      <c r="H85" s="101">
        <f t="shared" si="3"/>
        <v>53.7</v>
      </c>
      <c r="I85" s="33">
        <v>53.7</v>
      </c>
      <c r="J85" s="1">
        <f t="shared" si="4"/>
        <v>0</v>
      </c>
      <c r="L85" s="29">
        <v>2020</v>
      </c>
      <c r="M85" s="29" t="s">
        <v>34</v>
      </c>
      <c r="N85" s="39">
        <v>115</v>
      </c>
      <c r="O85" s="40">
        <f t="shared" si="5"/>
        <v>114.86666666666667</v>
      </c>
    </row>
    <row r="86" spans="2:15" x14ac:dyDescent="0.25">
      <c r="B86" s="5"/>
      <c r="C86" s="4" t="s">
        <v>2</v>
      </c>
      <c r="D86" s="35">
        <v>54.5</v>
      </c>
      <c r="E86" s="14"/>
      <c r="F86" s="14"/>
      <c r="G86" s="15"/>
      <c r="H86" s="101">
        <f t="shared" si="3"/>
        <v>54.5</v>
      </c>
      <c r="I86" s="33">
        <v>54.5</v>
      </c>
      <c r="J86" s="1">
        <f t="shared" si="4"/>
        <v>0</v>
      </c>
      <c r="L86" s="29">
        <v>2020</v>
      </c>
      <c r="M86" s="29" t="s">
        <v>35</v>
      </c>
      <c r="N86" s="39">
        <v>115.4</v>
      </c>
      <c r="O86" s="40">
        <f t="shared" si="5"/>
        <v>115.06666666666668</v>
      </c>
    </row>
    <row r="87" spans="2:15" x14ac:dyDescent="0.25">
      <c r="B87" s="5"/>
      <c r="C87" s="4" t="s">
        <v>3</v>
      </c>
      <c r="D87" s="35">
        <v>54.6</v>
      </c>
      <c r="E87" s="14"/>
      <c r="F87" s="14"/>
      <c r="G87" s="15"/>
      <c r="H87" s="101">
        <f t="shared" si="3"/>
        <v>54.6</v>
      </c>
      <c r="I87" s="33">
        <v>54.6</v>
      </c>
      <c r="J87" s="1">
        <f t="shared" si="4"/>
        <v>0</v>
      </c>
      <c r="L87" s="29">
        <v>2020</v>
      </c>
      <c r="M87" s="29" t="s">
        <v>36</v>
      </c>
      <c r="N87" s="39">
        <v>115.4</v>
      </c>
      <c r="O87" s="40">
        <f t="shared" si="5"/>
        <v>115.26666666666667</v>
      </c>
    </row>
    <row r="88" spans="2:15" x14ac:dyDescent="0.25">
      <c r="B88" s="5">
        <v>1995</v>
      </c>
      <c r="C88" s="4" t="s">
        <v>0</v>
      </c>
      <c r="D88" s="34">
        <v>53.9</v>
      </c>
      <c r="E88" s="14"/>
      <c r="F88" s="14"/>
      <c r="G88" s="15"/>
      <c r="H88" s="101">
        <f t="shared" si="3"/>
        <v>53.9</v>
      </c>
      <c r="I88" s="33">
        <v>53.9</v>
      </c>
      <c r="J88" s="1">
        <f t="shared" si="4"/>
        <v>0</v>
      </c>
      <c r="L88" s="29">
        <v>2020</v>
      </c>
      <c r="M88" s="29" t="s">
        <v>37</v>
      </c>
      <c r="N88" s="39">
        <v>115.8</v>
      </c>
      <c r="O88" s="40">
        <f t="shared" si="5"/>
        <v>115.53333333333335</v>
      </c>
    </row>
    <row r="89" spans="2:15" x14ac:dyDescent="0.25">
      <c r="B89" s="5"/>
      <c r="C89" s="4" t="s">
        <v>1</v>
      </c>
      <c r="D89" s="34">
        <v>54</v>
      </c>
      <c r="E89" s="14"/>
      <c r="F89" s="14"/>
      <c r="G89" s="15"/>
      <c r="H89" s="101">
        <f t="shared" si="3"/>
        <v>54</v>
      </c>
      <c r="I89" s="33">
        <v>54</v>
      </c>
      <c r="J89" s="1">
        <f t="shared" si="4"/>
        <v>0</v>
      </c>
      <c r="L89" s="29">
        <v>2020</v>
      </c>
      <c r="M89" s="29" t="s">
        <v>38</v>
      </c>
      <c r="N89" s="39">
        <v>115.9</v>
      </c>
      <c r="O89" s="40">
        <f t="shared" si="5"/>
        <v>115.7</v>
      </c>
    </row>
    <row r="90" spans="2:15" x14ac:dyDescent="0.25">
      <c r="B90" s="5"/>
      <c r="C90" s="4" t="s">
        <v>2</v>
      </c>
      <c r="D90" s="34">
        <v>53.9</v>
      </c>
      <c r="E90" s="14"/>
      <c r="F90" s="14"/>
      <c r="G90" s="15"/>
      <c r="H90" s="101">
        <f t="shared" si="3"/>
        <v>53.9</v>
      </c>
      <c r="I90" s="33">
        <v>53.9</v>
      </c>
      <c r="J90" s="1">
        <f t="shared" si="4"/>
        <v>0</v>
      </c>
      <c r="L90" s="29">
        <v>2020</v>
      </c>
      <c r="M90" s="29" t="s">
        <v>39</v>
      </c>
      <c r="N90" s="39">
        <v>116.1</v>
      </c>
      <c r="O90" s="40">
        <f t="shared" si="5"/>
        <v>115.93333333333332</v>
      </c>
    </row>
    <row r="91" spans="2:15" x14ac:dyDescent="0.25">
      <c r="B91" s="5"/>
      <c r="C91" s="4" t="s">
        <v>3</v>
      </c>
      <c r="D91" s="34">
        <v>54</v>
      </c>
      <c r="E91" s="14"/>
      <c r="F91" s="14"/>
      <c r="G91" s="15"/>
      <c r="H91" s="101">
        <f t="shared" si="3"/>
        <v>54</v>
      </c>
      <c r="I91" s="33">
        <v>54</v>
      </c>
      <c r="J91" s="1">
        <f t="shared" si="4"/>
        <v>0</v>
      </c>
      <c r="L91" s="29">
        <v>2020</v>
      </c>
      <c r="M91" s="29" t="s">
        <v>40</v>
      </c>
      <c r="N91" s="39">
        <v>116.2</v>
      </c>
      <c r="O91" s="40">
        <f t="shared" si="5"/>
        <v>116.06666666666666</v>
      </c>
    </row>
    <row r="92" spans="2:15" x14ac:dyDescent="0.25">
      <c r="B92" s="5">
        <v>1996</v>
      </c>
      <c r="C92" s="4" t="s">
        <v>0</v>
      </c>
      <c r="D92" s="34">
        <v>54</v>
      </c>
      <c r="E92" s="14"/>
      <c r="F92" s="14"/>
      <c r="G92" s="15"/>
      <c r="H92" s="101">
        <f t="shared" si="3"/>
        <v>54</v>
      </c>
      <c r="I92" s="33">
        <v>54</v>
      </c>
      <c r="J92" s="1">
        <f t="shared" si="4"/>
        <v>0</v>
      </c>
      <c r="L92" s="29">
        <v>2021</v>
      </c>
      <c r="M92" s="29" t="s">
        <v>29</v>
      </c>
      <c r="N92" s="39">
        <v>116.9</v>
      </c>
      <c r="O92" s="40">
        <f t="shared" si="5"/>
        <v>116.40000000000002</v>
      </c>
    </row>
    <row r="93" spans="2:15" x14ac:dyDescent="0.25">
      <c r="B93" s="5"/>
      <c r="C93" s="4" t="s">
        <v>1</v>
      </c>
      <c r="D93" s="34">
        <v>55.2</v>
      </c>
      <c r="E93" s="14"/>
      <c r="F93" s="14"/>
      <c r="G93" s="15"/>
      <c r="H93" s="101">
        <f t="shared" si="3"/>
        <v>55.2</v>
      </c>
      <c r="I93" s="33">
        <v>55.2</v>
      </c>
      <c r="J93" s="1">
        <f t="shared" si="4"/>
        <v>0</v>
      </c>
      <c r="L93" s="29">
        <v>2021</v>
      </c>
      <c r="M93" s="29" t="s">
        <v>30</v>
      </c>
      <c r="N93" s="39">
        <v>117.2</v>
      </c>
      <c r="O93" s="40">
        <f t="shared" si="5"/>
        <v>116.76666666666667</v>
      </c>
    </row>
    <row r="94" spans="2:15" x14ac:dyDescent="0.25">
      <c r="B94" s="5"/>
      <c r="C94" s="4" t="s">
        <v>2</v>
      </c>
      <c r="D94" s="34">
        <v>56.1</v>
      </c>
      <c r="E94" s="14"/>
      <c r="F94" s="14"/>
      <c r="G94" s="15"/>
      <c r="H94" s="101">
        <f t="shared" si="3"/>
        <v>56.1</v>
      </c>
      <c r="I94" s="33">
        <v>56.1</v>
      </c>
      <c r="J94" s="1">
        <f t="shared" si="4"/>
        <v>0</v>
      </c>
      <c r="L94" s="29">
        <v>2021</v>
      </c>
      <c r="M94" s="29" t="s">
        <v>31</v>
      </c>
      <c r="N94" s="39">
        <v>118</v>
      </c>
      <c r="O94" s="40">
        <f t="shared" si="5"/>
        <v>117.36666666666667</v>
      </c>
    </row>
    <row r="95" spans="2:15" x14ac:dyDescent="0.25">
      <c r="B95" s="5"/>
      <c r="C95" s="4" t="s">
        <v>3</v>
      </c>
      <c r="D95" s="34">
        <v>57.2</v>
      </c>
      <c r="E95" s="14"/>
      <c r="F95" s="14"/>
      <c r="G95" s="15"/>
      <c r="H95" s="101">
        <f t="shared" si="3"/>
        <v>57.2</v>
      </c>
      <c r="I95" s="33">
        <v>57.2</v>
      </c>
      <c r="J95" s="1">
        <f t="shared" si="4"/>
        <v>0</v>
      </c>
      <c r="L95" s="29">
        <v>2021</v>
      </c>
      <c r="M95" s="29" t="s">
        <v>32</v>
      </c>
      <c r="N95" s="39">
        <v>118.7</v>
      </c>
      <c r="O95" s="40">
        <f t="shared" si="5"/>
        <v>117.96666666666665</v>
      </c>
    </row>
    <row r="96" spans="2:15" x14ac:dyDescent="0.25">
      <c r="B96" s="5">
        <v>1997</v>
      </c>
      <c r="C96" s="4" t="s">
        <v>0</v>
      </c>
      <c r="D96" s="34">
        <v>57.1</v>
      </c>
      <c r="E96" s="14"/>
      <c r="F96" s="14"/>
      <c r="G96" s="15"/>
      <c r="H96" s="101">
        <f t="shared" si="3"/>
        <v>57.1</v>
      </c>
      <c r="I96" s="33">
        <v>57.1</v>
      </c>
      <c r="J96" s="1">
        <f t="shared" si="4"/>
        <v>0</v>
      </c>
      <c r="L96" s="29">
        <v>2021</v>
      </c>
      <c r="M96" s="29" t="s">
        <v>33</v>
      </c>
      <c r="N96" s="39">
        <v>119.9</v>
      </c>
      <c r="O96" s="40">
        <f t="shared" si="5"/>
        <v>118.86666666666667</v>
      </c>
    </row>
    <row r="97" spans="2:15" x14ac:dyDescent="0.25">
      <c r="B97" s="5"/>
      <c r="C97" s="4" t="s">
        <v>1</v>
      </c>
      <c r="D97" s="34">
        <v>58.4</v>
      </c>
      <c r="E97" s="14"/>
      <c r="F97" s="6"/>
      <c r="G97" s="15"/>
      <c r="H97" s="101">
        <f t="shared" si="3"/>
        <v>58.4</v>
      </c>
      <c r="I97" s="33">
        <v>58.4</v>
      </c>
      <c r="J97" s="1">
        <f t="shared" si="4"/>
        <v>0</v>
      </c>
      <c r="L97" s="29">
        <v>2021</v>
      </c>
      <c r="M97" s="29" t="s">
        <v>34</v>
      </c>
      <c r="N97" s="39">
        <v>120.9</v>
      </c>
      <c r="O97" s="40">
        <f t="shared" si="5"/>
        <v>119.83333333333333</v>
      </c>
    </row>
    <row r="98" spans="2:15" x14ac:dyDescent="0.25">
      <c r="B98" s="5"/>
      <c r="C98" s="4" t="s">
        <v>2</v>
      </c>
      <c r="D98" s="34">
        <v>59.4</v>
      </c>
      <c r="E98" s="14"/>
      <c r="F98" s="6"/>
      <c r="G98" s="15"/>
      <c r="H98" s="101">
        <f t="shared" si="3"/>
        <v>59.4</v>
      </c>
      <c r="I98" s="33">
        <v>59.4</v>
      </c>
      <c r="J98" s="1">
        <f t="shared" si="4"/>
        <v>0</v>
      </c>
      <c r="L98" s="29">
        <v>2021</v>
      </c>
      <c r="M98" s="29" t="s">
        <v>35</v>
      </c>
      <c r="N98" s="39">
        <v>122.4</v>
      </c>
      <c r="O98" s="40">
        <f t="shared" si="5"/>
        <v>121.06666666666668</v>
      </c>
    </row>
    <row r="99" spans="2:15" x14ac:dyDescent="0.25">
      <c r="B99" s="5"/>
      <c r="C99" s="4" t="s">
        <v>3</v>
      </c>
      <c r="D99" s="34">
        <v>60.2</v>
      </c>
      <c r="E99" s="14"/>
      <c r="F99" s="6"/>
      <c r="G99" s="15"/>
      <c r="H99" s="101">
        <f t="shared" si="3"/>
        <v>60.2</v>
      </c>
      <c r="I99" s="33">
        <v>60.2</v>
      </c>
      <c r="J99" s="1">
        <f t="shared" si="4"/>
        <v>0</v>
      </c>
      <c r="L99" s="29">
        <v>2021</v>
      </c>
      <c r="M99" s="29" t="s">
        <v>36</v>
      </c>
      <c r="N99" s="39">
        <v>124</v>
      </c>
      <c r="O99" s="40">
        <f t="shared" si="5"/>
        <v>122.43333333333334</v>
      </c>
    </row>
    <row r="100" spans="2:15" x14ac:dyDescent="0.25">
      <c r="B100" s="5">
        <v>1998</v>
      </c>
      <c r="C100" s="4" t="s">
        <v>0</v>
      </c>
      <c r="D100" s="34">
        <v>61.7</v>
      </c>
      <c r="E100" s="14"/>
      <c r="F100" s="6"/>
      <c r="G100" s="15"/>
      <c r="H100" s="101">
        <f t="shared" si="3"/>
        <v>61.7</v>
      </c>
      <c r="I100" s="33">
        <v>61.7</v>
      </c>
      <c r="J100" s="1">
        <f t="shared" si="4"/>
        <v>0</v>
      </c>
      <c r="L100" s="29">
        <v>2021</v>
      </c>
      <c r="M100" s="29" t="s">
        <v>37</v>
      </c>
      <c r="N100" s="39">
        <v>124</v>
      </c>
      <c r="O100" s="40">
        <f t="shared" si="5"/>
        <v>123.46666666666665</v>
      </c>
    </row>
    <row r="101" spans="2:15" x14ac:dyDescent="0.25">
      <c r="B101" s="5"/>
      <c r="C101" s="4" t="s">
        <v>1</v>
      </c>
      <c r="D101" s="34">
        <v>62.1</v>
      </c>
      <c r="E101" s="14"/>
      <c r="F101" s="6"/>
      <c r="G101" s="15"/>
      <c r="H101" s="101">
        <f t="shared" si="3"/>
        <v>62.1</v>
      </c>
      <c r="I101" s="33">
        <v>62.1</v>
      </c>
      <c r="J101" s="1">
        <f t="shared" si="4"/>
        <v>0</v>
      </c>
      <c r="L101" s="29">
        <v>2021</v>
      </c>
      <c r="M101" s="29" t="s">
        <v>38</v>
      </c>
      <c r="N101" s="39">
        <v>125.7</v>
      </c>
      <c r="O101" s="40">
        <f t="shared" si="5"/>
        <v>124.56666666666666</v>
      </c>
    </row>
    <row r="102" spans="2:15" x14ac:dyDescent="0.25">
      <c r="B102" s="5"/>
      <c r="C102" s="4" t="s">
        <v>2</v>
      </c>
      <c r="D102" s="34">
        <v>62.7</v>
      </c>
      <c r="E102" s="14"/>
      <c r="F102" s="6"/>
      <c r="G102" s="15"/>
      <c r="H102" s="101">
        <f t="shared" si="3"/>
        <v>62.7</v>
      </c>
      <c r="I102" s="33">
        <v>62.7</v>
      </c>
      <c r="J102" s="1">
        <f t="shared" si="4"/>
        <v>0</v>
      </c>
      <c r="L102" s="29">
        <v>2021</v>
      </c>
      <c r="M102" s="29" t="s">
        <v>39</v>
      </c>
      <c r="N102" s="39">
        <v>127.1</v>
      </c>
      <c r="O102" s="40">
        <f t="shared" si="5"/>
        <v>125.59999999999998</v>
      </c>
    </row>
    <row r="103" spans="2:15" x14ac:dyDescent="0.25">
      <c r="B103" s="5"/>
      <c r="C103" s="4" t="s">
        <v>3</v>
      </c>
      <c r="D103" s="34">
        <v>64.7</v>
      </c>
      <c r="E103" s="14"/>
      <c r="F103" s="6"/>
      <c r="G103" s="15"/>
      <c r="H103" s="101">
        <f t="shared" si="3"/>
        <v>64.7</v>
      </c>
      <c r="I103" s="33">
        <v>64.7</v>
      </c>
      <c r="J103" s="1">
        <f t="shared" si="4"/>
        <v>0</v>
      </c>
      <c r="L103" s="29">
        <v>2021</v>
      </c>
      <c r="M103" s="29" t="s">
        <v>40</v>
      </c>
      <c r="N103" s="39">
        <v>126.7</v>
      </c>
      <c r="O103" s="40">
        <f t="shared" si="5"/>
        <v>126.5</v>
      </c>
    </row>
    <row r="104" spans="2:15" x14ac:dyDescent="0.25">
      <c r="B104" s="5">
        <v>1999</v>
      </c>
      <c r="C104" s="4" t="s">
        <v>0</v>
      </c>
      <c r="D104" s="34">
        <v>66.900000000000006</v>
      </c>
      <c r="E104" s="14"/>
      <c r="F104" s="6"/>
      <c r="G104" s="15"/>
      <c r="H104" s="101">
        <f t="shared" si="3"/>
        <v>66.900000000000006</v>
      </c>
      <c r="I104" s="33">
        <v>66.900000000000006</v>
      </c>
      <c r="J104" s="1">
        <f t="shared" si="4"/>
        <v>0</v>
      </c>
      <c r="L104" s="29">
        <v>2022</v>
      </c>
      <c r="M104" s="29" t="s">
        <v>29</v>
      </c>
      <c r="N104" s="39">
        <v>129.69999999999999</v>
      </c>
      <c r="O104" s="40">
        <f t="shared" si="5"/>
        <v>127.83333333333333</v>
      </c>
    </row>
    <row r="105" spans="2:15" x14ac:dyDescent="0.25">
      <c r="B105" s="5"/>
      <c r="C105" s="4" t="s">
        <v>1</v>
      </c>
      <c r="D105" s="34">
        <v>68.599999999999994</v>
      </c>
      <c r="E105" s="14"/>
      <c r="F105" s="6"/>
      <c r="G105" s="15"/>
      <c r="H105" s="101">
        <f t="shared" si="3"/>
        <v>68.599999999999994</v>
      </c>
      <c r="I105" s="33">
        <v>68.599999999999994</v>
      </c>
      <c r="J105" s="1">
        <f t="shared" si="4"/>
        <v>0</v>
      </c>
      <c r="L105" s="29">
        <v>2022</v>
      </c>
      <c r="M105" s="29" t="s">
        <v>30</v>
      </c>
      <c r="N105" s="39">
        <v>129.9</v>
      </c>
      <c r="O105" s="40">
        <f t="shared" si="5"/>
        <v>128.76666666666665</v>
      </c>
    </row>
    <row r="106" spans="2:15" x14ac:dyDescent="0.25">
      <c r="B106" s="5"/>
      <c r="C106" s="4" t="s">
        <v>2</v>
      </c>
      <c r="D106" s="34">
        <v>70.3</v>
      </c>
      <c r="E106" s="14"/>
      <c r="F106" s="6"/>
      <c r="G106" s="15"/>
      <c r="H106" s="101">
        <f t="shared" si="3"/>
        <v>70.3</v>
      </c>
      <c r="I106" s="33">
        <v>70.3</v>
      </c>
      <c r="J106" s="1">
        <f t="shared" si="4"/>
        <v>0</v>
      </c>
      <c r="L106" s="29">
        <v>2022</v>
      </c>
      <c r="M106" s="29" t="s">
        <v>31</v>
      </c>
      <c r="N106" s="39">
        <v>130.6</v>
      </c>
      <c r="O106" s="40">
        <f t="shared" si="5"/>
        <v>130.06666666666669</v>
      </c>
    </row>
    <row r="107" spans="2:15" x14ac:dyDescent="0.25">
      <c r="B107" s="5"/>
      <c r="C107" s="4" t="s">
        <v>3</v>
      </c>
      <c r="D107" s="34">
        <v>71.099999999999994</v>
      </c>
      <c r="E107" s="14"/>
      <c r="F107" s="6"/>
      <c r="G107" s="15"/>
      <c r="H107" s="101">
        <f t="shared" si="3"/>
        <v>71.099999999999994</v>
      </c>
      <c r="I107" s="33">
        <v>71.099999999999994</v>
      </c>
      <c r="J107" s="1">
        <f t="shared" si="4"/>
        <v>0</v>
      </c>
      <c r="L107" s="29">
        <v>2022</v>
      </c>
      <c r="M107" s="29" t="s">
        <v>32</v>
      </c>
      <c r="N107" s="39">
        <v>133.19999999999999</v>
      </c>
      <c r="O107" s="40">
        <f t="shared" si="5"/>
        <v>131.23333333333332</v>
      </c>
    </row>
    <row r="108" spans="2:15" x14ac:dyDescent="0.25">
      <c r="B108" s="5">
        <v>2000</v>
      </c>
      <c r="C108" s="4" t="s">
        <v>0</v>
      </c>
      <c r="D108" s="34">
        <v>71.400000000000006</v>
      </c>
      <c r="E108" s="14"/>
      <c r="F108" s="6"/>
      <c r="G108" s="15"/>
      <c r="H108" s="101">
        <f t="shared" si="3"/>
        <v>71.400000000000006</v>
      </c>
      <c r="I108" s="33">
        <v>71.400000000000006</v>
      </c>
      <c r="J108" s="1">
        <f t="shared" si="4"/>
        <v>0</v>
      </c>
      <c r="L108" s="29">
        <v>2022</v>
      </c>
      <c r="M108" s="29" t="s">
        <v>33</v>
      </c>
      <c r="N108" s="39">
        <v>134.6</v>
      </c>
      <c r="O108" s="40">
        <f t="shared" si="5"/>
        <v>132.79999999999998</v>
      </c>
    </row>
    <row r="109" spans="2:15" x14ac:dyDescent="0.25">
      <c r="B109" s="5"/>
      <c r="C109" s="4" t="s">
        <v>1</v>
      </c>
      <c r="D109" s="34">
        <v>73.2</v>
      </c>
      <c r="E109" s="14"/>
      <c r="F109" s="6"/>
      <c r="G109" s="15"/>
      <c r="H109" s="101">
        <f t="shared" si="3"/>
        <v>73.2</v>
      </c>
      <c r="I109" s="33">
        <v>73.2</v>
      </c>
      <c r="J109" s="1">
        <f t="shared" si="4"/>
        <v>0</v>
      </c>
      <c r="L109" s="29">
        <v>2022</v>
      </c>
      <c r="M109" s="29" t="s">
        <v>34</v>
      </c>
      <c r="N109" s="39">
        <v>135.69999999999999</v>
      </c>
      <c r="O109" s="40">
        <f t="shared" si="5"/>
        <v>134.49999999999997</v>
      </c>
    </row>
    <row r="110" spans="2:15" x14ac:dyDescent="0.25">
      <c r="B110" s="5"/>
      <c r="C110" s="4" t="s">
        <v>2</v>
      </c>
      <c r="D110" s="34">
        <v>72.3</v>
      </c>
      <c r="E110" s="14"/>
      <c r="F110" s="6"/>
      <c r="G110" s="15"/>
      <c r="H110" s="101">
        <f t="shared" si="3"/>
        <v>72.3</v>
      </c>
      <c r="I110" s="33">
        <v>72.3</v>
      </c>
      <c r="J110" s="1">
        <f t="shared" si="4"/>
        <v>0</v>
      </c>
      <c r="N110" s="39"/>
      <c r="O110" s="40"/>
    </row>
    <row r="111" spans="2:15" x14ac:dyDescent="0.25">
      <c r="B111" s="5"/>
      <c r="C111" s="4" t="s">
        <v>3</v>
      </c>
      <c r="D111" s="34">
        <v>73.7</v>
      </c>
      <c r="E111" s="14"/>
      <c r="F111" s="6"/>
      <c r="G111" s="15"/>
      <c r="H111" s="101">
        <f t="shared" si="3"/>
        <v>73.7</v>
      </c>
      <c r="I111" s="33">
        <v>73.7</v>
      </c>
      <c r="J111" s="1">
        <f t="shared" si="4"/>
        <v>0</v>
      </c>
      <c r="N111" s="39"/>
      <c r="O111" s="40"/>
    </row>
    <row r="112" spans="2:15" x14ac:dyDescent="0.25">
      <c r="B112" s="5">
        <v>2001</v>
      </c>
      <c r="C112" s="4" t="s">
        <v>0</v>
      </c>
      <c r="D112" s="34">
        <v>76.400000000000006</v>
      </c>
      <c r="E112" s="14"/>
      <c r="F112" s="6"/>
      <c r="G112" s="15"/>
      <c r="H112" s="101">
        <f t="shared" si="3"/>
        <v>76.400000000000006</v>
      </c>
      <c r="I112" s="33">
        <v>76.400000000000006</v>
      </c>
      <c r="J112" s="1">
        <f t="shared" si="4"/>
        <v>0</v>
      </c>
      <c r="L112" s="29">
        <v>2014</v>
      </c>
      <c r="M112" s="29" t="s">
        <v>31</v>
      </c>
      <c r="N112" s="39">
        <v>99.4</v>
      </c>
      <c r="O112" s="41">
        <v>99.966666666666654</v>
      </c>
    </row>
    <row r="113" spans="2:15" x14ac:dyDescent="0.25">
      <c r="B113" s="5"/>
      <c r="C113" s="4" t="s">
        <v>1</v>
      </c>
      <c r="D113" s="34">
        <v>78.7</v>
      </c>
      <c r="E113" s="14"/>
      <c r="F113" s="6"/>
      <c r="G113" s="15"/>
      <c r="H113" s="101">
        <f t="shared" si="3"/>
        <v>78.7</v>
      </c>
      <c r="I113" s="33">
        <v>78.7</v>
      </c>
      <c r="J113" s="1">
        <f t="shared" si="4"/>
        <v>0</v>
      </c>
      <c r="L113" s="29">
        <v>2014</v>
      </c>
      <c r="M113" s="29" t="s">
        <v>34</v>
      </c>
      <c r="N113" s="39">
        <v>99.1</v>
      </c>
      <c r="O113" s="41">
        <v>98.8</v>
      </c>
    </row>
    <row r="114" spans="2:15" x14ac:dyDescent="0.25">
      <c r="B114" s="5"/>
      <c r="C114" s="4" t="s">
        <v>2</v>
      </c>
      <c r="D114" s="34">
        <v>79.599999999999994</v>
      </c>
      <c r="E114" s="14"/>
      <c r="F114" s="6"/>
      <c r="G114" s="15"/>
      <c r="H114" s="101">
        <f t="shared" si="3"/>
        <v>79.599999999999994</v>
      </c>
      <c r="I114" s="33">
        <v>79.599999999999994</v>
      </c>
      <c r="J114" s="1">
        <f t="shared" si="4"/>
        <v>0</v>
      </c>
      <c r="L114" s="29">
        <v>2014</v>
      </c>
      <c r="M114" s="29" t="s">
        <v>37</v>
      </c>
      <c r="N114" s="39">
        <v>99.1</v>
      </c>
      <c r="O114" s="41">
        <v>99.09999999999998</v>
      </c>
    </row>
    <row r="115" spans="2:15" x14ac:dyDescent="0.25">
      <c r="B115" s="5"/>
      <c r="C115" s="4" t="s">
        <v>3</v>
      </c>
      <c r="D115" s="34">
        <v>81.8</v>
      </c>
      <c r="E115" s="14"/>
      <c r="F115" s="6"/>
      <c r="G115" s="15"/>
      <c r="H115" s="101">
        <f t="shared" si="3"/>
        <v>81.8</v>
      </c>
      <c r="I115" s="33">
        <v>81.8</v>
      </c>
      <c r="J115" s="1">
        <f t="shared" si="4"/>
        <v>0</v>
      </c>
      <c r="L115" s="29">
        <v>2014</v>
      </c>
      <c r="M115" s="29" t="s">
        <v>40</v>
      </c>
      <c r="N115" s="39">
        <v>99</v>
      </c>
      <c r="O115" s="41">
        <v>99.100000000000009</v>
      </c>
    </row>
    <row r="116" spans="2:15" x14ac:dyDescent="0.25">
      <c r="B116" s="5">
        <v>2002</v>
      </c>
      <c r="C116" s="4" t="s">
        <v>0</v>
      </c>
      <c r="D116" s="34">
        <v>82.4</v>
      </c>
      <c r="E116" s="14"/>
      <c r="F116" s="6"/>
      <c r="G116" s="15"/>
      <c r="H116" s="101">
        <f t="shared" si="3"/>
        <v>82.4</v>
      </c>
      <c r="I116" s="33">
        <v>82.4</v>
      </c>
      <c r="J116" s="1">
        <f t="shared" si="4"/>
        <v>0</v>
      </c>
      <c r="L116" s="29">
        <v>2015</v>
      </c>
      <c r="M116" s="29" t="s">
        <v>31</v>
      </c>
      <c r="N116" s="39">
        <v>101</v>
      </c>
      <c r="O116" s="40">
        <v>99.866666666666674</v>
      </c>
    </row>
    <row r="117" spans="2:15" x14ac:dyDescent="0.25">
      <c r="B117" s="5"/>
      <c r="C117" s="4" t="s">
        <v>1</v>
      </c>
      <c r="D117" s="34">
        <v>87.6</v>
      </c>
      <c r="E117" s="14"/>
      <c r="F117" s="6"/>
      <c r="G117" s="15"/>
      <c r="H117" s="101">
        <f t="shared" si="3"/>
        <v>87.6</v>
      </c>
      <c r="I117" s="33">
        <v>87.6</v>
      </c>
      <c r="J117" s="1">
        <f t="shared" si="4"/>
        <v>0</v>
      </c>
      <c r="L117" s="29">
        <v>2015</v>
      </c>
      <c r="M117" s="29" t="s">
        <v>34</v>
      </c>
      <c r="N117" s="39">
        <v>100.3</v>
      </c>
      <c r="O117" s="40">
        <v>100.06666666666666</v>
      </c>
    </row>
    <row r="118" spans="2:15" x14ac:dyDescent="0.25">
      <c r="B118" s="5"/>
      <c r="C118" s="4" t="s">
        <v>2</v>
      </c>
      <c r="D118" s="34">
        <v>87</v>
      </c>
      <c r="E118" s="14"/>
      <c r="F118" s="6"/>
      <c r="G118" s="15"/>
      <c r="H118" s="101">
        <f t="shared" si="3"/>
        <v>87</v>
      </c>
      <c r="I118" s="33">
        <v>87</v>
      </c>
      <c r="J118" s="1">
        <f t="shared" si="4"/>
        <v>0</v>
      </c>
      <c r="L118" s="29">
        <v>2015</v>
      </c>
      <c r="M118" s="29" t="s">
        <v>37</v>
      </c>
      <c r="N118" s="39">
        <v>99.6</v>
      </c>
      <c r="O118" s="40">
        <v>99.90000000000002</v>
      </c>
    </row>
    <row r="119" spans="2:15" x14ac:dyDescent="0.25">
      <c r="B119" s="5"/>
      <c r="C119" s="4" t="s">
        <v>3</v>
      </c>
      <c r="D119" s="34">
        <v>88</v>
      </c>
      <c r="E119" s="14"/>
      <c r="F119" s="6"/>
      <c r="G119" s="15"/>
      <c r="H119" s="101">
        <f t="shared" si="3"/>
        <v>88</v>
      </c>
      <c r="I119" s="33">
        <v>88</v>
      </c>
      <c r="J119" s="1">
        <f t="shared" si="4"/>
        <v>0</v>
      </c>
      <c r="L119" s="29">
        <v>2015</v>
      </c>
      <c r="M119" s="29" t="s">
        <v>40</v>
      </c>
      <c r="N119" s="39">
        <v>99.8</v>
      </c>
      <c r="O119" s="40">
        <v>100.2</v>
      </c>
    </row>
    <row r="120" spans="2:15" x14ac:dyDescent="0.25">
      <c r="B120" s="5">
        <v>2003</v>
      </c>
      <c r="C120" s="4" t="s">
        <v>0</v>
      </c>
      <c r="D120" s="34">
        <v>88.6</v>
      </c>
      <c r="E120" s="14"/>
      <c r="F120" s="6"/>
      <c r="G120" s="15"/>
      <c r="H120" s="101">
        <f t="shared" si="3"/>
        <v>88.6</v>
      </c>
      <c r="I120" s="33">
        <v>88.6</v>
      </c>
      <c r="J120" s="1">
        <f t="shared" si="4"/>
        <v>0</v>
      </c>
      <c r="L120" s="29">
        <v>2016</v>
      </c>
      <c r="M120" s="29" t="s">
        <v>31</v>
      </c>
      <c r="N120" s="39">
        <v>102.2</v>
      </c>
      <c r="O120" s="40">
        <v>101.73333333333333</v>
      </c>
    </row>
    <row r="121" spans="2:15" x14ac:dyDescent="0.25">
      <c r="B121" s="5"/>
      <c r="C121" s="4" t="s">
        <v>1</v>
      </c>
      <c r="D121" s="34">
        <v>90.2</v>
      </c>
      <c r="E121" s="14"/>
      <c r="F121" s="6"/>
      <c r="G121" s="15"/>
      <c r="H121" s="101">
        <f t="shared" si="3"/>
        <v>90.2</v>
      </c>
      <c r="I121" s="33">
        <v>90.2</v>
      </c>
      <c r="J121" s="1">
        <f t="shared" si="4"/>
        <v>0</v>
      </c>
      <c r="L121" s="29">
        <v>2016</v>
      </c>
      <c r="M121" s="29" t="s">
        <v>34</v>
      </c>
      <c r="N121" s="39">
        <v>102.4</v>
      </c>
      <c r="O121" s="40">
        <v>102.40000000000002</v>
      </c>
    </row>
    <row r="122" spans="2:15" x14ac:dyDescent="0.25">
      <c r="B122" s="5"/>
      <c r="C122" s="4" t="s">
        <v>2</v>
      </c>
      <c r="D122" s="34">
        <v>91.3</v>
      </c>
      <c r="E122" s="14"/>
      <c r="F122" s="6"/>
      <c r="G122" s="15"/>
      <c r="H122" s="101">
        <f t="shared" si="3"/>
        <v>91.3</v>
      </c>
      <c r="I122" s="33">
        <v>91.3</v>
      </c>
      <c r="J122" s="1">
        <f t="shared" si="4"/>
        <v>0</v>
      </c>
      <c r="L122" s="29">
        <v>2016</v>
      </c>
      <c r="M122" s="29" t="s">
        <v>37</v>
      </c>
      <c r="N122" s="39">
        <v>103.5</v>
      </c>
      <c r="O122" s="40">
        <v>103.3</v>
      </c>
    </row>
    <row r="123" spans="2:15" x14ac:dyDescent="0.25">
      <c r="B123" s="5"/>
      <c r="C123" s="4" t="s">
        <v>3</v>
      </c>
      <c r="D123" s="34">
        <v>92</v>
      </c>
      <c r="E123" s="14"/>
      <c r="F123" s="6"/>
      <c r="G123" s="15"/>
      <c r="H123" s="101">
        <f t="shared" si="3"/>
        <v>92</v>
      </c>
      <c r="I123" s="33">
        <v>92</v>
      </c>
      <c r="J123" s="1">
        <f t="shared" si="4"/>
        <v>0</v>
      </c>
      <c r="L123" s="29">
        <v>2016</v>
      </c>
      <c r="M123" s="29" t="s">
        <v>40</v>
      </c>
      <c r="N123" s="39">
        <v>104.8</v>
      </c>
      <c r="O123" s="40">
        <v>104.56666666666666</v>
      </c>
    </row>
    <row r="124" spans="2:15" x14ac:dyDescent="0.25">
      <c r="B124" s="5">
        <v>2004</v>
      </c>
      <c r="C124" s="4" t="s">
        <v>0</v>
      </c>
      <c r="D124" s="34">
        <v>92.7</v>
      </c>
      <c r="E124" s="14"/>
      <c r="F124" s="6"/>
      <c r="G124" s="15"/>
      <c r="H124" s="101">
        <f t="shared" si="3"/>
        <v>92.7</v>
      </c>
      <c r="I124" s="33">
        <v>92.7</v>
      </c>
      <c r="J124" s="1">
        <f t="shared" si="4"/>
        <v>0</v>
      </c>
      <c r="L124" s="29">
        <v>2017</v>
      </c>
      <c r="M124" s="29" t="s">
        <v>31</v>
      </c>
      <c r="N124" s="39">
        <v>106.1</v>
      </c>
      <c r="O124" s="40">
        <v>105.83333333333333</v>
      </c>
    </row>
    <row r="125" spans="2:15" x14ac:dyDescent="0.25">
      <c r="B125" s="5"/>
      <c r="C125" s="4" t="s">
        <v>1</v>
      </c>
      <c r="D125" s="34">
        <v>93.7</v>
      </c>
      <c r="E125" s="14"/>
      <c r="F125" s="6"/>
      <c r="G125" s="15"/>
      <c r="H125" s="101">
        <f t="shared" si="3"/>
        <v>93.7</v>
      </c>
      <c r="I125" s="33">
        <v>93.7</v>
      </c>
      <c r="J125" s="1">
        <f t="shared" si="4"/>
        <v>0</v>
      </c>
      <c r="L125" s="29">
        <v>2017</v>
      </c>
      <c r="M125" s="29" t="s">
        <v>34</v>
      </c>
      <c r="N125" s="39">
        <v>106.7</v>
      </c>
      <c r="O125" s="40">
        <v>106.33333333333333</v>
      </c>
    </row>
    <row r="126" spans="2:15" x14ac:dyDescent="0.25">
      <c r="B126" s="5"/>
      <c r="C126" s="4" t="s">
        <v>2</v>
      </c>
      <c r="D126" s="34">
        <v>94.9</v>
      </c>
      <c r="E126" s="14"/>
      <c r="F126" s="6"/>
      <c r="G126" s="15"/>
      <c r="H126" s="101">
        <f t="shared" si="3"/>
        <v>94.9</v>
      </c>
      <c r="I126" s="33">
        <v>94.9</v>
      </c>
      <c r="J126" s="1">
        <f t="shared" si="4"/>
        <v>0</v>
      </c>
      <c r="L126" s="29">
        <v>2017</v>
      </c>
      <c r="M126" s="29" t="s">
        <v>37</v>
      </c>
      <c r="N126" s="39">
        <v>108.6</v>
      </c>
      <c r="O126" s="40">
        <v>107.83333333333333</v>
      </c>
    </row>
    <row r="127" spans="2:15" x14ac:dyDescent="0.25">
      <c r="B127" s="5"/>
      <c r="C127" s="4" t="s">
        <v>3</v>
      </c>
      <c r="D127" s="34">
        <v>95.9</v>
      </c>
      <c r="E127" s="14"/>
      <c r="F127" s="6"/>
      <c r="G127" s="15"/>
      <c r="H127" s="101">
        <f t="shared" si="3"/>
        <v>95.9</v>
      </c>
      <c r="I127" s="33">
        <v>95.9</v>
      </c>
      <c r="J127" s="1">
        <f t="shared" si="4"/>
        <v>0</v>
      </c>
      <c r="L127" s="29">
        <v>2017</v>
      </c>
      <c r="M127" s="29" t="s">
        <v>40</v>
      </c>
      <c r="N127" s="39">
        <v>109</v>
      </c>
      <c r="O127" s="40">
        <v>108.76666666666667</v>
      </c>
    </row>
    <row r="128" spans="2:15" x14ac:dyDescent="0.25">
      <c r="B128" s="5">
        <v>2005</v>
      </c>
      <c r="C128" s="4" t="s">
        <v>0</v>
      </c>
      <c r="D128" s="34">
        <v>97.3</v>
      </c>
      <c r="E128" s="14"/>
      <c r="F128" s="6"/>
      <c r="G128" s="15"/>
      <c r="H128" s="101">
        <f t="shared" si="3"/>
        <v>97.3</v>
      </c>
      <c r="I128" s="33">
        <v>97.3</v>
      </c>
      <c r="J128" s="1">
        <f t="shared" si="4"/>
        <v>0</v>
      </c>
      <c r="L128" s="29">
        <v>2018</v>
      </c>
      <c r="M128" s="29" t="s">
        <v>31</v>
      </c>
      <c r="N128" s="39">
        <v>110.6</v>
      </c>
      <c r="O128" s="40">
        <v>110.16666666666667</v>
      </c>
    </row>
    <row r="129" spans="2:15" x14ac:dyDescent="0.25">
      <c r="B129" s="5"/>
      <c r="C129" s="4" t="s">
        <v>1</v>
      </c>
      <c r="D129" s="34">
        <v>99.3</v>
      </c>
      <c r="E129" s="14"/>
      <c r="F129" s="6"/>
      <c r="G129" s="15"/>
      <c r="H129" s="101">
        <f t="shared" si="3"/>
        <v>99.3</v>
      </c>
      <c r="I129" s="33">
        <v>99.3</v>
      </c>
      <c r="J129" s="1">
        <f t="shared" si="4"/>
        <v>0</v>
      </c>
      <c r="L129" s="29">
        <v>2018</v>
      </c>
      <c r="M129" s="29" t="s">
        <v>34</v>
      </c>
      <c r="N129" s="39">
        <v>111.6</v>
      </c>
      <c r="O129" s="40">
        <v>111.23333333333335</v>
      </c>
    </row>
    <row r="130" spans="2:15" x14ac:dyDescent="0.25">
      <c r="B130" s="5"/>
      <c r="C130" s="4" t="s">
        <v>2</v>
      </c>
      <c r="D130" s="34">
        <v>101.2</v>
      </c>
      <c r="E130" s="14"/>
      <c r="F130" s="6"/>
      <c r="G130" s="15"/>
      <c r="H130" s="101">
        <f t="shared" si="3"/>
        <v>101.2</v>
      </c>
      <c r="I130" s="33">
        <v>101.2</v>
      </c>
      <c r="J130" s="1">
        <f t="shared" si="4"/>
        <v>0</v>
      </c>
      <c r="L130" s="29">
        <v>2018</v>
      </c>
      <c r="M130" s="29" t="s">
        <v>37</v>
      </c>
      <c r="N130" s="39">
        <v>111.2</v>
      </c>
      <c r="O130" s="40">
        <v>111.26666666666667</v>
      </c>
    </row>
    <row r="131" spans="2:15" x14ac:dyDescent="0.25">
      <c r="B131" s="5"/>
      <c r="C131" s="4" t="s">
        <v>3</v>
      </c>
      <c r="D131" s="34">
        <v>102.3</v>
      </c>
      <c r="E131" s="14"/>
      <c r="F131" s="6"/>
      <c r="G131" s="15"/>
      <c r="H131" s="101">
        <f t="shared" si="3"/>
        <v>102.3</v>
      </c>
      <c r="I131" s="33">
        <v>102.3</v>
      </c>
      <c r="J131" s="1">
        <f t="shared" si="4"/>
        <v>0</v>
      </c>
      <c r="L131" s="29">
        <v>2018</v>
      </c>
      <c r="M131" s="29" t="s">
        <v>40</v>
      </c>
      <c r="N131" s="39">
        <v>112.5</v>
      </c>
      <c r="O131" s="40">
        <v>112.13333333333333</v>
      </c>
    </row>
    <row r="132" spans="2:15" x14ac:dyDescent="0.25">
      <c r="B132" s="5">
        <v>2006</v>
      </c>
      <c r="C132" s="4" t="s">
        <v>0</v>
      </c>
      <c r="D132" s="34">
        <v>104.5</v>
      </c>
      <c r="E132" s="14"/>
      <c r="F132" s="6"/>
      <c r="G132" s="15"/>
      <c r="H132" s="101">
        <f t="shared" si="3"/>
        <v>104.5</v>
      </c>
      <c r="I132" s="33">
        <v>104.5</v>
      </c>
      <c r="J132" s="1">
        <f t="shared" si="4"/>
        <v>0</v>
      </c>
      <c r="L132" s="29">
        <v>2019</v>
      </c>
      <c r="M132" s="29" t="s">
        <v>31</v>
      </c>
      <c r="N132" s="39">
        <v>113.6</v>
      </c>
      <c r="O132" s="40">
        <v>113.26666666666665</v>
      </c>
    </row>
    <row r="133" spans="2:15" x14ac:dyDescent="0.25">
      <c r="B133" s="5"/>
      <c r="C133" s="4" t="s">
        <v>1</v>
      </c>
      <c r="D133" s="34">
        <v>104.5</v>
      </c>
      <c r="E133" s="14"/>
      <c r="F133" s="6"/>
      <c r="G133" s="15"/>
      <c r="H133" s="101">
        <f t="shared" si="3"/>
        <v>104.5</v>
      </c>
      <c r="I133" s="33">
        <v>104.5</v>
      </c>
      <c r="J133" s="1">
        <f t="shared" si="4"/>
        <v>0</v>
      </c>
      <c r="L133" s="29">
        <v>2019</v>
      </c>
      <c r="M133" s="29" t="s">
        <v>34</v>
      </c>
      <c r="N133" s="39">
        <v>115.3</v>
      </c>
      <c r="O133" s="40">
        <v>114.86666666666667</v>
      </c>
    </row>
    <row r="134" spans="2:15" x14ac:dyDescent="0.25">
      <c r="B134" s="5"/>
      <c r="C134" s="4" t="s">
        <v>2</v>
      </c>
      <c r="D134" s="34">
        <v>104.7</v>
      </c>
      <c r="E134" s="14"/>
      <c r="F134" s="6"/>
      <c r="G134" s="15"/>
      <c r="H134" s="101">
        <f t="shared" si="3"/>
        <v>104.7</v>
      </c>
      <c r="I134" s="33">
        <v>104.7</v>
      </c>
      <c r="J134" s="1">
        <f t="shared" si="4"/>
        <v>0</v>
      </c>
      <c r="L134" s="29">
        <v>2019</v>
      </c>
      <c r="M134" s="29" t="s">
        <v>37</v>
      </c>
      <c r="N134" s="39">
        <v>115.3</v>
      </c>
      <c r="O134" s="40">
        <v>115.36666666666667</v>
      </c>
    </row>
    <row r="135" spans="2:15" x14ac:dyDescent="0.25">
      <c r="B135" s="5"/>
      <c r="C135" s="4" t="s">
        <v>3</v>
      </c>
      <c r="D135" s="34">
        <v>105.4</v>
      </c>
      <c r="E135" s="14"/>
      <c r="F135" s="6"/>
      <c r="G135" s="15"/>
      <c r="H135" s="101">
        <f t="shared" si="3"/>
        <v>105.4</v>
      </c>
      <c r="I135" s="33">
        <v>105.4</v>
      </c>
      <c r="J135" s="1">
        <f t="shared" si="4"/>
        <v>0</v>
      </c>
      <c r="L135" s="29">
        <v>2019</v>
      </c>
      <c r="M135" s="29" t="s">
        <v>40</v>
      </c>
      <c r="N135" s="39">
        <v>114.2</v>
      </c>
      <c r="O135" s="40">
        <v>114.56666666666666</v>
      </c>
    </row>
    <row r="136" spans="2:15" x14ac:dyDescent="0.25">
      <c r="B136" s="5">
        <v>2007</v>
      </c>
      <c r="C136" s="4" t="s">
        <v>0</v>
      </c>
      <c r="D136" s="34">
        <v>107</v>
      </c>
      <c r="E136" s="14"/>
      <c r="F136" s="6"/>
      <c r="G136" s="15"/>
      <c r="H136" s="101">
        <f t="shared" si="3"/>
        <v>107</v>
      </c>
      <c r="I136" s="33">
        <v>107</v>
      </c>
      <c r="J136" s="1">
        <f t="shared" si="4"/>
        <v>0</v>
      </c>
      <c r="L136" s="29">
        <v>2020</v>
      </c>
      <c r="M136" s="29" t="s">
        <v>31</v>
      </c>
      <c r="N136" s="39">
        <v>114.6</v>
      </c>
      <c r="O136" s="40">
        <v>114.7</v>
      </c>
    </row>
    <row r="137" spans="2:15" x14ac:dyDescent="0.25">
      <c r="B137" s="5"/>
      <c r="C137" s="4" t="s">
        <v>1</v>
      </c>
      <c r="D137" s="34">
        <v>107.9</v>
      </c>
      <c r="E137" s="14"/>
      <c r="F137" s="6"/>
      <c r="G137" s="15"/>
      <c r="H137" s="101">
        <f t="shared" ref="H137:H197" si="6">IF(D137&gt;0,D137,D$164*E137/100)</f>
        <v>107.9</v>
      </c>
      <c r="I137" s="33">
        <v>107.9</v>
      </c>
      <c r="J137" s="1">
        <f t="shared" ref="J137:J183" si="7">H137-I137</f>
        <v>0</v>
      </c>
      <c r="L137" s="29">
        <v>2020</v>
      </c>
      <c r="M137" s="29" t="s">
        <v>34</v>
      </c>
      <c r="N137" s="39">
        <v>115</v>
      </c>
      <c r="O137" s="40">
        <v>114.86666666666667</v>
      </c>
    </row>
    <row r="138" spans="2:15" x14ac:dyDescent="0.25">
      <c r="B138" s="5"/>
      <c r="C138" s="4" t="s">
        <v>2</v>
      </c>
      <c r="D138" s="34">
        <v>108.8</v>
      </c>
      <c r="E138" s="14"/>
      <c r="F138" s="6"/>
      <c r="G138" s="15"/>
      <c r="H138" s="101">
        <f t="shared" si="6"/>
        <v>108.8</v>
      </c>
      <c r="I138" s="33">
        <v>108.8</v>
      </c>
      <c r="J138" s="1">
        <f t="shared" si="7"/>
        <v>0</v>
      </c>
      <c r="L138" s="29">
        <v>2020</v>
      </c>
      <c r="M138" s="29" t="s">
        <v>37</v>
      </c>
      <c r="N138" s="39">
        <v>115.8</v>
      </c>
      <c r="O138" s="40">
        <v>115.53333333333335</v>
      </c>
    </row>
    <row r="139" spans="2:15" x14ac:dyDescent="0.25">
      <c r="B139" s="5"/>
      <c r="C139" s="4" t="s">
        <v>3</v>
      </c>
      <c r="D139" s="34">
        <v>109.9</v>
      </c>
      <c r="E139" s="14"/>
      <c r="F139" s="6"/>
      <c r="G139" s="15"/>
      <c r="H139" s="101">
        <f t="shared" si="6"/>
        <v>109.9</v>
      </c>
      <c r="I139" s="33">
        <v>109.9</v>
      </c>
      <c r="J139" s="1">
        <f t="shared" si="7"/>
        <v>0</v>
      </c>
      <c r="L139" s="29">
        <v>2020</v>
      </c>
      <c r="M139" s="29" t="s">
        <v>40</v>
      </c>
      <c r="N139" s="39">
        <v>116.2</v>
      </c>
      <c r="O139" s="40">
        <v>116.06666666666666</v>
      </c>
    </row>
    <row r="140" spans="2:15" x14ac:dyDescent="0.25">
      <c r="B140" s="5">
        <v>2008</v>
      </c>
      <c r="C140" s="4" t="s">
        <v>0</v>
      </c>
      <c r="D140" s="34">
        <v>112.2</v>
      </c>
      <c r="E140" s="14"/>
      <c r="F140" s="6"/>
      <c r="G140" s="15"/>
      <c r="H140" s="101">
        <f t="shared" si="6"/>
        <v>112.2</v>
      </c>
      <c r="I140" s="33">
        <v>112.2</v>
      </c>
      <c r="J140" s="1">
        <f t="shared" si="7"/>
        <v>0</v>
      </c>
      <c r="L140" s="29">
        <v>2021</v>
      </c>
      <c r="M140" s="29" t="s">
        <v>31</v>
      </c>
      <c r="N140" s="39">
        <v>118</v>
      </c>
      <c r="O140" s="40">
        <v>117.36666666666667</v>
      </c>
    </row>
    <row r="141" spans="2:15" x14ac:dyDescent="0.25">
      <c r="B141" s="5"/>
      <c r="C141" s="4" t="s">
        <v>1</v>
      </c>
      <c r="D141" s="34">
        <v>113.8</v>
      </c>
      <c r="E141" s="14"/>
      <c r="F141" s="6"/>
      <c r="G141" s="15"/>
      <c r="H141" s="101">
        <f t="shared" si="6"/>
        <v>113.8</v>
      </c>
      <c r="I141" s="33">
        <v>113.8</v>
      </c>
      <c r="J141" s="1">
        <f t="shared" si="7"/>
        <v>0</v>
      </c>
      <c r="L141" s="29">
        <v>2021</v>
      </c>
      <c r="M141" s="29" t="s">
        <v>34</v>
      </c>
      <c r="N141" s="39">
        <v>120.9</v>
      </c>
      <c r="O141" s="40">
        <v>119.83333333333333</v>
      </c>
    </row>
    <row r="142" spans="2:15" x14ac:dyDescent="0.25">
      <c r="B142" s="5"/>
      <c r="C142" s="4" t="s">
        <v>2</v>
      </c>
      <c r="D142" s="34">
        <v>115.7</v>
      </c>
      <c r="E142" s="14"/>
      <c r="F142" s="6"/>
      <c r="G142" s="15"/>
      <c r="H142" s="101">
        <f t="shared" si="6"/>
        <v>115.7</v>
      </c>
      <c r="I142" s="33">
        <v>115.7</v>
      </c>
      <c r="J142" s="1">
        <f t="shared" si="7"/>
        <v>0</v>
      </c>
      <c r="L142" s="29">
        <v>2021</v>
      </c>
      <c r="M142" s="29" t="s">
        <v>37</v>
      </c>
      <c r="N142" s="39">
        <v>124</v>
      </c>
      <c r="O142" s="40">
        <v>123.46666666666665</v>
      </c>
    </row>
    <row r="143" spans="2:15" x14ac:dyDescent="0.25">
      <c r="B143" s="5"/>
      <c r="C143" s="4" t="s">
        <v>3</v>
      </c>
      <c r="D143" s="34">
        <v>116.7</v>
      </c>
      <c r="E143" s="14"/>
      <c r="F143" s="6"/>
      <c r="G143" s="15"/>
      <c r="H143" s="101">
        <f t="shared" si="6"/>
        <v>116.7</v>
      </c>
      <c r="I143" s="33">
        <v>116.7</v>
      </c>
      <c r="J143" s="1">
        <f t="shared" si="7"/>
        <v>0</v>
      </c>
      <c r="L143" s="29">
        <v>2021</v>
      </c>
      <c r="M143" s="29" t="s">
        <v>40</v>
      </c>
      <c r="N143" s="39">
        <v>126.7</v>
      </c>
      <c r="O143" s="40">
        <v>126.5</v>
      </c>
    </row>
    <row r="144" spans="2:15" x14ac:dyDescent="0.25">
      <c r="B144" s="5">
        <v>2009</v>
      </c>
      <c r="C144" s="4" t="s">
        <v>0</v>
      </c>
      <c r="D144" s="34">
        <v>116.9</v>
      </c>
      <c r="E144" s="14"/>
      <c r="F144" s="6"/>
      <c r="G144" s="15"/>
      <c r="H144" s="101">
        <f t="shared" si="6"/>
        <v>116.9</v>
      </c>
      <c r="I144" s="33">
        <v>116.9</v>
      </c>
      <c r="J144" s="1">
        <f t="shared" si="7"/>
        <v>0</v>
      </c>
      <c r="L144" s="29">
        <v>2022</v>
      </c>
      <c r="M144" s="29" t="s">
        <v>31</v>
      </c>
      <c r="N144" s="39">
        <v>130.6</v>
      </c>
      <c r="O144" s="40">
        <v>130.06666666666669</v>
      </c>
    </row>
    <row r="145" spans="2:15" x14ac:dyDescent="0.25">
      <c r="B145" s="5"/>
      <c r="C145" s="4" t="s">
        <v>1</v>
      </c>
      <c r="D145" s="34">
        <v>115.2</v>
      </c>
      <c r="E145" s="14"/>
      <c r="F145" s="6"/>
      <c r="G145" s="15"/>
      <c r="H145" s="101">
        <f t="shared" si="6"/>
        <v>115.2</v>
      </c>
      <c r="I145" s="33">
        <v>115.2</v>
      </c>
      <c r="J145" s="1">
        <f t="shared" si="7"/>
        <v>0</v>
      </c>
      <c r="L145" s="29">
        <v>2022</v>
      </c>
      <c r="M145" s="29" t="s">
        <v>34</v>
      </c>
      <c r="N145" s="39">
        <v>135.69999999999999</v>
      </c>
      <c r="O145" s="40">
        <v>134.49999999999997</v>
      </c>
    </row>
    <row r="146" spans="2:15" x14ac:dyDescent="0.25">
      <c r="B146" s="5"/>
      <c r="C146" s="4" t="s">
        <v>2</v>
      </c>
      <c r="D146" s="34">
        <v>115</v>
      </c>
      <c r="E146" s="14"/>
      <c r="F146" s="6"/>
      <c r="G146" s="15"/>
      <c r="H146" s="101">
        <f t="shared" si="6"/>
        <v>115</v>
      </c>
      <c r="I146" s="33">
        <v>115</v>
      </c>
      <c r="J146" s="1">
        <f t="shared" si="7"/>
        <v>0</v>
      </c>
    </row>
    <row r="147" spans="2:15" x14ac:dyDescent="0.25">
      <c r="B147" s="5"/>
      <c r="C147" s="4" t="s">
        <v>3</v>
      </c>
      <c r="D147" s="34">
        <v>115</v>
      </c>
      <c r="E147" s="14"/>
      <c r="F147" s="6"/>
      <c r="G147" s="15"/>
      <c r="H147" s="101">
        <f t="shared" si="6"/>
        <v>115</v>
      </c>
      <c r="I147" s="33">
        <v>115</v>
      </c>
      <c r="J147" s="1">
        <f t="shared" si="7"/>
        <v>0</v>
      </c>
    </row>
    <row r="148" spans="2:15" x14ac:dyDescent="0.25">
      <c r="B148" s="5">
        <v>2010</v>
      </c>
      <c r="C148" s="4" t="s">
        <v>0</v>
      </c>
      <c r="D148" s="34">
        <v>115.4</v>
      </c>
      <c r="E148" s="14"/>
      <c r="F148" s="6"/>
      <c r="G148" s="15"/>
      <c r="H148" s="101">
        <f t="shared" si="6"/>
        <v>115.4</v>
      </c>
      <c r="I148" s="33">
        <v>115.4</v>
      </c>
      <c r="J148" s="1">
        <f t="shared" si="7"/>
        <v>0</v>
      </c>
    </row>
    <row r="149" spans="2:15" x14ac:dyDescent="0.25">
      <c r="B149" s="5"/>
      <c r="C149" s="4" t="s">
        <v>1</v>
      </c>
      <c r="D149" s="34">
        <v>116</v>
      </c>
      <c r="E149" s="14"/>
      <c r="F149" s="6"/>
      <c r="G149" s="15"/>
      <c r="H149" s="101">
        <f t="shared" si="6"/>
        <v>116</v>
      </c>
      <c r="I149" s="33">
        <v>116</v>
      </c>
      <c r="J149" s="1">
        <f t="shared" si="7"/>
        <v>0</v>
      </c>
    </row>
    <row r="150" spans="2:15" x14ac:dyDescent="0.25">
      <c r="B150" s="5"/>
      <c r="C150" s="4" t="s">
        <v>2</v>
      </c>
      <c r="D150" s="34">
        <v>115.8</v>
      </c>
      <c r="E150" s="14"/>
      <c r="F150" s="6"/>
      <c r="G150" s="15"/>
      <c r="H150" s="101">
        <f t="shared" si="6"/>
        <v>115.8</v>
      </c>
      <c r="I150" s="33">
        <v>115.8</v>
      </c>
      <c r="J150" s="1">
        <f t="shared" si="7"/>
        <v>0</v>
      </c>
    </row>
    <row r="151" spans="2:15" x14ac:dyDescent="0.25">
      <c r="B151" s="5"/>
      <c r="C151" s="4" t="s">
        <v>3</v>
      </c>
      <c r="D151" s="34">
        <v>115.7</v>
      </c>
      <c r="E151" s="14"/>
      <c r="F151" s="6"/>
      <c r="G151" s="15"/>
      <c r="H151" s="101">
        <f t="shared" si="6"/>
        <v>115.7</v>
      </c>
      <c r="I151" s="33">
        <v>115.7</v>
      </c>
      <c r="J151" s="1">
        <f t="shared" si="7"/>
        <v>0</v>
      </c>
    </row>
    <row r="152" spans="2:15" x14ac:dyDescent="0.25">
      <c r="B152" s="5">
        <v>2011</v>
      </c>
      <c r="C152" s="4" t="s">
        <v>0</v>
      </c>
      <c r="D152" s="34">
        <v>116.1</v>
      </c>
      <c r="E152" s="14"/>
      <c r="F152" s="6"/>
      <c r="G152" s="15"/>
      <c r="H152" s="101">
        <f t="shared" si="6"/>
        <v>116.1</v>
      </c>
      <c r="I152" s="33">
        <v>116.1</v>
      </c>
      <c r="J152" s="1">
        <f t="shared" si="7"/>
        <v>0</v>
      </c>
      <c r="N152" s="39"/>
      <c r="O152" s="40"/>
    </row>
    <row r="153" spans="2:15" x14ac:dyDescent="0.25">
      <c r="B153" s="5"/>
      <c r="C153" s="4" t="s">
        <v>1</v>
      </c>
      <c r="D153" s="34">
        <v>116.6</v>
      </c>
      <c r="E153" s="14"/>
      <c r="F153" s="12"/>
      <c r="G153" s="15"/>
      <c r="H153" s="101">
        <f t="shared" si="6"/>
        <v>116.6</v>
      </c>
      <c r="I153" s="33">
        <v>116.6</v>
      </c>
      <c r="J153" s="1">
        <f t="shared" si="7"/>
        <v>0</v>
      </c>
      <c r="N153" s="39"/>
      <c r="O153" s="40"/>
    </row>
    <row r="154" spans="2:15" x14ac:dyDescent="0.25">
      <c r="B154" s="5"/>
      <c r="C154" s="4" t="s">
        <v>2</v>
      </c>
      <c r="D154" s="34">
        <v>117.6</v>
      </c>
      <c r="E154" s="14"/>
      <c r="F154" s="12"/>
      <c r="G154" s="15"/>
      <c r="H154" s="101">
        <f t="shared" si="6"/>
        <v>117.6</v>
      </c>
      <c r="I154" s="33">
        <v>117.6</v>
      </c>
      <c r="J154" s="1">
        <f t="shared" si="7"/>
        <v>0</v>
      </c>
    </row>
    <row r="155" spans="2:15" x14ac:dyDescent="0.25">
      <c r="B155" s="5"/>
      <c r="C155" s="4" t="s">
        <v>3</v>
      </c>
      <c r="D155" s="34">
        <v>118.7</v>
      </c>
      <c r="E155" s="14"/>
      <c r="F155" s="12"/>
      <c r="G155" s="15"/>
      <c r="H155" s="101">
        <f t="shared" si="6"/>
        <v>118.7</v>
      </c>
      <c r="I155" s="33">
        <v>118.7</v>
      </c>
      <c r="J155" s="1">
        <f t="shared" si="7"/>
        <v>0</v>
      </c>
    </row>
    <row r="156" spans="2:15" x14ac:dyDescent="0.25">
      <c r="B156" s="5">
        <v>2012</v>
      </c>
      <c r="C156" s="4" t="s">
        <v>0</v>
      </c>
      <c r="D156" s="34">
        <v>119.7</v>
      </c>
      <c r="E156" s="14"/>
      <c r="F156" s="12"/>
      <c r="G156" s="15"/>
      <c r="H156" s="101">
        <f t="shared" si="6"/>
        <v>119.7</v>
      </c>
      <c r="I156" s="33">
        <v>119.7</v>
      </c>
      <c r="J156" s="1">
        <f t="shared" si="7"/>
        <v>0</v>
      </c>
    </row>
    <row r="157" spans="2:15" x14ac:dyDescent="0.25">
      <c r="B157" s="5"/>
      <c r="C157" s="4" t="s">
        <v>1</v>
      </c>
      <c r="D157" s="34">
        <v>119.7</v>
      </c>
      <c r="E157" s="14"/>
      <c r="F157" s="12"/>
      <c r="G157" s="15"/>
      <c r="H157" s="101">
        <f t="shared" si="6"/>
        <v>119.7</v>
      </c>
      <c r="I157" s="33">
        <v>119.7</v>
      </c>
      <c r="J157" s="1">
        <f t="shared" si="7"/>
        <v>0</v>
      </c>
    </row>
    <row r="158" spans="2:15" x14ac:dyDescent="0.25">
      <c r="B158" s="5"/>
      <c r="C158" s="4" t="s">
        <v>2</v>
      </c>
      <c r="D158" s="34">
        <v>120.3</v>
      </c>
      <c r="E158" s="14"/>
      <c r="F158" s="12"/>
      <c r="G158" s="15"/>
      <c r="H158" s="101">
        <f t="shared" si="6"/>
        <v>120.3</v>
      </c>
      <c r="I158" s="33">
        <v>120.3</v>
      </c>
      <c r="J158" s="1">
        <f t="shared" si="7"/>
        <v>0</v>
      </c>
    </row>
    <row r="159" spans="2:15" x14ac:dyDescent="0.25">
      <c r="B159" s="5"/>
      <c r="C159" s="4" t="s">
        <v>3</v>
      </c>
      <c r="D159" s="34">
        <v>120.8</v>
      </c>
      <c r="E159" s="14"/>
      <c r="F159" s="12"/>
      <c r="G159" s="15"/>
      <c r="H159" s="101">
        <f t="shared" si="6"/>
        <v>120.8</v>
      </c>
      <c r="I159" s="33">
        <v>120.8</v>
      </c>
      <c r="J159" s="1">
        <f t="shared" si="7"/>
        <v>0</v>
      </c>
    </row>
    <row r="160" spans="2:15" x14ac:dyDescent="0.25">
      <c r="B160" s="5">
        <v>2013</v>
      </c>
      <c r="C160" s="4" t="s">
        <v>0</v>
      </c>
      <c r="D160" s="36">
        <v>121.18055555555556</v>
      </c>
      <c r="E160" s="14"/>
      <c r="F160" s="12"/>
      <c r="G160" s="15"/>
      <c r="H160" s="101">
        <f t="shared" si="6"/>
        <v>121.18055555555556</v>
      </c>
      <c r="I160" s="33">
        <v>121.18055555555556</v>
      </c>
      <c r="J160" s="1">
        <f t="shared" si="7"/>
        <v>0</v>
      </c>
    </row>
    <row r="161" spans="2:10" x14ac:dyDescent="0.25">
      <c r="B161" s="5"/>
      <c r="C161" s="4" t="s">
        <v>1</v>
      </c>
      <c r="D161" s="36">
        <v>121.87499999999997</v>
      </c>
      <c r="E161" s="14"/>
      <c r="F161" s="12"/>
      <c r="G161" s="15"/>
      <c r="H161" s="101">
        <f t="shared" si="6"/>
        <v>121.87499999999997</v>
      </c>
      <c r="I161" s="33">
        <v>121.87499999999997</v>
      </c>
      <c r="J161" s="1">
        <f t="shared" si="7"/>
        <v>0</v>
      </c>
    </row>
    <row r="162" spans="2:10" x14ac:dyDescent="0.25">
      <c r="B162" s="5"/>
      <c r="C162" s="4" t="s">
        <v>2</v>
      </c>
      <c r="D162" s="36">
        <v>123.26388888888889</v>
      </c>
      <c r="E162" s="14"/>
      <c r="F162" s="12"/>
      <c r="G162" s="15"/>
      <c r="H162" s="101">
        <f t="shared" si="6"/>
        <v>123.26388888888889</v>
      </c>
      <c r="I162" s="33">
        <v>123.26388888888889</v>
      </c>
      <c r="J162" s="1">
        <f t="shared" si="7"/>
        <v>0</v>
      </c>
    </row>
    <row r="163" spans="2:10" x14ac:dyDescent="0.25">
      <c r="B163" s="5"/>
      <c r="C163" s="4" t="s">
        <v>3</v>
      </c>
      <c r="D163" s="37">
        <v>125.5787037037037</v>
      </c>
      <c r="E163" s="14"/>
      <c r="F163" s="12"/>
      <c r="G163" s="15"/>
      <c r="H163" s="101">
        <f t="shared" si="6"/>
        <v>125.5787037037037</v>
      </c>
      <c r="I163" s="33">
        <v>125.5787037037037</v>
      </c>
      <c r="J163" s="1">
        <f t="shared" si="7"/>
        <v>0</v>
      </c>
    </row>
    <row r="164" spans="2:10" x14ac:dyDescent="0.25">
      <c r="B164" s="5">
        <v>2014</v>
      </c>
      <c r="C164" s="4" t="s">
        <v>0</v>
      </c>
      <c r="D164" s="37">
        <v>128.19999999999999</v>
      </c>
      <c r="E164" s="43">
        <v>99.966666666666654</v>
      </c>
      <c r="F164" s="12"/>
      <c r="G164" s="15"/>
      <c r="H164" s="101">
        <f t="shared" si="6"/>
        <v>128.19999999999999</v>
      </c>
      <c r="I164" s="33">
        <v>128.19999999999999</v>
      </c>
      <c r="J164" s="1">
        <f t="shared" si="7"/>
        <v>0</v>
      </c>
    </row>
    <row r="165" spans="2:10" x14ac:dyDescent="0.25">
      <c r="B165" s="7"/>
      <c r="C165" s="4" t="s">
        <v>1</v>
      </c>
      <c r="D165" s="37"/>
      <c r="E165" s="43">
        <v>98.8</v>
      </c>
      <c r="F165" s="12"/>
      <c r="G165" s="15"/>
      <c r="H165" s="101">
        <f t="shared" si="6"/>
        <v>126.66159999999998</v>
      </c>
      <c r="I165" s="33">
        <v>126.87172459893048</v>
      </c>
      <c r="J165" s="1">
        <f t="shared" si="7"/>
        <v>-0.21012459893050561</v>
      </c>
    </row>
    <row r="166" spans="2:10" ht="15.75" x14ac:dyDescent="0.25">
      <c r="B166" s="8"/>
      <c r="C166" s="38" t="s">
        <v>2</v>
      </c>
      <c r="D166" s="27"/>
      <c r="E166" s="43">
        <v>99.09999999999998</v>
      </c>
      <c r="F166" s="12"/>
      <c r="G166" s="15"/>
      <c r="H166" s="101">
        <f t="shared" si="6"/>
        <v>127.04619999999997</v>
      </c>
      <c r="I166" s="33">
        <v>127.25735294117646</v>
      </c>
      <c r="J166" s="1">
        <f t="shared" si="7"/>
        <v>-0.21115294117649341</v>
      </c>
    </row>
    <row r="167" spans="2:10" ht="15.75" x14ac:dyDescent="0.25">
      <c r="B167" s="8"/>
      <c r="C167" s="8" t="s">
        <v>3</v>
      </c>
      <c r="D167" s="25"/>
      <c r="E167" s="43">
        <v>99.100000000000009</v>
      </c>
      <c r="F167" s="12"/>
      <c r="G167" s="15"/>
      <c r="H167" s="101">
        <f t="shared" si="6"/>
        <v>127.04620000000001</v>
      </c>
      <c r="I167" s="33">
        <v>127.30020053475937</v>
      </c>
      <c r="J167" s="1">
        <f t="shared" si="7"/>
        <v>-0.25400053475935636</v>
      </c>
    </row>
    <row r="168" spans="2:10" ht="15.75" x14ac:dyDescent="0.25">
      <c r="B168" s="8">
        <v>2015</v>
      </c>
      <c r="C168" s="26" t="s">
        <v>0</v>
      </c>
      <c r="D168" s="27"/>
      <c r="E168" s="43">
        <v>99.866666666666674</v>
      </c>
      <c r="F168" s="12"/>
      <c r="G168" s="15"/>
      <c r="H168" s="101">
        <f t="shared" si="6"/>
        <v>128.02906666666667</v>
      </c>
      <c r="I168" s="33">
        <v>128.32854278074865</v>
      </c>
      <c r="J168" s="1">
        <f t="shared" si="7"/>
        <v>-0.29947611408198327</v>
      </c>
    </row>
    <row r="169" spans="2:10" ht="15.75" x14ac:dyDescent="0.25">
      <c r="B169" s="8"/>
      <c r="C169" s="26" t="s">
        <v>1</v>
      </c>
      <c r="D169" s="27"/>
      <c r="E169" s="43">
        <v>100.06666666666666</v>
      </c>
      <c r="F169" s="12"/>
      <c r="G169" s="15"/>
      <c r="H169" s="101">
        <f t="shared" si="6"/>
        <v>128.28546666666665</v>
      </c>
      <c r="I169" s="33">
        <v>128.62847593582887</v>
      </c>
      <c r="J169" s="1">
        <f t="shared" si="7"/>
        <v>-0.34300926916222352</v>
      </c>
    </row>
    <row r="170" spans="2:10" ht="15.75" x14ac:dyDescent="0.25">
      <c r="B170" s="8"/>
      <c r="C170" s="26" t="s">
        <v>2</v>
      </c>
      <c r="D170" s="27"/>
      <c r="E170" s="43">
        <v>99.90000000000002</v>
      </c>
      <c r="F170" s="12"/>
      <c r="G170" s="15"/>
      <c r="H170" s="101">
        <f t="shared" si="6"/>
        <v>128.07180000000002</v>
      </c>
      <c r="I170" s="33">
        <v>128.41423796791446</v>
      </c>
      <c r="J170" s="1">
        <f t="shared" si="7"/>
        <v>-0.34243796791443515</v>
      </c>
    </row>
    <row r="171" spans="2:10" ht="15.75" x14ac:dyDescent="0.25">
      <c r="B171" s="8"/>
      <c r="C171" s="26" t="s">
        <v>3</v>
      </c>
      <c r="D171" s="27"/>
      <c r="E171" s="43">
        <v>100.2</v>
      </c>
      <c r="F171" s="12"/>
      <c r="G171" s="15"/>
      <c r="H171" s="101">
        <f t="shared" si="6"/>
        <v>128.4564</v>
      </c>
      <c r="I171" s="33">
        <v>128.75701871657753</v>
      </c>
      <c r="J171" s="1">
        <f t="shared" si="7"/>
        <v>-0.30061871657753159</v>
      </c>
    </row>
    <row r="172" spans="2:10" ht="15.75" x14ac:dyDescent="0.25">
      <c r="B172" s="8">
        <v>2016</v>
      </c>
      <c r="C172" s="26" t="s">
        <v>0</v>
      </c>
      <c r="D172" s="27"/>
      <c r="E172" s="43">
        <v>101.73333333333333</v>
      </c>
      <c r="F172" s="12"/>
      <c r="G172" s="15"/>
      <c r="H172" s="101">
        <f t="shared" si="6"/>
        <v>130.42213333333333</v>
      </c>
      <c r="I172" s="33">
        <v>130.59946524064171</v>
      </c>
      <c r="J172" s="1">
        <f t="shared" si="7"/>
        <v>-0.17733190730837123</v>
      </c>
    </row>
    <row r="173" spans="2:10" ht="15.75" x14ac:dyDescent="0.25">
      <c r="B173" s="8"/>
      <c r="C173" s="26" t="s">
        <v>1</v>
      </c>
      <c r="D173" s="27"/>
      <c r="E173" s="43">
        <v>102.40000000000002</v>
      </c>
      <c r="F173" s="12"/>
      <c r="G173" s="15"/>
      <c r="H173" s="101">
        <f t="shared" si="6"/>
        <v>131.27680000000001</v>
      </c>
      <c r="I173" s="33">
        <v>131.37072192513367</v>
      </c>
      <c r="J173" s="1">
        <f t="shared" si="7"/>
        <v>-9.3921925133656714E-2</v>
      </c>
    </row>
    <row r="174" spans="2:10" ht="15.75" x14ac:dyDescent="0.25">
      <c r="B174" s="8"/>
      <c r="C174" s="26" t="s">
        <v>2</v>
      </c>
      <c r="D174" s="27"/>
      <c r="E174" s="43">
        <v>103.3</v>
      </c>
      <c r="F174" s="12"/>
      <c r="G174" s="15"/>
      <c r="H174" s="101">
        <f t="shared" si="6"/>
        <v>132.43059999999997</v>
      </c>
      <c r="I174" s="33">
        <v>132.3562165775401</v>
      </c>
      <c r="J174" s="1">
        <f t="shared" si="7"/>
        <v>7.4383422459874282E-2</v>
      </c>
    </row>
    <row r="175" spans="2:10" ht="15.75" x14ac:dyDescent="0.25">
      <c r="B175" s="8"/>
      <c r="C175" s="26" t="s">
        <v>3</v>
      </c>
      <c r="D175" s="27"/>
      <c r="E175" s="43">
        <v>104.56666666666666</v>
      </c>
      <c r="F175" s="12"/>
      <c r="G175" s="15"/>
      <c r="H175" s="101">
        <f t="shared" si="6"/>
        <v>134.05446666666666</v>
      </c>
      <c r="I175" s="33">
        <v>133.77018716577538</v>
      </c>
      <c r="J175" s="1">
        <f t="shared" si="7"/>
        <v>0.28427950089127307</v>
      </c>
    </row>
    <row r="176" spans="2:10" ht="15.75" x14ac:dyDescent="0.25">
      <c r="B176" s="8">
        <v>2017</v>
      </c>
      <c r="C176" s="26" t="s">
        <v>0</v>
      </c>
      <c r="D176" s="27"/>
      <c r="E176" s="43">
        <v>105.83333333333333</v>
      </c>
      <c r="F176" s="12"/>
      <c r="G176" s="10"/>
      <c r="H176" s="101">
        <f t="shared" si="6"/>
        <v>135.67833333333331</v>
      </c>
      <c r="I176" s="33">
        <v>135.22700534759358</v>
      </c>
      <c r="J176" s="1">
        <f t="shared" si="7"/>
        <v>0.45132798573973787</v>
      </c>
    </row>
    <row r="177" spans="2:10" ht="15.75" x14ac:dyDescent="0.25">
      <c r="B177" s="8"/>
      <c r="C177" s="26" t="s">
        <v>1</v>
      </c>
      <c r="D177" s="27"/>
      <c r="E177" s="43">
        <v>106.33333333333333</v>
      </c>
      <c r="F177" s="12"/>
      <c r="G177" s="10"/>
      <c r="H177" s="101">
        <f t="shared" si="6"/>
        <v>136.3193333333333</v>
      </c>
      <c r="I177" s="33">
        <v>135.65548128342246</v>
      </c>
      <c r="J177" s="1">
        <f t="shared" si="7"/>
        <v>0.66385204991084379</v>
      </c>
    </row>
    <row r="178" spans="2:10" ht="15.75" x14ac:dyDescent="0.25">
      <c r="B178" s="8"/>
      <c r="C178" s="26" t="s">
        <v>2</v>
      </c>
      <c r="D178" s="27"/>
      <c r="E178" s="43">
        <v>107.83333333333333</v>
      </c>
      <c r="F178" s="12"/>
      <c r="G178" s="10"/>
      <c r="H178" s="101">
        <f t="shared" si="6"/>
        <v>138.24233333333331</v>
      </c>
      <c r="I178" s="33">
        <v>137.66931818181814</v>
      </c>
      <c r="J178" s="1">
        <f t="shared" si="7"/>
        <v>0.57301515151516469</v>
      </c>
    </row>
    <row r="179" spans="2:10" ht="15.75" x14ac:dyDescent="0.25">
      <c r="B179" s="8"/>
      <c r="C179" s="26" t="s">
        <v>3</v>
      </c>
      <c r="D179" s="27"/>
      <c r="E179" s="43">
        <v>108.76666666666667</v>
      </c>
      <c r="F179" s="12"/>
      <c r="G179" s="10"/>
      <c r="H179" s="101">
        <f t="shared" si="6"/>
        <v>139.43886666666666</v>
      </c>
      <c r="I179" s="33">
        <v>138.99759358288767</v>
      </c>
      <c r="J179" s="1">
        <f t="shared" si="7"/>
        <v>0.44127308377898089</v>
      </c>
    </row>
    <row r="180" spans="2:10" ht="15.75" x14ac:dyDescent="0.25">
      <c r="B180" s="8">
        <v>2018</v>
      </c>
      <c r="C180" s="26" t="s">
        <v>0</v>
      </c>
      <c r="D180" s="27"/>
      <c r="E180" s="43">
        <v>110.16666666666667</v>
      </c>
      <c r="F180" s="12"/>
      <c r="G180" s="10"/>
      <c r="H180" s="101">
        <f t="shared" si="6"/>
        <v>141.23366666666666</v>
      </c>
      <c r="I180" s="33">
        <v>140.92573529411763</v>
      </c>
      <c r="J180" s="1">
        <f t="shared" si="7"/>
        <v>0.30793137254903513</v>
      </c>
    </row>
    <row r="181" spans="2:10" ht="15.75" x14ac:dyDescent="0.25">
      <c r="B181" s="8"/>
      <c r="C181" s="26" t="s">
        <v>1</v>
      </c>
      <c r="D181" s="27"/>
      <c r="E181" s="43">
        <v>111.23333333333335</v>
      </c>
      <c r="F181" s="12"/>
      <c r="G181" s="10"/>
      <c r="H181" s="101">
        <f t="shared" si="6"/>
        <v>142.60113333333334</v>
      </c>
      <c r="I181" s="33">
        <v>142.38255347593582</v>
      </c>
      <c r="J181" s="1">
        <f t="shared" si="7"/>
        <v>0.21857985739751484</v>
      </c>
    </row>
    <row r="182" spans="2:10" ht="15.75" x14ac:dyDescent="0.25">
      <c r="B182" s="8"/>
      <c r="C182" s="26" t="s">
        <v>2</v>
      </c>
      <c r="D182" s="27"/>
      <c r="E182" s="43">
        <v>111.26666666666667</v>
      </c>
      <c r="F182" s="12"/>
      <c r="G182" s="10"/>
      <c r="H182" s="101">
        <f t="shared" si="6"/>
        <v>142.64386666666667</v>
      </c>
      <c r="I182" s="33">
        <v>142.4682486631016</v>
      </c>
      <c r="J182" s="1">
        <f t="shared" si="7"/>
        <v>0.17561800356506296</v>
      </c>
    </row>
    <row r="183" spans="2:10" ht="15.75" x14ac:dyDescent="0.25">
      <c r="B183" s="8"/>
      <c r="C183" s="26" t="s">
        <v>3</v>
      </c>
      <c r="D183" s="27"/>
      <c r="E183" s="43">
        <v>112.13333333333333</v>
      </c>
      <c r="F183" s="12"/>
      <c r="G183" s="10"/>
      <c r="H183" s="101">
        <f t="shared" si="6"/>
        <v>143.75493333333333</v>
      </c>
      <c r="I183" s="33">
        <v>143.49659090909088</v>
      </c>
      <c r="J183" s="1">
        <f t="shared" si="7"/>
        <v>0.2583424242424428</v>
      </c>
    </row>
    <row r="184" spans="2:10" ht="15.75" x14ac:dyDescent="0.25">
      <c r="B184">
        <v>2019</v>
      </c>
      <c r="C184" s="8" t="s">
        <v>0</v>
      </c>
      <c r="D184" s="27"/>
      <c r="E184" s="43">
        <v>113.26666666666665</v>
      </c>
      <c r="F184" s="12"/>
      <c r="G184" s="11"/>
      <c r="H184" s="101">
        <f t="shared" si="6"/>
        <v>145.20786666666663</v>
      </c>
    </row>
    <row r="185" spans="2:10" ht="15.75" x14ac:dyDescent="0.25">
      <c r="C185" s="8" t="s">
        <v>1</v>
      </c>
      <c r="D185" s="25"/>
      <c r="E185" s="43">
        <v>114.86666666666667</v>
      </c>
      <c r="F185" s="12"/>
      <c r="G185" s="11"/>
      <c r="H185" s="101">
        <f t="shared" si="6"/>
        <v>147.25906666666666</v>
      </c>
    </row>
    <row r="186" spans="2:10" ht="15.75" x14ac:dyDescent="0.25">
      <c r="C186" s="8" t="s">
        <v>2</v>
      </c>
      <c r="D186" s="25"/>
      <c r="E186" s="43">
        <v>115.36666666666667</v>
      </c>
      <c r="F186" s="12"/>
      <c r="G186" s="11"/>
      <c r="H186" s="101">
        <f t="shared" si="6"/>
        <v>147.90006666666667</v>
      </c>
    </row>
    <row r="187" spans="2:10" ht="15.75" x14ac:dyDescent="0.25">
      <c r="C187" s="8" t="s">
        <v>3</v>
      </c>
      <c r="D187" s="25"/>
      <c r="E187" s="43">
        <v>114.56666666666666</v>
      </c>
      <c r="F187" s="12"/>
      <c r="G187" s="11"/>
      <c r="H187" s="101">
        <f t="shared" si="6"/>
        <v>146.87446666666665</v>
      </c>
    </row>
    <row r="188" spans="2:10" ht="15.75" x14ac:dyDescent="0.25">
      <c r="B188">
        <v>2020</v>
      </c>
      <c r="C188" s="8" t="s">
        <v>0</v>
      </c>
      <c r="D188" s="25"/>
      <c r="E188" s="43">
        <v>114.7</v>
      </c>
      <c r="F188" s="12"/>
      <c r="G188" s="11"/>
      <c r="H188" s="101">
        <f t="shared" si="6"/>
        <v>147.0454</v>
      </c>
    </row>
    <row r="189" spans="2:10" ht="15.75" x14ac:dyDescent="0.25">
      <c r="C189" s="8" t="s">
        <v>1</v>
      </c>
      <c r="D189" s="25"/>
      <c r="E189" s="43">
        <v>114.86666666666667</v>
      </c>
      <c r="F189" s="12"/>
      <c r="G189" s="11"/>
      <c r="H189" s="101">
        <f t="shared" si="6"/>
        <v>147.25906666666666</v>
      </c>
    </row>
    <row r="190" spans="2:10" ht="15.75" x14ac:dyDescent="0.25">
      <c r="C190" s="8" t="s">
        <v>2</v>
      </c>
      <c r="D190" s="25"/>
      <c r="E190" s="43">
        <v>115.53333333333335</v>
      </c>
      <c r="F190" s="12"/>
      <c r="G190" s="11"/>
      <c r="H190" s="101">
        <f t="shared" si="6"/>
        <v>148.11373333333333</v>
      </c>
    </row>
    <row r="191" spans="2:10" ht="15.75" x14ac:dyDescent="0.25">
      <c r="C191" s="8" t="s">
        <v>3</v>
      </c>
      <c r="D191" s="25"/>
      <c r="E191" s="43">
        <v>116.06666666666666</v>
      </c>
      <c r="F191" s="12"/>
      <c r="G191" s="11"/>
      <c r="H191" s="101">
        <f t="shared" si="6"/>
        <v>148.79746666666665</v>
      </c>
    </row>
    <row r="192" spans="2:10" ht="15.75" x14ac:dyDescent="0.25">
      <c r="B192">
        <v>2021</v>
      </c>
      <c r="C192" s="8" t="s">
        <v>0</v>
      </c>
      <c r="D192" s="25"/>
      <c r="E192" s="43">
        <v>117.36666666666667</v>
      </c>
      <c r="F192" s="12"/>
      <c r="G192" s="11"/>
      <c r="H192" s="101">
        <f t="shared" si="6"/>
        <v>150.46406666666667</v>
      </c>
    </row>
    <row r="193" spans="2:8" ht="15.75" x14ac:dyDescent="0.25">
      <c r="C193" s="8" t="s">
        <v>1</v>
      </c>
      <c r="D193" s="25"/>
      <c r="E193" s="43">
        <v>119.83333333333333</v>
      </c>
      <c r="F193" s="12"/>
      <c r="G193" s="11"/>
      <c r="H193" s="101">
        <f t="shared" si="6"/>
        <v>153.62633333333332</v>
      </c>
    </row>
    <row r="194" spans="2:8" ht="15.75" x14ac:dyDescent="0.25">
      <c r="C194" s="8" t="s">
        <v>2</v>
      </c>
      <c r="D194" s="25"/>
      <c r="E194" s="43">
        <v>123.46666666666665</v>
      </c>
      <c r="F194" s="12"/>
      <c r="G194" s="11"/>
      <c r="H194" s="101">
        <f t="shared" si="6"/>
        <v>158.28426666666664</v>
      </c>
    </row>
    <row r="195" spans="2:8" ht="15.75" x14ac:dyDescent="0.25">
      <c r="C195" s="8" t="s">
        <v>3</v>
      </c>
      <c r="D195" s="25"/>
      <c r="E195" s="43">
        <v>126.5</v>
      </c>
      <c r="F195" s="12"/>
      <c r="G195" s="11"/>
      <c r="H195" s="101">
        <f t="shared" si="6"/>
        <v>162.173</v>
      </c>
    </row>
    <row r="196" spans="2:8" ht="15.75" x14ac:dyDescent="0.25">
      <c r="B196">
        <v>2022</v>
      </c>
      <c r="C196" s="8" t="s">
        <v>0</v>
      </c>
      <c r="D196" s="25"/>
      <c r="E196" s="43">
        <v>130.06666666666669</v>
      </c>
      <c r="F196" s="12"/>
      <c r="G196" s="11"/>
      <c r="H196" s="101">
        <f t="shared" si="6"/>
        <v>166.74546666666669</v>
      </c>
    </row>
    <row r="197" spans="2:8" ht="15.75" x14ac:dyDescent="0.25">
      <c r="C197" s="8" t="s">
        <v>1</v>
      </c>
      <c r="D197" s="25"/>
      <c r="E197" s="43">
        <v>134.49999999999997</v>
      </c>
      <c r="F197" s="12"/>
      <c r="G197" s="11"/>
      <c r="H197" s="101">
        <f t="shared" si="6"/>
        <v>172.42899999999995</v>
      </c>
    </row>
  </sheetData>
  <autoFilter ref="L7:O115" xr:uid="{155CCDB2-33A3-4F81-8140-52117272781D}"/>
  <hyperlinks>
    <hyperlink ref="D6" r:id="rId1" display="https://www.gov.uk/government/statistics/bis-quarterly-construction-price-and-cost-indices-july-to-september-2014" xr:uid="{122393C3-8327-4DDC-AA5D-7DE893DED4F2}"/>
    <hyperlink ref="E6" r:id="rId2" display="https://www.ons.gov.uk/businessindustryandtrade/constructionindustry/datasets/interimconstructionoutputpriceindices" xr:uid="{5694760F-D93D-49F8-85E7-02A2BFBDBD3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E47C8-9510-4D4D-B18E-4C0795A500E5}">
  <dimension ref="B3:J197"/>
  <sheetViews>
    <sheetView zoomScale="75" zoomScaleNormal="75" workbookViewId="0">
      <selection sqref="A1:XFD1048576"/>
    </sheetView>
  </sheetViews>
  <sheetFormatPr defaultRowHeight="15" x14ac:dyDescent="0.25"/>
  <cols>
    <col min="1" max="1" width="2.7109375" customWidth="1"/>
    <col min="2" max="2" width="8.7109375" customWidth="1"/>
    <col min="3" max="3" width="4.7109375" customWidth="1"/>
    <col min="4" max="7" width="15.7109375" customWidth="1"/>
    <col min="8" max="8" width="15.7109375" style="95" customWidth="1"/>
    <col min="9" max="10" width="15.7109375" customWidth="1"/>
    <col min="11" max="11" width="2.7109375" customWidth="1"/>
  </cols>
  <sheetData>
    <row r="3" spans="2:10" x14ac:dyDescent="0.25">
      <c r="D3" t="s">
        <v>4</v>
      </c>
      <c r="E3" t="s">
        <v>5</v>
      </c>
      <c r="F3" t="s">
        <v>6</v>
      </c>
      <c r="G3" t="s">
        <v>18</v>
      </c>
      <c r="H3" s="95" t="s">
        <v>7</v>
      </c>
      <c r="I3" t="s">
        <v>8</v>
      </c>
      <c r="J3" t="s">
        <v>9</v>
      </c>
    </row>
    <row r="4" spans="2:10" ht="135" customHeight="1" x14ac:dyDescent="0.25">
      <c r="B4" s="2" t="s">
        <v>17</v>
      </c>
      <c r="C4" s="2"/>
      <c r="D4" s="3" t="s">
        <v>10</v>
      </c>
      <c r="E4" s="44" t="s">
        <v>49</v>
      </c>
      <c r="F4" s="22" t="s">
        <v>26</v>
      </c>
      <c r="G4" s="3"/>
      <c r="H4" s="96" t="s">
        <v>52</v>
      </c>
      <c r="I4" s="2"/>
      <c r="J4" s="2"/>
    </row>
    <row r="5" spans="2:10" ht="45" customHeight="1" x14ac:dyDescent="0.25">
      <c r="B5" s="2" t="s">
        <v>16</v>
      </c>
      <c r="C5" s="2"/>
      <c r="D5" s="3"/>
      <c r="E5" s="3" t="s">
        <v>64</v>
      </c>
      <c r="F5" s="3" t="s">
        <v>65</v>
      </c>
      <c r="G5" s="3"/>
      <c r="H5" s="97"/>
      <c r="I5" s="2"/>
      <c r="J5" s="2"/>
    </row>
    <row r="6" spans="2:10" ht="15.75" customHeight="1" x14ac:dyDescent="0.25">
      <c r="B6" s="2" t="s">
        <v>13</v>
      </c>
      <c r="C6" s="2"/>
      <c r="D6" s="3" t="s">
        <v>14</v>
      </c>
      <c r="E6" s="20" t="s">
        <v>50</v>
      </c>
      <c r="F6" s="23" t="s">
        <v>24</v>
      </c>
      <c r="G6" s="28"/>
      <c r="H6" s="97"/>
      <c r="I6" s="2"/>
      <c r="J6" s="2"/>
    </row>
    <row r="7" spans="2:10" ht="15.75" customHeight="1" x14ac:dyDescent="0.25">
      <c r="B7" s="2" t="s">
        <v>15</v>
      </c>
      <c r="C7" s="2"/>
      <c r="D7" s="3" t="s">
        <v>14</v>
      </c>
      <c r="E7" s="3" t="s">
        <v>51</v>
      </c>
      <c r="F7" s="3" t="s">
        <v>53</v>
      </c>
      <c r="G7" s="3"/>
      <c r="H7" s="99"/>
      <c r="I7" s="2"/>
      <c r="J7" s="2"/>
    </row>
    <row r="8" spans="2:10" x14ac:dyDescent="0.25">
      <c r="B8">
        <v>1975</v>
      </c>
      <c r="C8" s="4" t="s">
        <v>0</v>
      </c>
      <c r="D8" s="46">
        <v>193500</v>
      </c>
      <c r="E8" s="45"/>
      <c r="H8" s="100">
        <f>SUM(D8:G8)</f>
        <v>193500</v>
      </c>
      <c r="I8" s="19">
        <v>193500</v>
      </c>
      <c r="J8" s="48">
        <f>H8-I8</f>
        <v>0</v>
      </c>
    </row>
    <row r="9" spans="2:10" x14ac:dyDescent="0.25">
      <c r="C9" s="4" t="s">
        <v>1</v>
      </c>
      <c r="D9" s="46">
        <v>226500</v>
      </c>
      <c r="E9" s="45"/>
      <c r="H9" s="100">
        <f t="shared" ref="H9:H72" si="0">SUM(D9:G9)</f>
        <v>226500</v>
      </c>
      <c r="I9" s="19">
        <v>226500</v>
      </c>
      <c r="J9" s="48">
        <f t="shared" ref="J9:J72" si="1">H9-I9</f>
        <v>0</v>
      </c>
    </row>
    <row r="10" spans="2:10" x14ac:dyDescent="0.25">
      <c r="C10" s="4" t="s">
        <v>2</v>
      </c>
      <c r="D10" s="46">
        <v>236250</v>
      </c>
      <c r="E10" s="45"/>
      <c r="H10" s="100">
        <f t="shared" si="0"/>
        <v>236250</v>
      </c>
      <c r="I10" s="19">
        <v>236250</v>
      </c>
      <c r="J10" s="48">
        <f t="shared" si="1"/>
        <v>0</v>
      </c>
    </row>
    <row r="11" spans="2:10" x14ac:dyDescent="0.25">
      <c r="C11" s="4" t="s">
        <v>3</v>
      </c>
      <c r="D11" s="46">
        <v>224250</v>
      </c>
      <c r="E11" s="45"/>
      <c r="H11" s="100">
        <f t="shared" si="0"/>
        <v>224250</v>
      </c>
      <c r="I11" s="19">
        <v>224250</v>
      </c>
      <c r="J11" s="48">
        <f t="shared" si="1"/>
        <v>0</v>
      </c>
    </row>
    <row r="12" spans="2:10" x14ac:dyDescent="0.25">
      <c r="B12">
        <v>1976</v>
      </c>
      <c r="C12" s="4" t="s">
        <v>0</v>
      </c>
      <c r="D12" s="46">
        <v>201750</v>
      </c>
      <c r="E12" s="45"/>
      <c r="H12" s="100">
        <f t="shared" si="0"/>
        <v>201750</v>
      </c>
      <c r="I12" s="19">
        <v>201750</v>
      </c>
      <c r="J12" s="48">
        <f t="shared" si="1"/>
        <v>0</v>
      </c>
    </row>
    <row r="13" spans="2:10" x14ac:dyDescent="0.25">
      <c r="C13" s="4" t="s">
        <v>1</v>
      </c>
      <c r="D13" s="46">
        <v>222750</v>
      </c>
      <c r="E13" s="45"/>
      <c r="H13" s="100">
        <f t="shared" si="0"/>
        <v>222750</v>
      </c>
      <c r="I13" s="19">
        <v>222750</v>
      </c>
      <c r="J13" s="48">
        <f t="shared" si="1"/>
        <v>0</v>
      </c>
    </row>
    <row r="14" spans="2:10" x14ac:dyDescent="0.25">
      <c r="C14" s="4" t="s">
        <v>2</v>
      </c>
      <c r="D14" s="46">
        <v>237000</v>
      </c>
      <c r="E14" s="45"/>
      <c r="H14" s="100">
        <f t="shared" si="0"/>
        <v>237000</v>
      </c>
      <c r="I14" s="19">
        <v>237000</v>
      </c>
      <c r="J14" s="48">
        <f t="shared" si="1"/>
        <v>0</v>
      </c>
    </row>
    <row r="15" spans="2:10" x14ac:dyDescent="0.25">
      <c r="C15" s="4" t="s">
        <v>3</v>
      </c>
      <c r="D15" s="46">
        <v>231000</v>
      </c>
      <c r="E15" s="45"/>
      <c r="H15" s="100">
        <f t="shared" si="0"/>
        <v>231000</v>
      </c>
      <c r="I15" s="19">
        <v>231000</v>
      </c>
      <c r="J15" s="48">
        <f t="shared" si="1"/>
        <v>0</v>
      </c>
    </row>
    <row r="16" spans="2:10" x14ac:dyDescent="0.25">
      <c r="B16">
        <v>1977</v>
      </c>
      <c r="C16" s="4" t="s">
        <v>0</v>
      </c>
      <c r="D16" s="46">
        <v>196500</v>
      </c>
      <c r="E16" s="45"/>
      <c r="H16" s="100">
        <f t="shared" si="0"/>
        <v>196500</v>
      </c>
      <c r="I16" s="19">
        <v>196500</v>
      </c>
      <c r="J16" s="48">
        <f t="shared" si="1"/>
        <v>0</v>
      </c>
    </row>
    <row r="17" spans="2:10" x14ac:dyDescent="0.25">
      <c r="C17" s="4" t="s">
        <v>1</v>
      </c>
      <c r="D17" s="46">
        <v>225750</v>
      </c>
      <c r="E17" s="45"/>
      <c r="H17" s="100">
        <f t="shared" si="0"/>
        <v>225750</v>
      </c>
      <c r="I17" s="19">
        <v>225750</v>
      </c>
      <c r="J17" s="48">
        <f t="shared" si="1"/>
        <v>0</v>
      </c>
    </row>
    <row r="18" spans="2:10" x14ac:dyDescent="0.25">
      <c r="C18" s="4" t="s">
        <v>2</v>
      </c>
      <c r="D18" s="46">
        <v>249750</v>
      </c>
      <c r="E18" s="45"/>
      <c r="H18" s="100">
        <f t="shared" si="0"/>
        <v>249750</v>
      </c>
      <c r="I18" s="19">
        <v>249750</v>
      </c>
      <c r="J18" s="48">
        <f t="shared" si="1"/>
        <v>0</v>
      </c>
    </row>
    <row r="19" spans="2:10" x14ac:dyDescent="0.25">
      <c r="C19" s="4" t="s">
        <v>3</v>
      </c>
      <c r="D19" s="46">
        <v>257250</v>
      </c>
      <c r="E19" s="45"/>
      <c r="H19" s="100">
        <f t="shared" si="0"/>
        <v>257250</v>
      </c>
      <c r="I19" s="19">
        <v>257250</v>
      </c>
      <c r="J19" s="48">
        <f t="shared" si="1"/>
        <v>0</v>
      </c>
    </row>
    <row r="20" spans="2:10" x14ac:dyDescent="0.25">
      <c r="B20" s="5">
        <v>1978</v>
      </c>
      <c r="C20" s="4" t="s">
        <v>0</v>
      </c>
      <c r="D20" s="46">
        <v>248250</v>
      </c>
      <c r="E20" s="45"/>
      <c r="F20" s="14"/>
      <c r="G20" s="15"/>
      <c r="H20" s="100">
        <f t="shared" si="0"/>
        <v>248250</v>
      </c>
      <c r="I20" s="19">
        <v>248250</v>
      </c>
      <c r="J20" s="48">
        <f t="shared" si="1"/>
        <v>0</v>
      </c>
    </row>
    <row r="21" spans="2:10" x14ac:dyDescent="0.25">
      <c r="B21" s="5"/>
      <c r="C21" s="4" t="s">
        <v>1</v>
      </c>
      <c r="D21" s="46">
        <v>263250</v>
      </c>
      <c r="E21" s="45"/>
      <c r="F21" s="14"/>
      <c r="G21" s="15"/>
      <c r="H21" s="100">
        <f t="shared" si="0"/>
        <v>263250</v>
      </c>
      <c r="I21" s="19">
        <v>263250</v>
      </c>
      <c r="J21" s="48">
        <f t="shared" si="1"/>
        <v>0</v>
      </c>
    </row>
    <row r="22" spans="2:10" x14ac:dyDescent="0.25">
      <c r="B22" s="5"/>
      <c r="C22" s="4" t="s">
        <v>2</v>
      </c>
      <c r="D22" s="46">
        <v>261750</v>
      </c>
      <c r="E22" s="45"/>
      <c r="F22" s="14"/>
      <c r="G22" s="15"/>
      <c r="H22" s="100">
        <f t="shared" si="0"/>
        <v>261750</v>
      </c>
      <c r="I22" s="19">
        <v>261750</v>
      </c>
      <c r="J22" s="48">
        <f t="shared" si="1"/>
        <v>0</v>
      </c>
    </row>
    <row r="23" spans="2:10" x14ac:dyDescent="0.25">
      <c r="B23" s="5"/>
      <c r="C23" s="4" t="s">
        <v>3</v>
      </c>
      <c r="D23" s="46">
        <v>250500</v>
      </c>
      <c r="E23" s="45"/>
      <c r="F23" s="14"/>
      <c r="G23" s="15"/>
      <c r="H23" s="100">
        <f t="shared" si="0"/>
        <v>250500</v>
      </c>
      <c r="I23" s="19">
        <v>250500</v>
      </c>
      <c r="J23" s="48">
        <f t="shared" si="1"/>
        <v>0</v>
      </c>
    </row>
    <row r="24" spans="2:10" x14ac:dyDescent="0.25">
      <c r="B24" s="5">
        <v>1979</v>
      </c>
      <c r="C24" s="4" t="s">
        <v>0</v>
      </c>
      <c r="D24" s="46">
        <v>229500</v>
      </c>
      <c r="E24" s="45"/>
      <c r="F24" s="14"/>
      <c r="G24" s="15"/>
      <c r="H24" s="100">
        <f t="shared" si="0"/>
        <v>229500</v>
      </c>
      <c r="I24" s="19">
        <v>229500</v>
      </c>
      <c r="J24" s="48">
        <f t="shared" si="1"/>
        <v>0</v>
      </c>
    </row>
    <row r="25" spans="2:10" x14ac:dyDescent="0.25">
      <c r="B25" s="5"/>
      <c r="C25" s="4" t="s">
        <v>1</v>
      </c>
      <c r="D25" s="46">
        <v>235500</v>
      </c>
      <c r="E25" s="45"/>
      <c r="F25" s="14"/>
      <c r="G25" s="15"/>
      <c r="H25" s="100">
        <f t="shared" si="0"/>
        <v>235500</v>
      </c>
      <c r="I25" s="19">
        <v>235500</v>
      </c>
      <c r="J25" s="48">
        <f t="shared" si="1"/>
        <v>0</v>
      </c>
    </row>
    <row r="26" spans="2:10" x14ac:dyDescent="0.25">
      <c r="B26" s="5"/>
      <c r="C26" s="4" t="s">
        <v>2</v>
      </c>
      <c r="D26" s="46">
        <v>258750</v>
      </c>
      <c r="E26" s="45"/>
      <c r="F26" s="14"/>
      <c r="G26" s="15"/>
      <c r="H26" s="100">
        <f t="shared" si="0"/>
        <v>258750</v>
      </c>
      <c r="I26" s="19">
        <v>258750</v>
      </c>
      <c r="J26" s="48">
        <f t="shared" si="1"/>
        <v>0</v>
      </c>
    </row>
    <row r="27" spans="2:10" x14ac:dyDescent="0.25">
      <c r="B27" s="5"/>
      <c r="C27" s="4" t="s">
        <v>3</v>
      </c>
      <c r="D27" s="46">
        <v>255750</v>
      </c>
      <c r="E27" s="45"/>
      <c r="F27" s="14"/>
      <c r="G27" s="15"/>
      <c r="H27" s="100">
        <f t="shared" si="0"/>
        <v>255750</v>
      </c>
      <c r="I27" s="19">
        <v>255750</v>
      </c>
      <c r="J27" s="48">
        <f t="shared" si="1"/>
        <v>0</v>
      </c>
    </row>
    <row r="28" spans="2:10" x14ac:dyDescent="0.25">
      <c r="B28" s="5">
        <v>1980</v>
      </c>
      <c r="C28" s="4" t="s">
        <v>0</v>
      </c>
      <c r="D28" s="46">
        <v>234000</v>
      </c>
      <c r="E28" s="45"/>
      <c r="F28" s="14"/>
      <c r="G28" s="15"/>
      <c r="H28" s="100">
        <f t="shared" si="0"/>
        <v>234000</v>
      </c>
      <c r="I28" s="19">
        <v>234000</v>
      </c>
      <c r="J28" s="48">
        <f t="shared" si="1"/>
        <v>0</v>
      </c>
    </row>
    <row r="29" spans="2:10" x14ac:dyDescent="0.25">
      <c r="B29" s="5"/>
      <c r="C29" s="4" t="s">
        <v>1</v>
      </c>
      <c r="D29" s="46">
        <v>246000</v>
      </c>
      <c r="E29" s="45"/>
      <c r="F29" s="14"/>
      <c r="G29" s="15"/>
      <c r="H29" s="100">
        <f t="shared" si="0"/>
        <v>246000</v>
      </c>
      <c r="I29" s="19">
        <v>246000</v>
      </c>
      <c r="J29" s="48">
        <f t="shared" si="1"/>
        <v>0</v>
      </c>
    </row>
    <row r="30" spans="2:10" x14ac:dyDescent="0.25">
      <c r="B30" s="5"/>
      <c r="C30" s="4" t="s">
        <v>2</v>
      </c>
      <c r="D30" s="46">
        <v>231000</v>
      </c>
      <c r="E30" s="45"/>
      <c r="F30" s="14"/>
      <c r="G30" s="15"/>
      <c r="H30" s="100">
        <f t="shared" si="0"/>
        <v>231000</v>
      </c>
      <c r="I30" s="19">
        <v>231000</v>
      </c>
      <c r="J30" s="48">
        <f t="shared" si="1"/>
        <v>0</v>
      </c>
    </row>
    <row r="31" spans="2:10" x14ac:dyDescent="0.25">
      <c r="B31" s="5"/>
      <c r="C31" s="4" t="s">
        <v>3</v>
      </c>
      <c r="D31" s="46">
        <v>239250</v>
      </c>
      <c r="E31" s="45"/>
      <c r="F31" s="14"/>
      <c r="G31" s="15"/>
      <c r="H31" s="100">
        <f t="shared" si="0"/>
        <v>239250</v>
      </c>
      <c r="I31" s="19">
        <v>239250</v>
      </c>
      <c r="J31" s="48">
        <f t="shared" si="1"/>
        <v>0</v>
      </c>
    </row>
    <row r="32" spans="2:10" x14ac:dyDescent="0.25">
      <c r="B32" s="5">
        <v>1981</v>
      </c>
      <c r="C32" s="4" t="s">
        <v>0</v>
      </c>
      <c r="D32" s="46">
        <v>216000</v>
      </c>
      <c r="E32" s="45"/>
      <c r="F32" s="14"/>
      <c r="G32" s="15"/>
      <c r="H32" s="100">
        <f t="shared" si="0"/>
        <v>216000</v>
      </c>
      <c r="I32" s="19">
        <v>216000</v>
      </c>
      <c r="J32" s="48">
        <f t="shared" si="1"/>
        <v>0</v>
      </c>
    </row>
    <row r="33" spans="2:10" x14ac:dyDescent="0.25">
      <c r="B33" s="5"/>
      <c r="C33" s="4" t="s">
        <v>1</v>
      </c>
      <c r="D33" s="46">
        <v>246000</v>
      </c>
      <c r="E33" s="45"/>
      <c r="F33" s="14"/>
      <c r="G33" s="15"/>
      <c r="H33" s="100">
        <f t="shared" si="0"/>
        <v>246000</v>
      </c>
      <c r="I33" s="19">
        <v>246000</v>
      </c>
      <c r="J33" s="48">
        <f t="shared" si="1"/>
        <v>0</v>
      </c>
    </row>
    <row r="34" spans="2:10" x14ac:dyDescent="0.25">
      <c r="B34" s="5"/>
      <c r="C34" s="4" t="s">
        <v>2</v>
      </c>
      <c r="D34" s="46">
        <v>263250</v>
      </c>
      <c r="E34" s="45"/>
      <c r="F34" s="14"/>
      <c r="G34" s="15"/>
      <c r="H34" s="100">
        <f t="shared" si="0"/>
        <v>263250</v>
      </c>
      <c r="I34" s="19">
        <v>263250</v>
      </c>
      <c r="J34" s="48">
        <f t="shared" si="1"/>
        <v>0</v>
      </c>
    </row>
    <row r="35" spans="2:10" x14ac:dyDescent="0.25">
      <c r="B35" s="5"/>
      <c r="C35" s="4" t="s">
        <v>3</v>
      </c>
      <c r="D35" s="46">
        <v>288000</v>
      </c>
      <c r="E35" s="45"/>
      <c r="F35" s="14"/>
      <c r="G35" s="15"/>
      <c r="H35" s="100">
        <f t="shared" si="0"/>
        <v>288000</v>
      </c>
      <c r="I35" s="19">
        <v>288000</v>
      </c>
      <c r="J35" s="48">
        <f t="shared" si="1"/>
        <v>0</v>
      </c>
    </row>
    <row r="36" spans="2:10" x14ac:dyDescent="0.25">
      <c r="B36" s="5">
        <v>1982</v>
      </c>
      <c r="C36" s="4" t="s">
        <v>0</v>
      </c>
      <c r="D36" s="46">
        <v>240000</v>
      </c>
      <c r="E36" s="45"/>
      <c r="F36" s="14"/>
      <c r="G36" s="15"/>
      <c r="H36" s="100">
        <f t="shared" si="0"/>
        <v>240000</v>
      </c>
      <c r="I36" s="19">
        <v>240000</v>
      </c>
      <c r="J36" s="48">
        <f t="shared" si="1"/>
        <v>0</v>
      </c>
    </row>
    <row r="37" spans="2:10" x14ac:dyDescent="0.25">
      <c r="B37" s="5"/>
      <c r="C37" s="4" t="s">
        <v>1</v>
      </c>
      <c r="D37" s="46">
        <v>276000</v>
      </c>
      <c r="E37" s="45"/>
      <c r="F37" s="14"/>
      <c r="G37" s="15"/>
      <c r="H37" s="100">
        <f t="shared" si="0"/>
        <v>276000</v>
      </c>
      <c r="I37" s="19">
        <v>276000</v>
      </c>
      <c r="J37" s="48">
        <f t="shared" si="1"/>
        <v>0</v>
      </c>
    </row>
    <row r="38" spans="2:10" x14ac:dyDescent="0.25">
      <c r="B38" s="5"/>
      <c r="C38" s="4" t="s">
        <v>2</v>
      </c>
      <c r="D38" s="46">
        <v>318000</v>
      </c>
      <c r="E38" s="45"/>
      <c r="F38" s="14"/>
      <c r="G38" s="15"/>
      <c r="H38" s="100">
        <f t="shared" si="0"/>
        <v>318000</v>
      </c>
      <c r="I38" s="19">
        <v>318000</v>
      </c>
      <c r="J38" s="48">
        <f t="shared" si="1"/>
        <v>0</v>
      </c>
    </row>
    <row r="39" spans="2:10" x14ac:dyDescent="0.25">
      <c r="B39" s="5"/>
      <c r="C39" s="4" t="s">
        <v>3</v>
      </c>
      <c r="D39" s="46">
        <v>321750</v>
      </c>
      <c r="E39" s="45"/>
      <c r="F39" s="14"/>
      <c r="G39" s="15"/>
      <c r="H39" s="100">
        <f t="shared" si="0"/>
        <v>321750</v>
      </c>
      <c r="I39" s="19">
        <v>321750</v>
      </c>
      <c r="J39" s="48">
        <f t="shared" si="1"/>
        <v>0</v>
      </c>
    </row>
    <row r="40" spans="2:10" x14ac:dyDescent="0.25">
      <c r="B40" s="5">
        <v>1983</v>
      </c>
      <c r="C40" s="4" t="s">
        <v>0</v>
      </c>
      <c r="D40" s="46">
        <v>302250</v>
      </c>
      <c r="E40" s="45"/>
      <c r="F40" s="14"/>
      <c r="G40" s="15"/>
      <c r="H40" s="100">
        <f t="shared" si="0"/>
        <v>302250</v>
      </c>
      <c r="I40" s="19">
        <v>302250</v>
      </c>
      <c r="J40" s="48">
        <f t="shared" si="1"/>
        <v>0</v>
      </c>
    </row>
    <row r="41" spans="2:10" x14ac:dyDescent="0.25">
      <c r="B41" s="5"/>
      <c r="C41" s="4" t="s">
        <v>1</v>
      </c>
      <c r="D41" s="46">
        <v>308250</v>
      </c>
      <c r="E41" s="45"/>
      <c r="F41" s="14"/>
      <c r="G41" s="15"/>
      <c r="H41" s="100">
        <f t="shared" si="0"/>
        <v>308250</v>
      </c>
      <c r="I41" s="19">
        <v>308250</v>
      </c>
      <c r="J41" s="48">
        <f t="shared" si="1"/>
        <v>0</v>
      </c>
    </row>
    <row r="42" spans="2:10" x14ac:dyDescent="0.25">
      <c r="B42" s="5"/>
      <c r="C42" s="4" t="s">
        <v>2</v>
      </c>
      <c r="D42" s="46">
        <v>323250</v>
      </c>
      <c r="E42" s="45"/>
      <c r="F42" s="14"/>
      <c r="G42" s="15"/>
      <c r="H42" s="100">
        <f t="shared" si="0"/>
        <v>323250</v>
      </c>
      <c r="I42" s="19">
        <v>323250</v>
      </c>
      <c r="J42" s="48">
        <f t="shared" si="1"/>
        <v>0</v>
      </c>
    </row>
    <row r="43" spans="2:10" x14ac:dyDescent="0.25">
      <c r="B43" s="5"/>
      <c r="C43" s="4" t="s">
        <v>3</v>
      </c>
      <c r="D43" s="46">
        <v>318000</v>
      </c>
      <c r="E43" s="45"/>
      <c r="F43" s="14"/>
      <c r="G43" s="15"/>
      <c r="H43" s="100">
        <f t="shared" si="0"/>
        <v>318000</v>
      </c>
      <c r="I43" s="19">
        <v>318000</v>
      </c>
      <c r="J43" s="48">
        <f t="shared" si="1"/>
        <v>0</v>
      </c>
    </row>
    <row r="44" spans="2:10" x14ac:dyDescent="0.25">
      <c r="B44" s="5">
        <v>1984</v>
      </c>
      <c r="C44" s="4" t="s">
        <v>0</v>
      </c>
      <c r="D44" s="46">
        <v>318000</v>
      </c>
      <c r="E44" s="45"/>
      <c r="F44" s="14"/>
      <c r="G44" s="15"/>
      <c r="H44" s="100">
        <f t="shared" si="0"/>
        <v>318000</v>
      </c>
      <c r="I44" s="19">
        <v>318000</v>
      </c>
      <c r="J44" s="48">
        <f t="shared" si="1"/>
        <v>0</v>
      </c>
    </row>
    <row r="45" spans="2:10" x14ac:dyDescent="0.25">
      <c r="B45" s="5"/>
      <c r="C45" s="4" t="s">
        <v>1</v>
      </c>
      <c r="D45" s="46">
        <v>320250</v>
      </c>
      <c r="E45" s="45"/>
      <c r="F45" s="14"/>
      <c r="G45" s="15"/>
      <c r="H45" s="100">
        <f t="shared" si="0"/>
        <v>320250</v>
      </c>
      <c r="I45" s="19">
        <v>320250</v>
      </c>
      <c r="J45" s="48">
        <f t="shared" si="1"/>
        <v>0</v>
      </c>
    </row>
    <row r="46" spans="2:10" x14ac:dyDescent="0.25">
      <c r="B46" s="5"/>
      <c r="C46" s="4" t="s">
        <v>2</v>
      </c>
      <c r="D46" s="46">
        <v>342000</v>
      </c>
      <c r="E46" s="45"/>
      <c r="F46" s="14"/>
      <c r="G46" s="15"/>
      <c r="H46" s="100">
        <f t="shared" si="0"/>
        <v>342000</v>
      </c>
      <c r="I46" s="19">
        <v>342000</v>
      </c>
      <c r="J46" s="48">
        <f t="shared" si="1"/>
        <v>0</v>
      </c>
    </row>
    <row r="47" spans="2:10" x14ac:dyDescent="0.25">
      <c r="B47" s="5"/>
      <c r="C47" s="4" t="s">
        <v>3</v>
      </c>
      <c r="D47" s="46">
        <v>339000</v>
      </c>
      <c r="E47" s="45"/>
      <c r="F47" s="14"/>
      <c r="G47" s="15"/>
      <c r="H47" s="100">
        <f t="shared" si="0"/>
        <v>339000</v>
      </c>
      <c r="I47" s="19">
        <v>339000</v>
      </c>
      <c r="J47" s="48">
        <f t="shared" si="1"/>
        <v>0</v>
      </c>
    </row>
    <row r="48" spans="2:10" x14ac:dyDescent="0.25">
      <c r="B48" s="5">
        <v>1985</v>
      </c>
      <c r="C48" s="4" t="s">
        <v>0</v>
      </c>
      <c r="D48" s="46">
        <v>303000</v>
      </c>
      <c r="E48" s="45"/>
      <c r="F48" s="14"/>
      <c r="G48" s="15"/>
      <c r="H48" s="100">
        <f t="shared" si="0"/>
        <v>303000</v>
      </c>
      <c r="I48" s="19">
        <v>303000</v>
      </c>
      <c r="J48" s="48">
        <f t="shared" si="1"/>
        <v>0</v>
      </c>
    </row>
    <row r="49" spans="2:10" x14ac:dyDescent="0.25">
      <c r="B49" s="5"/>
      <c r="C49" s="4" t="s">
        <v>1</v>
      </c>
      <c r="D49" s="46">
        <v>325500</v>
      </c>
      <c r="E49" s="45"/>
      <c r="F49" s="14"/>
      <c r="G49" s="15"/>
      <c r="H49" s="100">
        <f t="shared" si="0"/>
        <v>325500</v>
      </c>
      <c r="I49" s="19">
        <v>325500</v>
      </c>
      <c r="J49" s="48">
        <f t="shared" si="1"/>
        <v>0</v>
      </c>
    </row>
    <row r="50" spans="2:10" x14ac:dyDescent="0.25">
      <c r="B50" s="5"/>
      <c r="C50" s="4" t="s">
        <v>2</v>
      </c>
      <c r="D50" s="46">
        <v>346500</v>
      </c>
      <c r="E50" s="45"/>
      <c r="F50" s="14"/>
      <c r="G50" s="15"/>
      <c r="H50" s="100">
        <f t="shared" si="0"/>
        <v>346500</v>
      </c>
      <c r="I50" s="19">
        <v>346500</v>
      </c>
      <c r="J50" s="48">
        <f t="shared" si="1"/>
        <v>0</v>
      </c>
    </row>
    <row r="51" spans="2:10" x14ac:dyDescent="0.25">
      <c r="B51" s="5"/>
      <c r="C51" s="4" t="s">
        <v>3</v>
      </c>
      <c r="D51" s="46">
        <v>331500</v>
      </c>
      <c r="E51" s="45"/>
      <c r="F51" s="14"/>
      <c r="G51" s="15"/>
      <c r="H51" s="100">
        <f t="shared" si="0"/>
        <v>331500</v>
      </c>
      <c r="I51" s="19">
        <v>331500</v>
      </c>
      <c r="J51" s="48">
        <f t="shared" si="1"/>
        <v>0</v>
      </c>
    </row>
    <row r="52" spans="2:10" x14ac:dyDescent="0.25">
      <c r="B52" s="5">
        <v>1986</v>
      </c>
      <c r="C52" s="4" t="s">
        <v>0</v>
      </c>
      <c r="D52" s="46">
        <v>292500</v>
      </c>
      <c r="E52" s="45"/>
      <c r="F52" s="14"/>
      <c r="G52" s="15"/>
      <c r="H52" s="100">
        <f t="shared" si="0"/>
        <v>292500</v>
      </c>
      <c r="I52" s="19">
        <v>292500</v>
      </c>
      <c r="J52" s="48">
        <f t="shared" si="1"/>
        <v>0</v>
      </c>
    </row>
    <row r="53" spans="2:10" x14ac:dyDescent="0.25">
      <c r="B53" s="5"/>
      <c r="C53" s="4" t="s">
        <v>1</v>
      </c>
      <c r="D53" s="46">
        <v>313500</v>
      </c>
      <c r="E53" s="45"/>
      <c r="F53" s="14"/>
      <c r="G53" s="15"/>
      <c r="H53" s="100">
        <f t="shared" si="0"/>
        <v>313500</v>
      </c>
      <c r="I53" s="19">
        <v>313500</v>
      </c>
      <c r="J53" s="48">
        <f t="shared" si="1"/>
        <v>0</v>
      </c>
    </row>
    <row r="54" spans="2:10" x14ac:dyDescent="0.25">
      <c r="B54" s="5"/>
      <c r="C54" s="4" t="s">
        <v>2</v>
      </c>
      <c r="D54" s="46">
        <v>374250</v>
      </c>
      <c r="E54" s="45"/>
      <c r="F54" s="14"/>
      <c r="G54" s="15"/>
      <c r="H54" s="100">
        <f t="shared" si="0"/>
        <v>374250</v>
      </c>
      <c r="I54" s="19">
        <v>374250</v>
      </c>
      <c r="J54" s="48">
        <f t="shared" si="1"/>
        <v>0</v>
      </c>
    </row>
    <row r="55" spans="2:10" x14ac:dyDescent="0.25">
      <c r="B55" s="5"/>
      <c r="C55" s="4" t="s">
        <v>3</v>
      </c>
      <c r="D55" s="46">
        <v>370500</v>
      </c>
      <c r="E55" s="45"/>
      <c r="F55" s="14"/>
      <c r="G55" s="15"/>
      <c r="H55" s="100">
        <f t="shared" si="0"/>
        <v>370500</v>
      </c>
      <c r="I55" s="19">
        <v>370500</v>
      </c>
      <c r="J55" s="48">
        <f t="shared" si="1"/>
        <v>0</v>
      </c>
    </row>
    <row r="56" spans="2:10" x14ac:dyDescent="0.25">
      <c r="B56" s="5">
        <v>1987</v>
      </c>
      <c r="C56" s="4" t="s">
        <v>0</v>
      </c>
      <c r="D56" s="46">
        <v>321750</v>
      </c>
      <c r="E56" s="45"/>
      <c r="F56" s="14"/>
      <c r="G56" s="15"/>
      <c r="H56" s="100">
        <f t="shared" si="0"/>
        <v>321750</v>
      </c>
      <c r="I56" s="19">
        <v>321750</v>
      </c>
      <c r="J56" s="48">
        <f t="shared" si="1"/>
        <v>0</v>
      </c>
    </row>
    <row r="57" spans="2:10" x14ac:dyDescent="0.25">
      <c r="B57" s="5"/>
      <c r="C57" s="4" t="s">
        <v>1</v>
      </c>
      <c r="D57" s="46">
        <v>329250</v>
      </c>
      <c r="E57" s="45"/>
      <c r="F57" s="14"/>
      <c r="G57" s="15"/>
      <c r="H57" s="100">
        <f t="shared" si="0"/>
        <v>329250</v>
      </c>
      <c r="I57" s="19">
        <v>329250</v>
      </c>
      <c r="J57" s="48">
        <f t="shared" si="1"/>
        <v>0</v>
      </c>
    </row>
    <row r="58" spans="2:10" x14ac:dyDescent="0.25">
      <c r="B58" s="5"/>
      <c r="C58" s="4" t="s">
        <v>2</v>
      </c>
      <c r="D58" s="46">
        <v>400500</v>
      </c>
      <c r="E58" s="45"/>
      <c r="F58" s="14"/>
      <c r="G58" s="15"/>
      <c r="H58" s="100">
        <f t="shared" si="0"/>
        <v>400500</v>
      </c>
      <c r="I58" s="19">
        <v>400500</v>
      </c>
      <c r="J58" s="48">
        <f t="shared" si="1"/>
        <v>0</v>
      </c>
    </row>
    <row r="59" spans="2:10" x14ac:dyDescent="0.25">
      <c r="B59" s="5"/>
      <c r="C59" s="4" t="s">
        <v>3</v>
      </c>
      <c r="D59" s="46">
        <v>401250</v>
      </c>
      <c r="E59" s="45"/>
      <c r="F59" s="14"/>
      <c r="G59" s="15"/>
      <c r="H59" s="100">
        <f t="shared" si="0"/>
        <v>401250</v>
      </c>
      <c r="I59" s="19">
        <v>401250</v>
      </c>
      <c r="J59" s="48">
        <f t="shared" si="1"/>
        <v>0</v>
      </c>
    </row>
    <row r="60" spans="2:10" x14ac:dyDescent="0.25">
      <c r="B60" s="5">
        <v>1988</v>
      </c>
      <c r="C60" s="4" t="s">
        <v>0</v>
      </c>
      <c r="D60" s="46">
        <v>365250</v>
      </c>
      <c r="E60" s="45"/>
      <c r="F60" s="14"/>
      <c r="G60" s="15"/>
      <c r="H60" s="100">
        <f t="shared" si="0"/>
        <v>365250</v>
      </c>
      <c r="I60" s="19">
        <v>365250</v>
      </c>
      <c r="J60" s="48">
        <f t="shared" si="1"/>
        <v>0</v>
      </c>
    </row>
    <row r="61" spans="2:10" x14ac:dyDescent="0.25">
      <c r="B61" s="5"/>
      <c r="C61" s="4" t="s">
        <v>1</v>
      </c>
      <c r="D61" s="46">
        <v>388500</v>
      </c>
      <c r="E61" s="45"/>
      <c r="F61" s="14"/>
      <c r="G61" s="15"/>
      <c r="H61" s="100">
        <f t="shared" si="0"/>
        <v>388500</v>
      </c>
      <c r="I61" s="19">
        <v>388500</v>
      </c>
      <c r="J61" s="48">
        <f t="shared" si="1"/>
        <v>0</v>
      </c>
    </row>
    <row r="62" spans="2:10" x14ac:dyDescent="0.25">
      <c r="B62" s="5"/>
      <c r="C62" s="4" t="s">
        <v>2</v>
      </c>
      <c r="D62" s="46">
        <v>462000</v>
      </c>
      <c r="E62" s="45"/>
      <c r="F62" s="14"/>
      <c r="G62" s="15"/>
      <c r="H62" s="100">
        <f t="shared" si="0"/>
        <v>462000</v>
      </c>
      <c r="I62" s="19">
        <v>462000</v>
      </c>
      <c r="J62" s="48">
        <f t="shared" si="1"/>
        <v>0</v>
      </c>
    </row>
    <row r="63" spans="2:10" x14ac:dyDescent="0.25">
      <c r="B63" s="5"/>
      <c r="C63" s="4" t="s">
        <v>3</v>
      </c>
      <c r="D63" s="46">
        <v>395250</v>
      </c>
      <c r="E63" s="45"/>
      <c r="F63" s="14"/>
      <c r="G63" s="15"/>
      <c r="H63" s="100">
        <f t="shared" si="0"/>
        <v>395250</v>
      </c>
      <c r="I63" s="19">
        <v>395250</v>
      </c>
      <c r="J63" s="48">
        <f t="shared" si="1"/>
        <v>0</v>
      </c>
    </row>
    <row r="64" spans="2:10" x14ac:dyDescent="0.25">
      <c r="B64" s="5">
        <v>1989</v>
      </c>
      <c r="C64" s="4" t="s">
        <v>0</v>
      </c>
      <c r="D64" s="46">
        <v>305250</v>
      </c>
      <c r="E64" s="45"/>
      <c r="F64" s="14"/>
      <c r="G64" s="15"/>
      <c r="H64" s="100">
        <f t="shared" si="0"/>
        <v>305250</v>
      </c>
      <c r="I64" s="19">
        <v>305250</v>
      </c>
      <c r="J64" s="48">
        <f t="shared" si="1"/>
        <v>0</v>
      </c>
    </row>
    <row r="65" spans="2:10" x14ac:dyDescent="0.25">
      <c r="B65" s="5"/>
      <c r="C65" s="4" t="s">
        <v>1</v>
      </c>
      <c r="D65" s="46">
        <v>303750</v>
      </c>
      <c r="E65" s="45"/>
      <c r="F65" s="14"/>
      <c r="G65" s="15"/>
      <c r="H65" s="100">
        <f t="shared" si="0"/>
        <v>303750</v>
      </c>
      <c r="I65" s="19">
        <v>303750</v>
      </c>
      <c r="J65" s="48">
        <f t="shared" si="1"/>
        <v>0</v>
      </c>
    </row>
    <row r="66" spans="2:10" x14ac:dyDescent="0.25">
      <c r="B66" s="5"/>
      <c r="C66" s="4" t="s">
        <v>2</v>
      </c>
      <c r="D66" s="46">
        <v>292500</v>
      </c>
      <c r="E66" s="45"/>
      <c r="F66" s="14"/>
      <c r="G66" s="15"/>
      <c r="H66" s="100">
        <f t="shared" si="0"/>
        <v>292500</v>
      </c>
      <c r="I66" s="19">
        <v>292500</v>
      </c>
      <c r="J66" s="48">
        <f t="shared" si="1"/>
        <v>0</v>
      </c>
    </row>
    <row r="67" spans="2:10" x14ac:dyDescent="0.25">
      <c r="B67" s="5"/>
      <c r="C67" s="4" t="s">
        <v>3</v>
      </c>
      <c r="D67" s="46">
        <v>283500</v>
      </c>
      <c r="E67" s="45"/>
      <c r="F67" s="14"/>
      <c r="G67" s="15"/>
      <c r="H67" s="100">
        <f t="shared" si="0"/>
        <v>283500</v>
      </c>
      <c r="I67" s="19">
        <v>283500</v>
      </c>
      <c r="J67" s="48">
        <f t="shared" si="1"/>
        <v>0</v>
      </c>
    </row>
    <row r="68" spans="2:10" x14ac:dyDescent="0.25">
      <c r="B68" s="5">
        <v>1990</v>
      </c>
      <c r="C68" s="4" t="s">
        <v>0</v>
      </c>
      <c r="D68" s="46">
        <v>258000</v>
      </c>
      <c r="E68" s="45"/>
      <c r="F68" s="14"/>
      <c r="G68" s="15"/>
      <c r="H68" s="100">
        <f t="shared" si="0"/>
        <v>258000</v>
      </c>
      <c r="I68" s="19">
        <v>258000</v>
      </c>
      <c r="J68" s="48">
        <f t="shared" si="1"/>
        <v>0</v>
      </c>
    </row>
    <row r="69" spans="2:10" x14ac:dyDescent="0.25">
      <c r="B69" s="5"/>
      <c r="C69" s="4" t="s">
        <v>1</v>
      </c>
      <c r="D69" s="46">
        <v>270000</v>
      </c>
      <c r="E69" s="45"/>
      <c r="F69" s="14"/>
      <c r="G69" s="15"/>
      <c r="H69" s="100">
        <f t="shared" si="0"/>
        <v>270000</v>
      </c>
      <c r="I69" s="19">
        <v>270000</v>
      </c>
      <c r="J69" s="48">
        <f t="shared" si="1"/>
        <v>0</v>
      </c>
    </row>
    <row r="70" spans="2:10" x14ac:dyDescent="0.25">
      <c r="B70" s="5"/>
      <c r="C70" s="4" t="s">
        <v>2</v>
      </c>
      <c r="D70" s="46">
        <v>261750</v>
      </c>
      <c r="E70" s="45"/>
      <c r="F70" s="14"/>
      <c r="G70" s="15"/>
      <c r="H70" s="100">
        <f t="shared" si="0"/>
        <v>261750</v>
      </c>
      <c r="I70" s="19">
        <v>261750</v>
      </c>
      <c r="J70" s="48">
        <f t="shared" si="1"/>
        <v>0</v>
      </c>
    </row>
    <row r="71" spans="2:10" x14ac:dyDescent="0.25">
      <c r="B71" s="5"/>
      <c r="C71" s="4" t="s">
        <v>3</v>
      </c>
      <c r="D71" s="46">
        <v>258750</v>
      </c>
      <c r="E71" s="45"/>
      <c r="F71" s="14"/>
      <c r="G71" s="15"/>
      <c r="H71" s="100">
        <f t="shared" si="0"/>
        <v>258750</v>
      </c>
      <c r="I71" s="19">
        <v>258750</v>
      </c>
      <c r="J71" s="48">
        <f t="shared" si="1"/>
        <v>0</v>
      </c>
    </row>
    <row r="72" spans="2:10" x14ac:dyDescent="0.25">
      <c r="B72" s="5">
        <v>1991</v>
      </c>
      <c r="C72" s="4" t="s">
        <v>0</v>
      </c>
      <c r="D72" s="46">
        <v>235500</v>
      </c>
      <c r="E72" s="45"/>
      <c r="F72" s="14"/>
      <c r="G72" s="15"/>
      <c r="H72" s="100">
        <f t="shared" si="0"/>
        <v>235500</v>
      </c>
      <c r="I72" s="19">
        <v>235500</v>
      </c>
      <c r="J72" s="48">
        <f t="shared" si="1"/>
        <v>0</v>
      </c>
    </row>
    <row r="73" spans="2:10" x14ac:dyDescent="0.25">
      <c r="B73" s="5"/>
      <c r="C73" s="4" t="s">
        <v>1</v>
      </c>
      <c r="D73" s="46">
        <v>243000</v>
      </c>
      <c r="E73" s="45"/>
      <c r="F73" s="14"/>
      <c r="G73" s="15"/>
      <c r="H73" s="100">
        <f t="shared" ref="H73:H136" si="2">SUM(D73:G73)</f>
        <v>243000</v>
      </c>
      <c r="I73" s="19">
        <v>243000</v>
      </c>
      <c r="J73" s="48">
        <f t="shared" ref="J73:J136" si="3">H73-I73</f>
        <v>0</v>
      </c>
    </row>
    <row r="74" spans="2:10" x14ac:dyDescent="0.25">
      <c r="B74" s="5"/>
      <c r="C74" s="4" t="s">
        <v>2</v>
      </c>
      <c r="D74" s="46">
        <v>264750</v>
      </c>
      <c r="E74" s="45"/>
      <c r="F74" s="14"/>
      <c r="G74" s="15"/>
      <c r="H74" s="100">
        <f t="shared" si="2"/>
        <v>264750</v>
      </c>
      <c r="I74" s="19">
        <v>264750</v>
      </c>
      <c r="J74" s="48">
        <f t="shared" si="3"/>
        <v>0</v>
      </c>
    </row>
    <row r="75" spans="2:10" x14ac:dyDescent="0.25">
      <c r="B75" s="5"/>
      <c r="C75" s="4" t="s">
        <v>3</v>
      </c>
      <c r="D75" s="46">
        <v>236250</v>
      </c>
      <c r="E75" s="45"/>
      <c r="F75" s="14"/>
      <c r="G75" s="15"/>
      <c r="H75" s="100">
        <f t="shared" si="2"/>
        <v>236250</v>
      </c>
      <c r="I75" s="19">
        <v>236250</v>
      </c>
      <c r="J75" s="48">
        <f t="shared" si="3"/>
        <v>0</v>
      </c>
    </row>
    <row r="76" spans="2:10" x14ac:dyDescent="0.25">
      <c r="B76" s="5">
        <v>1992</v>
      </c>
      <c r="C76" s="4" t="s">
        <v>0</v>
      </c>
      <c r="D76" s="46">
        <v>177000</v>
      </c>
      <c r="E76" s="45"/>
      <c r="F76" s="14"/>
      <c r="G76" s="15"/>
      <c r="H76" s="100">
        <f t="shared" si="2"/>
        <v>177000</v>
      </c>
      <c r="I76" s="19">
        <v>177000</v>
      </c>
      <c r="J76" s="48">
        <f t="shared" si="3"/>
        <v>0</v>
      </c>
    </row>
    <row r="77" spans="2:10" x14ac:dyDescent="0.25">
      <c r="B77" s="5"/>
      <c r="C77" s="4" t="s">
        <v>1</v>
      </c>
      <c r="D77" s="46">
        <v>198750</v>
      </c>
      <c r="E77" s="45"/>
      <c r="F77" s="14"/>
      <c r="G77" s="15"/>
      <c r="H77" s="100">
        <f t="shared" si="2"/>
        <v>198750</v>
      </c>
      <c r="I77" s="19">
        <v>198750</v>
      </c>
      <c r="J77" s="48">
        <f t="shared" si="3"/>
        <v>0</v>
      </c>
    </row>
    <row r="78" spans="2:10" x14ac:dyDescent="0.25">
      <c r="B78" s="5"/>
      <c r="C78" s="4" t="s">
        <v>2</v>
      </c>
      <c r="D78" s="46">
        <v>275250</v>
      </c>
      <c r="E78" s="45"/>
      <c r="F78" s="14"/>
      <c r="G78" s="15"/>
      <c r="H78" s="100">
        <f t="shared" si="2"/>
        <v>275250</v>
      </c>
      <c r="I78" s="19">
        <v>275250</v>
      </c>
      <c r="J78" s="48">
        <f t="shared" si="3"/>
        <v>0</v>
      </c>
    </row>
    <row r="79" spans="2:10" x14ac:dyDescent="0.25">
      <c r="B79" s="5"/>
      <c r="C79" s="4" t="s">
        <v>3</v>
      </c>
      <c r="D79" s="46">
        <v>201000</v>
      </c>
      <c r="E79" s="45"/>
      <c r="F79" s="14"/>
      <c r="G79" s="15"/>
      <c r="H79" s="100">
        <f t="shared" si="2"/>
        <v>201000</v>
      </c>
      <c r="I79" s="19">
        <v>201000</v>
      </c>
      <c r="J79" s="48">
        <f t="shared" si="3"/>
        <v>0</v>
      </c>
    </row>
    <row r="80" spans="2:10" x14ac:dyDescent="0.25">
      <c r="B80" s="5">
        <v>1993</v>
      </c>
      <c r="C80" s="4" t="s">
        <v>0</v>
      </c>
      <c r="D80" s="46">
        <v>179250</v>
      </c>
      <c r="E80" s="45"/>
      <c r="F80" s="14"/>
      <c r="G80" s="15"/>
      <c r="H80" s="100">
        <f t="shared" si="2"/>
        <v>179250</v>
      </c>
      <c r="I80" s="19">
        <v>179250</v>
      </c>
      <c r="J80" s="48">
        <f t="shared" si="3"/>
        <v>0</v>
      </c>
    </row>
    <row r="81" spans="2:10" x14ac:dyDescent="0.25">
      <c r="B81" s="5"/>
      <c r="C81" s="4" t="s">
        <v>1</v>
      </c>
      <c r="D81" s="46">
        <v>209250</v>
      </c>
      <c r="E81" s="45"/>
      <c r="F81" s="14"/>
      <c r="G81" s="15"/>
      <c r="H81" s="100">
        <f t="shared" si="2"/>
        <v>209250</v>
      </c>
      <c r="I81" s="19">
        <v>209250</v>
      </c>
      <c r="J81" s="48">
        <f t="shared" si="3"/>
        <v>0</v>
      </c>
    </row>
    <row r="82" spans="2:10" x14ac:dyDescent="0.25">
      <c r="B82" s="5"/>
      <c r="C82" s="4" t="s">
        <v>2</v>
      </c>
      <c r="D82" s="46">
        <v>260250</v>
      </c>
      <c r="E82" s="45"/>
      <c r="F82" s="14"/>
      <c r="G82" s="15"/>
      <c r="H82" s="100">
        <f t="shared" si="2"/>
        <v>260250</v>
      </c>
      <c r="I82" s="19">
        <v>260250</v>
      </c>
      <c r="J82" s="48">
        <f t="shared" si="3"/>
        <v>0</v>
      </c>
    </row>
    <row r="83" spans="2:10" x14ac:dyDescent="0.25">
      <c r="B83" s="5"/>
      <c r="C83" s="4" t="s">
        <v>3</v>
      </c>
      <c r="D83" s="46">
        <v>248250</v>
      </c>
      <c r="E83" s="45"/>
      <c r="F83" s="14"/>
      <c r="G83" s="15"/>
      <c r="H83" s="100">
        <f t="shared" si="2"/>
        <v>248250</v>
      </c>
      <c r="I83" s="19">
        <v>248250</v>
      </c>
      <c r="J83" s="48">
        <f t="shared" si="3"/>
        <v>0</v>
      </c>
    </row>
    <row r="84" spans="2:10" x14ac:dyDescent="0.25">
      <c r="B84" s="5">
        <v>1994</v>
      </c>
      <c r="C84" s="4" t="s">
        <v>0</v>
      </c>
      <c r="D84" s="46">
        <v>224250</v>
      </c>
      <c r="E84" s="45"/>
      <c r="F84" s="14"/>
      <c r="G84" s="15"/>
      <c r="H84" s="100">
        <f t="shared" si="2"/>
        <v>224250</v>
      </c>
      <c r="I84" s="19">
        <v>224250</v>
      </c>
      <c r="J84" s="48">
        <f t="shared" si="3"/>
        <v>0</v>
      </c>
    </row>
    <row r="85" spans="2:10" x14ac:dyDescent="0.25">
      <c r="B85" s="5"/>
      <c r="C85" s="4" t="s">
        <v>1</v>
      </c>
      <c r="D85" s="46">
        <v>234000</v>
      </c>
      <c r="E85" s="45"/>
      <c r="F85" s="14"/>
      <c r="G85" s="15"/>
      <c r="H85" s="100">
        <f t="shared" si="2"/>
        <v>234000</v>
      </c>
      <c r="I85" s="19">
        <v>234000</v>
      </c>
      <c r="J85" s="48">
        <f t="shared" si="3"/>
        <v>0</v>
      </c>
    </row>
    <row r="86" spans="2:10" x14ac:dyDescent="0.25">
      <c r="B86" s="5"/>
      <c r="C86" s="4" t="s">
        <v>2</v>
      </c>
      <c r="D86" s="46">
        <v>258750</v>
      </c>
      <c r="E86" s="45"/>
      <c r="F86" s="14"/>
      <c r="G86" s="15"/>
      <c r="H86" s="100">
        <f t="shared" si="2"/>
        <v>258750</v>
      </c>
      <c r="I86" s="19">
        <v>258750</v>
      </c>
      <c r="J86" s="48">
        <f t="shared" si="3"/>
        <v>0</v>
      </c>
    </row>
    <row r="87" spans="2:10" x14ac:dyDescent="0.25">
      <c r="B87" s="5"/>
      <c r="C87" s="4" t="s">
        <v>3</v>
      </c>
      <c r="D87" s="46">
        <v>239250</v>
      </c>
      <c r="E87" s="45"/>
      <c r="F87" s="14"/>
      <c r="G87" s="15"/>
      <c r="H87" s="100">
        <f t="shared" si="2"/>
        <v>239250</v>
      </c>
      <c r="I87" s="19">
        <v>239250</v>
      </c>
      <c r="J87" s="48">
        <f t="shared" si="3"/>
        <v>0</v>
      </c>
    </row>
    <row r="88" spans="2:10" x14ac:dyDescent="0.25">
      <c r="B88" s="5">
        <v>1995</v>
      </c>
      <c r="C88" s="4" t="s">
        <v>0</v>
      </c>
      <c r="D88" s="46">
        <v>213000</v>
      </c>
      <c r="E88" s="14"/>
      <c r="F88" s="14"/>
      <c r="G88" s="15"/>
      <c r="H88" s="100">
        <f t="shared" si="2"/>
        <v>213000</v>
      </c>
      <c r="I88" s="19">
        <v>213000</v>
      </c>
      <c r="J88" s="48">
        <f t="shared" si="3"/>
        <v>0</v>
      </c>
    </row>
    <row r="89" spans="2:10" x14ac:dyDescent="0.25">
      <c r="B89" s="5"/>
      <c r="C89" s="4" t="s">
        <v>1</v>
      </c>
      <c r="D89" s="46">
        <v>210000</v>
      </c>
      <c r="E89" s="14"/>
      <c r="F89" s="14"/>
      <c r="G89" s="15"/>
      <c r="H89" s="100">
        <f t="shared" si="2"/>
        <v>210000</v>
      </c>
      <c r="I89" s="19">
        <v>210000</v>
      </c>
      <c r="J89" s="48">
        <f t="shared" si="3"/>
        <v>0</v>
      </c>
    </row>
    <row r="90" spans="2:10" x14ac:dyDescent="0.25">
      <c r="B90" s="5"/>
      <c r="C90" s="4" t="s">
        <v>2</v>
      </c>
      <c r="D90" s="46">
        <v>223500</v>
      </c>
      <c r="E90" s="14"/>
      <c r="F90" s="14"/>
      <c r="G90" s="15"/>
      <c r="H90" s="100">
        <f t="shared" si="2"/>
        <v>223500</v>
      </c>
      <c r="I90" s="19">
        <v>223500</v>
      </c>
      <c r="J90" s="48">
        <f t="shared" si="3"/>
        <v>0</v>
      </c>
    </row>
    <row r="91" spans="2:10" x14ac:dyDescent="0.25">
      <c r="B91" s="5"/>
      <c r="C91" s="4" t="s">
        <v>3</v>
      </c>
      <c r="D91" s="46">
        <v>204000</v>
      </c>
      <c r="E91" s="14"/>
      <c r="F91" s="14"/>
      <c r="G91" s="15"/>
      <c r="H91" s="100">
        <f t="shared" si="2"/>
        <v>204000</v>
      </c>
      <c r="I91" s="19">
        <v>204000</v>
      </c>
      <c r="J91" s="48">
        <f t="shared" si="3"/>
        <v>0</v>
      </c>
    </row>
    <row r="92" spans="2:10" x14ac:dyDescent="0.25">
      <c r="B92" s="5">
        <v>1996</v>
      </c>
      <c r="C92" s="4" t="s">
        <v>0</v>
      </c>
      <c r="D92" s="46"/>
      <c r="E92" s="46">
        <v>185027</v>
      </c>
      <c r="F92" s="14"/>
      <c r="G92" s="15"/>
      <c r="H92" s="100">
        <f t="shared" si="2"/>
        <v>185027</v>
      </c>
      <c r="I92" s="19">
        <v>185027</v>
      </c>
      <c r="J92" s="48">
        <f t="shared" si="3"/>
        <v>0</v>
      </c>
    </row>
    <row r="93" spans="2:10" x14ac:dyDescent="0.25">
      <c r="B93" s="5"/>
      <c r="C93" s="4" t="s">
        <v>1</v>
      </c>
      <c r="D93" s="46"/>
      <c r="E93" s="46">
        <v>238478</v>
      </c>
      <c r="F93" s="14"/>
      <c r="G93" s="15"/>
      <c r="H93" s="100">
        <f t="shared" si="2"/>
        <v>238478</v>
      </c>
      <c r="I93" s="19">
        <v>238478</v>
      </c>
      <c r="J93" s="48">
        <f t="shared" si="3"/>
        <v>0</v>
      </c>
    </row>
    <row r="94" spans="2:10" x14ac:dyDescent="0.25">
      <c r="B94" s="5"/>
      <c r="C94" s="4" t="s">
        <v>2</v>
      </c>
      <c r="D94" s="46"/>
      <c r="E94" s="46">
        <v>279743</v>
      </c>
      <c r="F94" s="14"/>
      <c r="G94" s="15"/>
      <c r="H94" s="100">
        <f t="shared" si="2"/>
        <v>279743</v>
      </c>
      <c r="I94" s="19">
        <v>279743</v>
      </c>
      <c r="J94" s="48">
        <f t="shared" si="3"/>
        <v>0</v>
      </c>
    </row>
    <row r="95" spans="2:10" x14ac:dyDescent="0.25">
      <c r="B95" s="5"/>
      <c r="C95" s="4" t="s">
        <v>3</v>
      </c>
      <c r="D95" s="46"/>
      <c r="E95" s="46">
        <v>290748</v>
      </c>
      <c r="F95" s="14"/>
      <c r="G95" s="15"/>
      <c r="H95" s="100">
        <f t="shared" si="2"/>
        <v>290748</v>
      </c>
      <c r="I95" s="19">
        <v>290748</v>
      </c>
      <c r="J95" s="48">
        <f t="shared" si="3"/>
        <v>0</v>
      </c>
    </row>
    <row r="96" spans="2:10" x14ac:dyDescent="0.25">
      <c r="B96" s="5">
        <v>1997</v>
      </c>
      <c r="C96" s="4" t="s">
        <v>0</v>
      </c>
      <c r="D96" s="46"/>
      <c r="E96" s="46">
        <v>228736</v>
      </c>
      <c r="F96" s="14"/>
      <c r="G96" s="15"/>
      <c r="H96" s="100">
        <f t="shared" si="2"/>
        <v>228736</v>
      </c>
      <c r="I96" s="19">
        <v>228736</v>
      </c>
      <c r="J96" s="48">
        <f t="shared" si="3"/>
        <v>0</v>
      </c>
    </row>
    <row r="97" spans="2:10" x14ac:dyDescent="0.25">
      <c r="B97" s="5"/>
      <c r="C97" s="4" t="s">
        <v>1</v>
      </c>
      <c r="D97" s="46"/>
      <c r="E97" s="46">
        <v>289049</v>
      </c>
      <c r="F97" s="6"/>
      <c r="G97" s="15"/>
      <c r="H97" s="100">
        <f t="shared" si="2"/>
        <v>289049</v>
      </c>
      <c r="I97" s="19">
        <v>289049</v>
      </c>
      <c r="J97" s="48">
        <f t="shared" si="3"/>
        <v>0</v>
      </c>
    </row>
    <row r="98" spans="2:10" x14ac:dyDescent="0.25">
      <c r="B98" s="5"/>
      <c r="C98" s="4" t="s">
        <v>2</v>
      </c>
      <c r="D98" s="46"/>
      <c r="E98" s="46">
        <v>316937</v>
      </c>
      <c r="F98" s="6"/>
      <c r="G98" s="15"/>
      <c r="H98" s="100">
        <f t="shared" si="2"/>
        <v>316937</v>
      </c>
      <c r="I98" s="19">
        <v>316937</v>
      </c>
      <c r="J98" s="48">
        <f t="shared" si="3"/>
        <v>0</v>
      </c>
    </row>
    <row r="99" spans="2:10" x14ac:dyDescent="0.25">
      <c r="B99" s="5"/>
      <c r="C99" s="4" t="s">
        <v>3</v>
      </c>
      <c r="D99" s="46"/>
      <c r="E99" s="46">
        <v>289365</v>
      </c>
      <c r="F99" s="6"/>
      <c r="G99" s="15"/>
      <c r="H99" s="100">
        <f t="shared" si="2"/>
        <v>289365</v>
      </c>
      <c r="I99" s="19">
        <v>289365</v>
      </c>
      <c r="J99" s="48">
        <f t="shared" si="3"/>
        <v>0</v>
      </c>
    </row>
    <row r="100" spans="2:10" x14ac:dyDescent="0.25">
      <c r="B100" s="5">
        <v>1998</v>
      </c>
      <c r="C100" s="4" t="s">
        <v>0</v>
      </c>
      <c r="D100" s="46"/>
      <c r="E100" s="46">
        <v>218153</v>
      </c>
      <c r="F100" s="6"/>
      <c r="G100" s="15"/>
      <c r="H100" s="100">
        <f t="shared" si="2"/>
        <v>218153</v>
      </c>
      <c r="I100" s="19">
        <v>218153</v>
      </c>
      <c r="J100" s="48">
        <f t="shared" si="3"/>
        <v>0</v>
      </c>
    </row>
    <row r="101" spans="2:10" x14ac:dyDescent="0.25">
      <c r="B101" s="5"/>
      <c r="C101" s="4" t="s">
        <v>1</v>
      </c>
      <c r="D101" s="46"/>
      <c r="E101" s="46">
        <v>279969</v>
      </c>
      <c r="F101" s="6"/>
      <c r="G101" s="15"/>
      <c r="H101" s="100">
        <f t="shared" si="2"/>
        <v>279969</v>
      </c>
      <c r="I101" s="19">
        <v>279969</v>
      </c>
      <c r="J101" s="48">
        <f t="shared" si="3"/>
        <v>0</v>
      </c>
    </row>
    <row r="102" spans="2:10" x14ac:dyDescent="0.25">
      <c r="B102" s="5"/>
      <c r="C102" s="4" t="s">
        <v>2</v>
      </c>
      <c r="D102" s="46"/>
      <c r="E102" s="46">
        <v>302169</v>
      </c>
      <c r="F102" s="6"/>
      <c r="G102" s="15"/>
      <c r="H102" s="100">
        <f t="shared" si="2"/>
        <v>302169</v>
      </c>
      <c r="I102" s="19">
        <v>302169</v>
      </c>
      <c r="J102" s="48">
        <f t="shared" si="3"/>
        <v>0</v>
      </c>
    </row>
    <row r="103" spans="2:10" x14ac:dyDescent="0.25">
      <c r="B103" s="5"/>
      <c r="C103" s="4" t="s">
        <v>3</v>
      </c>
      <c r="D103" s="46"/>
      <c r="E103" s="46">
        <v>277514</v>
      </c>
      <c r="F103" s="6"/>
      <c r="G103" s="15"/>
      <c r="H103" s="100">
        <f t="shared" si="2"/>
        <v>277514</v>
      </c>
      <c r="I103" s="19">
        <v>277514</v>
      </c>
      <c r="J103" s="48">
        <f t="shared" si="3"/>
        <v>0</v>
      </c>
    </row>
    <row r="104" spans="2:10" x14ac:dyDescent="0.25">
      <c r="B104" s="5">
        <v>1999</v>
      </c>
      <c r="C104" s="4" t="s">
        <v>0</v>
      </c>
      <c r="D104" s="46"/>
      <c r="E104" s="46">
        <v>223665</v>
      </c>
      <c r="F104" s="6"/>
      <c r="G104" s="15"/>
      <c r="H104" s="100">
        <f t="shared" si="2"/>
        <v>223665</v>
      </c>
      <c r="I104" s="19">
        <v>223665</v>
      </c>
      <c r="J104" s="48">
        <f t="shared" si="3"/>
        <v>0</v>
      </c>
    </row>
    <row r="105" spans="2:10" x14ac:dyDescent="0.25">
      <c r="B105" s="5"/>
      <c r="C105" s="4" t="s">
        <v>1</v>
      </c>
      <c r="D105" s="46"/>
      <c r="E105" s="46">
        <v>301576</v>
      </c>
      <c r="F105" s="6"/>
      <c r="G105" s="15"/>
      <c r="H105" s="100">
        <f t="shared" si="2"/>
        <v>301576</v>
      </c>
      <c r="I105" s="19">
        <v>301576</v>
      </c>
      <c r="J105" s="48">
        <f t="shared" si="3"/>
        <v>0</v>
      </c>
    </row>
    <row r="106" spans="2:10" x14ac:dyDescent="0.25">
      <c r="B106" s="5"/>
      <c r="C106" s="4" t="s">
        <v>2</v>
      </c>
      <c r="D106" s="46"/>
      <c r="E106" s="46">
        <v>356486</v>
      </c>
      <c r="F106" s="6"/>
      <c r="G106" s="15"/>
      <c r="H106" s="100">
        <f t="shared" si="2"/>
        <v>356486</v>
      </c>
      <c r="I106" s="19">
        <v>356486</v>
      </c>
      <c r="J106" s="48">
        <f t="shared" si="3"/>
        <v>0</v>
      </c>
    </row>
    <row r="107" spans="2:10" x14ac:dyDescent="0.25">
      <c r="B107" s="5"/>
      <c r="C107" s="4" t="s">
        <v>3</v>
      </c>
      <c r="D107" s="46"/>
      <c r="E107" s="46">
        <v>339438</v>
      </c>
      <c r="F107" s="6"/>
      <c r="G107" s="15"/>
      <c r="H107" s="100">
        <f t="shared" si="2"/>
        <v>339438</v>
      </c>
      <c r="I107" s="19">
        <v>339438</v>
      </c>
      <c r="J107" s="48">
        <f t="shared" si="3"/>
        <v>0</v>
      </c>
    </row>
    <row r="108" spans="2:10" x14ac:dyDescent="0.25">
      <c r="B108" s="5">
        <v>2000</v>
      </c>
      <c r="C108" s="4" t="s">
        <v>0</v>
      </c>
      <c r="D108" s="46"/>
      <c r="E108" s="46">
        <v>254869</v>
      </c>
      <c r="F108" s="6"/>
      <c r="G108" s="15"/>
      <c r="H108" s="100">
        <f t="shared" si="2"/>
        <v>254869</v>
      </c>
      <c r="I108" s="19">
        <v>254869</v>
      </c>
      <c r="J108" s="48">
        <f t="shared" si="3"/>
        <v>0</v>
      </c>
    </row>
    <row r="109" spans="2:10" x14ac:dyDescent="0.25">
      <c r="B109" s="5"/>
      <c r="C109" s="4" t="s">
        <v>1</v>
      </c>
      <c r="D109" s="46"/>
      <c r="E109" s="46">
        <v>307589</v>
      </c>
      <c r="F109" s="6"/>
      <c r="G109" s="15"/>
      <c r="H109" s="100">
        <f t="shared" si="2"/>
        <v>307589</v>
      </c>
      <c r="I109" s="19">
        <v>307589</v>
      </c>
      <c r="J109" s="48">
        <f t="shared" si="3"/>
        <v>0</v>
      </c>
    </row>
    <row r="110" spans="2:10" x14ac:dyDescent="0.25">
      <c r="B110" s="5"/>
      <c r="C110" s="4" t="s">
        <v>2</v>
      </c>
      <c r="D110" s="46"/>
      <c r="E110" s="46">
        <v>300317</v>
      </c>
      <c r="F110" s="6"/>
      <c r="G110" s="15"/>
      <c r="H110" s="100">
        <f t="shared" si="2"/>
        <v>300317</v>
      </c>
      <c r="I110" s="19">
        <v>300317</v>
      </c>
      <c r="J110" s="48">
        <f t="shared" si="3"/>
        <v>0</v>
      </c>
    </row>
    <row r="111" spans="2:10" x14ac:dyDescent="0.25">
      <c r="B111" s="5"/>
      <c r="C111" s="4" t="s">
        <v>3</v>
      </c>
      <c r="D111" s="46"/>
      <c r="E111" s="46">
        <v>276762</v>
      </c>
      <c r="F111" s="6"/>
      <c r="G111" s="15"/>
      <c r="H111" s="100">
        <f t="shared" si="2"/>
        <v>276762</v>
      </c>
      <c r="I111" s="19">
        <v>276762</v>
      </c>
      <c r="J111" s="48">
        <f t="shared" si="3"/>
        <v>0</v>
      </c>
    </row>
    <row r="112" spans="2:10" x14ac:dyDescent="0.25">
      <c r="B112" s="5">
        <v>2001</v>
      </c>
      <c r="C112" s="4" t="s">
        <v>0</v>
      </c>
      <c r="D112" s="46"/>
      <c r="E112" s="46">
        <v>237527</v>
      </c>
      <c r="F112" s="6"/>
      <c r="G112" s="15"/>
      <c r="H112" s="100">
        <f t="shared" si="2"/>
        <v>237527</v>
      </c>
      <c r="I112" s="19">
        <v>237527</v>
      </c>
      <c r="J112" s="48">
        <f t="shared" si="3"/>
        <v>0</v>
      </c>
    </row>
    <row r="113" spans="2:10" x14ac:dyDescent="0.25">
      <c r="B113" s="5"/>
      <c r="C113" s="4" t="s">
        <v>1</v>
      </c>
      <c r="D113" s="46"/>
      <c r="E113" s="46">
        <v>319982</v>
      </c>
      <c r="F113" s="6"/>
      <c r="G113" s="15"/>
      <c r="H113" s="100">
        <f t="shared" si="2"/>
        <v>319982</v>
      </c>
      <c r="I113" s="19">
        <v>319982</v>
      </c>
      <c r="J113" s="48">
        <f t="shared" si="3"/>
        <v>0</v>
      </c>
    </row>
    <row r="114" spans="2:10" x14ac:dyDescent="0.25">
      <c r="B114" s="5"/>
      <c r="C114" s="4" t="s">
        <v>2</v>
      </c>
      <c r="D114" s="46"/>
      <c r="E114" s="46">
        <v>358008</v>
      </c>
      <c r="F114" s="6"/>
      <c r="G114" s="15"/>
      <c r="H114" s="100">
        <f t="shared" si="2"/>
        <v>358008</v>
      </c>
      <c r="I114" s="19">
        <v>358008</v>
      </c>
      <c r="J114" s="48">
        <f t="shared" si="3"/>
        <v>0</v>
      </c>
    </row>
    <row r="115" spans="2:10" x14ac:dyDescent="0.25">
      <c r="B115" s="5"/>
      <c r="C115" s="4" t="s">
        <v>3</v>
      </c>
      <c r="D115" s="46"/>
      <c r="E115" s="46">
        <v>321202</v>
      </c>
      <c r="F115" s="6"/>
      <c r="G115" s="15"/>
      <c r="H115" s="100">
        <f t="shared" si="2"/>
        <v>321202</v>
      </c>
      <c r="I115" s="19">
        <v>321202</v>
      </c>
      <c r="J115" s="48">
        <f t="shared" si="3"/>
        <v>0</v>
      </c>
    </row>
    <row r="116" spans="2:10" x14ac:dyDescent="0.25">
      <c r="B116" s="5">
        <v>2002</v>
      </c>
      <c r="C116" s="4" t="s">
        <v>0</v>
      </c>
      <c r="D116" s="46"/>
      <c r="E116" s="46">
        <v>265452</v>
      </c>
      <c r="F116" s="6"/>
      <c r="G116" s="15"/>
      <c r="H116" s="100">
        <f t="shared" si="2"/>
        <v>265452</v>
      </c>
      <c r="I116" s="19">
        <v>265452</v>
      </c>
      <c r="J116" s="48">
        <f t="shared" si="3"/>
        <v>0</v>
      </c>
    </row>
    <row r="117" spans="2:10" x14ac:dyDescent="0.25">
      <c r="B117" s="5"/>
      <c r="C117" s="4" t="s">
        <v>1</v>
      </c>
      <c r="D117" s="46"/>
      <c r="E117" s="46">
        <v>351965</v>
      </c>
      <c r="F117" s="6"/>
      <c r="G117" s="15"/>
      <c r="H117" s="100">
        <f t="shared" si="2"/>
        <v>351965</v>
      </c>
      <c r="I117" s="19">
        <v>351965</v>
      </c>
      <c r="J117" s="48">
        <f t="shared" si="3"/>
        <v>0</v>
      </c>
    </row>
    <row r="118" spans="2:10" x14ac:dyDescent="0.25">
      <c r="B118" s="5"/>
      <c r="C118" s="4" t="s">
        <v>2</v>
      </c>
      <c r="D118" s="46"/>
      <c r="E118" s="46">
        <v>375381</v>
      </c>
      <c r="F118" s="6"/>
      <c r="G118" s="15"/>
      <c r="H118" s="100">
        <f t="shared" si="2"/>
        <v>375381</v>
      </c>
      <c r="I118" s="19">
        <v>375381</v>
      </c>
      <c r="J118" s="48">
        <f t="shared" si="3"/>
        <v>0</v>
      </c>
    </row>
    <row r="119" spans="2:10" x14ac:dyDescent="0.25">
      <c r="B119" s="5"/>
      <c r="C119" s="4" t="s">
        <v>3</v>
      </c>
      <c r="D119" s="46"/>
      <c r="E119" s="46">
        <v>334638</v>
      </c>
      <c r="F119" s="6"/>
      <c r="G119" s="15"/>
      <c r="H119" s="100">
        <f t="shared" si="2"/>
        <v>334638</v>
      </c>
      <c r="I119" s="19">
        <v>334638</v>
      </c>
      <c r="J119" s="48">
        <f t="shared" si="3"/>
        <v>0</v>
      </c>
    </row>
    <row r="120" spans="2:10" x14ac:dyDescent="0.25">
      <c r="B120" s="5">
        <v>2003</v>
      </c>
      <c r="C120" s="4" t="s">
        <v>0</v>
      </c>
      <c r="D120" s="46"/>
      <c r="E120" s="46">
        <v>227137</v>
      </c>
      <c r="F120" s="6"/>
      <c r="G120" s="15"/>
      <c r="H120" s="100">
        <f t="shared" si="2"/>
        <v>227137</v>
      </c>
      <c r="I120" s="19">
        <v>227137</v>
      </c>
      <c r="J120" s="48">
        <f t="shared" si="3"/>
        <v>0</v>
      </c>
    </row>
    <row r="121" spans="2:10" x14ac:dyDescent="0.25">
      <c r="B121" s="5"/>
      <c r="C121" s="4" t="s">
        <v>1</v>
      </c>
      <c r="D121" s="46"/>
      <c r="E121" s="46">
        <v>283270</v>
      </c>
      <c r="F121" s="6"/>
      <c r="G121" s="15"/>
      <c r="H121" s="100">
        <f t="shared" si="2"/>
        <v>283270</v>
      </c>
      <c r="I121" s="19">
        <v>283270</v>
      </c>
      <c r="J121" s="48">
        <f t="shared" si="3"/>
        <v>0</v>
      </c>
    </row>
    <row r="122" spans="2:10" x14ac:dyDescent="0.25">
      <c r="B122" s="5"/>
      <c r="C122" s="4" t="s">
        <v>2</v>
      </c>
      <c r="D122" s="46"/>
      <c r="E122" s="46">
        <v>337391</v>
      </c>
      <c r="F122" s="6"/>
      <c r="G122" s="15"/>
      <c r="H122" s="100">
        <f t="shared" si="2"/>
        <v>337391</v>
      </c>
      <c r="I122" s="19">
        <v>337391</v>
      </c>
      <c r="J122" s="48">
        <f t="shared" si="3"/>
        <v>0</v>
      </c>
    </row>
    <row r="123" spans="2:10" x14ac:dyDescent="0.25">
      <c r="B123" s="5"/>
      <c r="C123" s="4" t="s">
        <v>3</v>
      </c>
      <c r="D123" s="46"/>
      <c r="E123" s="46">
        <v>363269</v>
      </c>
      <c r="F123" s="6"/>
      <c r="G123" s="15"/>
      <c r="H123" s="100">
        <f t="shared" si="2"/>
        <v>363269</v>
      </c>
      <c r="I123" s="19">
        <v>363269</v>
      </c>
      <c r="J123" s="48">
        <f t="shared" si="3"/>
        <v>0</v>
      </c>
    </row>
    <row r="124" spans="2:10" x14ac:dyDescent="0.25">
      <c r="B124" s="5">
        <v>2004</v>
      </c>
      <c r="C124" s="4" t="s">
        <v>0</v>
      </c>
      <c r="D124" s="46"/>
      <c r="E124" s="46">
        <v>285822</v>
      </c>
      <c r="F124" s="6"/>
      <c r="G124" s="15"/>
      <c r="H124" s="100">
        <f t="shared" si="2"/>
        <v>285822</v>
      </c>
      <c r="I124" s="19">
        <v>285822</v>
      </c>
      <c r="J124" s="48">
        <f t="shared" si="3"/>
        <v>0</v>
      </c>
    </row>
    <row r="125" spans="2:10" x14ac:dyDescent="0.25">
      <c r="B125" s="5"/>
      <c r="C125" s="4" t="s">
        <v>1</v>
      </c>
      <c r="D125" s="46"/>
      <c r="E125" s="46">
        <v>352582</v>
      </c>
      <c r="F125" s="6"/>
      <c r="G125" s="15"/>
      <c r="H125" s="100">
        <f t="shared" si="2"/>
        <v>352582</v>
      </c>
      <c r="I125" s="19">
        <v>352582</v>
      </c>
      <c r="J125" s="48">
        <f t="shared" si="3"/>
        <v>0</v>
      </c>
    </row>
    <row r="126" spans="2:10" x14ac:dyDescent="0.25">
      <c r="B126" s="5"/>
      <c r="C126" s="4" t="s">
        <v>2</v>
      </c>
      <c r="D126" s="46"/>
      <c r="E126" s="46">
        <v>333895</v>
      </c>
      <c r="F126" s="6"/>
      <c r="G126" s="15"/>
      <c r="H126" s="100">
        <f t="shared" si="2"/>
        <v>333895</v>
      </c>
      <c r="I126" s="19">
        <v>333895</v>
      </c>
      <c r="J126" s="48">
        <f t="shared" si="3"/>
        <v>0</v>
      </c>
    </row>
    <row r="127" spans="2:10" x14ac:dyDescent="0.25">
      <c r="B127" s="5"/>
      <c r="C127" s="4" t="s">
        <v>3</v>
      </c>
      <c r="D127" s="46"/>
      <c r="E127" s="46">
        <v>255532</v>
      </c>
      <c r="F127" s="6"/>
      <c r="G127" s="15"/>
      <c r="H127" s="100">
        <f t="shared" si="2"/>
        <v>255532</v>
      </c>
      <c r="I127" s="19">
        <v>255532</v>
      </c>
      <c r="J127" s="48">
        <f t="shared" si="3"/>
        <v>0</v>
      </c>
    </row>
    <row r="128" spans="2:10" x14ac:dyDescent="0.25">
      <c r="B128" s="5">
        <v>2005</v>
      </c>
      <c r="C128" s="4" t="s">
        <v>0</v>
      </c>
      <c r="D128" s="46"/>
      <c r="E128" s="46">
        <v>182159</v>
      </c>
      <c r="F128" s="6"/>
      <c r="G128" s="15"/>
      <c r="H128" s="100">
        <f t="shared" si="2"/>
        <v>182159</v>
      </c>
      <c r="I128" s="19">
        <v>182159</v>
      </c>
      <c r="J128" s="48">
        <f t="shared" si="3"/>
        <v>0</v>
      </c>
    </row>
    <row r="129" spans="2:10" x14ac:dyDescent="0.25">
      <c r="B129" s="5"/>
      <c r="C129" s="4" t="s">
        <v>1</v>
      </c>
      <c r="D129" s="46"/>
      <c r="E129" s="46">
        <v>256967</v>
      </c>
      <c r="F129" s="6"/>
      <c r="G129" s="15"/>
      <c r="H129" s="100">
        <f t="shared" si="2"/>
        <v>256967</v>
      </c>
      <c r="I129" s="19">
        <v>256966.99999999997</v>
      </c>
      <c r="J129" s="48">
        <f t="shared" si="3"/>
        <v>0</v>
      </c>
    </row>
    <row r="130" spans="2:10" x14ac:dyDescent="0.25">
      <c r="B130" s="5"/>
      <c r="C130" s="4" t="s">
        <v>2</v>
      </c>
      <c r="D130" s="46"/>
      <c r="E130" s="46">
        <v>293065</v>
      </c>
      <c r="F130" s="6"/>
      <c r="G130" s="15"/>
      <c r="H130" s="100">
        <f t="shared" si="2"/>
        <v>293065</v>
      </c>
      <c r="I130" s="19">
        <v>293065</v>
      </c>
      <c r="J130" s="48">
        <f t="shared" si="3"/>
        <v>0</v>
      </c>
    </row>
    <row r="131" spans="2:10" x14ac:dyDescent="0.25">
      <c r="B131" s="5"/>
      <c r="C131" s="4" t="s">
        <v>3</v>
      </c>
      <c r="D131" s="46"/>
      <c r="E131" s="46">
        <v>289162</v>
      </c>
      <c r="F131" s="6"/>
      <c r="G131" s="15"/>
      <c r="H131" s="100">
        <f t="shared" si="2"/>
        <v>289162</v>
      </c>
      <c r="I131" s="19">
        <v>289162</v>
      </c>
      <c r="J131" s="48">
        <f t="shared" si="3"/>
        <v>0</v>
      </c>
    </row>
    <row r="132" spans="2:10" x14ac:dyDescent="0.25">
      <c r="B132" s="5">
        <v>2006</v>
      </c>
      <c r="C132" s="4" t="s">
        <v>0</v>
      </c>
      <c r="D132" s="46"/>
      <c r="E132" s="46">
        <v>255467</v>
      </c>
      <c r="F132" s="6"/>
      <c r="G132" s="15"/>
      <c r="H132" s="100">
        <f t="shared" si="2"/>
        <v>255467</v>
      </c>
      <c r="I132" s="19">
        <v>255467</v>
      </c>
      <c r="J132" s="48">
        <f t="shared" si="3"/>
        <v>0</v>
      </c>
    </row>
    <row r="133" spans="2:10" x14ac:dyDescent="0.25">
      <c r="B133" s="5"/>
      <c r="C133" s="4" t="s">
        <v>1</v>
      </c>
      <c r="D133" s="46"/>
      <c r="E133" s="46">
        <v>318101</v>
      </c>
      <c r="F133" s="6"/>
      <c r="G133" s="15"/>
      <c r="H133" s="100">
        <f t="shared" si="2"/>
        <v>318101</v>
      </c>
      <c r="I133" s="19">
        <v>318101</v>
      </c>
      <c r="J133" s="48">
        <f t="shared" si="3"/>
        <v>0</v>
      </c>
    </row>
    <row r="134" spans="2:10" x14ac:dyDescent="0.25">
      <c r="B134" s="5"/>
      <c r="C134" s="4" t="s">
        <v>2</v>
      </c>
      <c r="D134" s="46"/>
      <c r="E134" s="46">
        <v>352665</v>
      </c>
      <c r="F134" s="6"/>
      <c r="G134" s="15"/>
      <c r="H134" s="100">
        <f t="shared" si="2"/>
        <v>352665</v>
      </c>
      <c r="I134" s="19">
        <v>352665</v>
      </c>
      <c r="J134" s="48">
        <f t="shared" si="3"/>
        <v>0</v>
      </c>
    </row>
    <row r="135" spans="2:10" x14ac:dyDescent="0.25">
      <c r="B135" s="5"/>
      <c r="C135" s="4" t="s">
        <v>3</v>
      </c>
      <c r="D135" s="46"/>
      <c r="E135" s="46">
        <v>355502</v>
      </c>
      <c r="F135" s="6"/>
      <c r="G135" s="15"/>
      <c r="H135" s="100">
        <f t="shared" si="2"/>
        <v>355502</v>
      </c>
      <c r="I135" s="19">
        <v>355502</v>
      </c>
      <c r="J135" s="48">
        <f t="shared" si="3"/>
        <v>0</v>
      </c>
    </row>
    <row r="136" spans="2:10" x14ac:dyDescent="0.25">
      <c r="B136" s="5">
        <v>2007</v>
      </c>
      <c r="C136" s="4" t="s">
        <v>0</v>
      </c>
      <c r="D136" s="46"/>
      <c r="E136" s="46">
        <v>282548</v>
      </c>
      <c r="F136" s="6"/>
      <c r="G136" s="15"/>
      <c r="H136" s="100">
        <f t="shared" si="2"/>
        <v>282548</v>
      </c>
      <c r="I136" s="19">
        <v>282548</v>
      </c>
      <c r="J136" s="48">
        <f t="shared" si="3"/>
        <v>0</v>
      </c>
    </row>
    <row r="137" spans="2:10" x14ac:dyDescent="0.25">
      <c r="B137" s="5"/>
      <c r="C137" s="4" t="s">
        <v>1</v>
      </c>
      <c r="D137" s="46"/>
      <c r="E137" s="46">
        <v>332124</v>
      </c>
      <c r="F137" s="6"/>
      <c r="G137" s="15"/>
      <c r="H137" s="100">
        <f t="shared" ref="H137:H197" si="4">SUM(D137:G137)</f>
        <v>332124</v>
      </c>
      <c r="I137" s="19">
        <v>332124</v>
      </c>
      <c r="J137" s="48">
        <f t="shared" ref="J137:J183" si="5">H137-I137</f>
        <v>0</v>
      </c>
    </row>
    <row r="138" spans="2:10" x14ac:dyDescent="0.25">
      <c r="B138" s="5"/>
      <c r="C138" s="4" t="s">
        <v>2</v>
      </c>
      <c r="D138" s="46"/>
      <c r="E138" s="46">
        <v>344866</v>
      </c>
      <c r="F138" s="6"/>
      <c r="G138" s="15"/>
      <c r="H138" s="100">
        <f t="shared" si="4"/>
        <v>344866</v>
      </c>
      <c r="I138" s="19">
        <v>344866</v>
      </c>
      <c r="J138" s="48">
        <f t="shared" si="5"/>
        <v>0</v>
      </c>
    </row>
    <row r="139" spans="2:10" x14ac:dyDescent="0.25">
      <c r="B139" s="5"/>
      <c r="C139" s="4" t="s">
        <v>3</v>
      </c>
      <c r="D139" s="46"/>
      <c r="E139" s="46">
        <v>288234</v>
      </c>
      <c r="F139" s="6"/>
      <c r="G139" s="15"/>
      <c r="H139" s="100">
        <f t="shared" si="4"/>
        <v>288234</v>
      </c>
      <c r="I139" s="19">
        <v>288234</v>
      </c>
      <c r="J139" s="48">
        <f t="shared" si="5"/>
        <v>0</v>
      </c>
    </row>
    <row r="140" spans="2:10" x14ac:dyDescent="0.25">
      <c r="B140" s="5">
        <v>2008</v>
      </c>
      <c r="C140" s="4" t="s">
        <v>0</v>
      </c>
      <c r="D140" s="46"/>
      <c r="E140" s="46">
        <v>181871</v>
      </c>
      <c r="F140" s="6"/>
      <c r="G140" s="15"/>
      <c r="H140" s="100">
        <f t="shared" si="4"/>
        <v>181871</v>
      </c>
      <c r="I140" s="19">
        <v>181871</v>
      </c>
      <c r="J140" s="48">
        <f t="shared" si="5"/>
        <v>0</v>
      </c>
    </row>
    <row r="141" spans="2:10" x14ac:dyDescent="0.25">
      <c r="B141" s="5"/>
      <c r="C141" s="4" t="s">
        <v>1</v>
      </c>
      <c r="D141" s="46"/>
      <c r="E141" s="46">
        <v>190990</v>
      </c>
      <c r="F141" s="6"/>
      <c r="G141" s="15"/>
      <c r="H141" s="100">
        <f t="shared" si="4"/>
        <v>190990</v>
      </c>
      <c r="I141" s="19">
        <v>190990</v>
      </c>
      <c r="J141" s="48">
        <f t="shared" si="5"/>
        <v>0</v>
      </c>
    </row>
    <row r="142" spans="2:10" x14ac:dyDescent="0.25">
      <c r="B142" s="5"/>
      <c r="C142" s="4" t="s">
        <v>2</v>
      </c>
      <c r="D142" s="46"/>
      <c r="E142" s="46">
        <v>145427</v>
      </c>
      <c r="F142" s="6"/>
      <c r="G142" s="15"/>
      <c r="H142" s="100">
        <f t="shared" si="4"/>
        <v>145427</v>
      </c>
      <c r="I142" s="19">
        <v>145427</v>
      </c>
      <c r="J142" s="48">
        <f t="shared" si="5"/>
        <v>0</v>
      </c>
    </row>
    <row r="143" spans="2:10" x14ac:dyDescent="0.25">
      <c r="B143" s="5"/>
      <c r="C143" s="4" t="s">
        <v>3</v>
      </c>
      <c r="D143" s="46"/>
      <c r="E143" s="46">
        <v>122588</v>
      </c>
      <c r="F143" s="6"/>
      <c r="G143" s="15"/>
      <c r="H143" s="100">
        <f t="shared" si="4"/>
        <v>122588</v>
      </c>
      <c r="I143" s="19">
        <v>122588</v>
      </c>
      <c r="J143" s="48">
        <f t="shared" si="5"/>
        <v>0</v>
      </c>
    </row>
    <row r="144" spans="2:10" x14ac:dyDescent="0.25">
      <c r="B144" s="5">
        <v>2009</v>
      </c>
      <c r="C144" s="4" t="s">
        <v>0</v>
      </c>
      <c r="D144" s="46"/>
      <c r="E144" s="46">
        <v>91786</v>
      </c>
      <c r="F144" s="6"/>
      <c r="G144" s="15"/>
      <c r="H144" s="100">
        <f t="shared" si="4"/>
        <v>91786</v>
      </c>
      <c r="I144" s="19">
        <v>91786</v>
      </c>
      <c r="J144" s="48">
        <f t="shared" si="5"/>
        <v>0</v>
      </c>
    </row>
    <row r="145" spans="2:10" x14ac:dyDescent="0.25">
      <c r="B145" s="5"/>
      <c r="C145" s="4" t="s">
        <v>1</v>
      </c>
      <c r="D145" s="46"/>
      <c r="E145" s="46">
        <v>138668</v>
      </c>
      <c r="F145" s="6"/>
      <c r="G145" s="15"/>
      <c r="H145" s="100">
        <f t="shared" si="4"/>
        <v>138668</v>
      </c>
      <c r="I145" s="19">
        <v>138668</v>
      </c>
      <c r="J145" s="48">
        <f t="shared" si="5"/>
        <v>0</v>
      </c>
    </row>
    <row r="146" spans="2:10" x14ac:dyDescent="0.25">
      <c r="B146" s="5"/>
      <c r="C146" s="4" t="s">
        <v>2</v>
      </c>
      <c r="D146" s="46"/>
      <c r="E146" s="46">
        <v>179754</v>
      </c>
      <c r="F146" s="6"/>
      <c r="G146" s="15"/>
      <c r="H146" s="100">
        <f t="shared" si="4"/>
        <v>179754</v>
      </c>
      <c r="I146" s="19">
        <v>179754</v>
      </c>
      <c r="J146" s="48">
        <f t="shared" si="5"/>
        <v>0</v>
      </c>
    </row>
    <row r="147" spans="2:10" x14ac:dyDescent="0.25">
      <c r="B147" s="5"/>
      <c r="C147" s="4" t="s">
        <v>3</v>
      </c>
      <c r="D147" s="46"/>
      <c r="E147" s="46">
        <v>205477</v>
      </c>
      <c r="F147" s="6"/>
      <c r="G147" s="15"/>
      <c r="H147" s="100">
        <f t="shared" si="4"/>
        <v>205477</v>
      </c>
      <c r="I147" s="19">
        <v>205477</v>
      </c>
      <c r="J147" s="48">
        <f t="shared" si="5"/>
        <v>0</v>
      </c>
    </row>
    <row r="148" spans="2:10" x14ac:dyDescent="0.25">
      <c r="B148" s="5">
        <v>2010</v>
      </c>
      <c r="C148" s="4" t="s">
        <v>0</v>
      </c>
      <c r="E148" s="46">
        <v>129859</v>
      </c>
      <c r="F148" s="6"/>
      <c r="G148" s="15"/>
      <c r="H148" s="100">
        <f t="shared" si="4"/>
        <v>129859</v>
      </c>
      <c r="I148" s="19">
        <v>129859.00000000001</v>
      </c>
      <c r="J148" s="48">
        <f t="shared" si="5"/>
        <v>0</v>
      </c>
    </row>
    <row r="149" spans="2:10" x14ac:dyDescent="0.25">
      <c r="B149" s="5"/>
      <c r="C149" s="4" t="s">
        <v>1</v>
      </c>
      <c r="E149" s="46">
        <v>167516</v>
      </c>
      <c r="F149" s="6"/>
      <c r="G149" s="15"/>
      <c r="H149" s="100">
        <f t="shared" si="4"/>
        <v>167516</v>
      </c>
      <c r="I149" s="19">
        <v>167516</v>
      </c>
      <c r="J149" s="48">
        <f t="shared" si="5"/>
        <v>0</v>
      </c>
    </row>
    <row r="150" spans="2:10" x14ac:dyDescent="0.25">
      <c r="B150" s="5"/>
      <c r="C150" s="4" t="s">
        <v>2</v>
      </c>
      <c r="E150" s="46">
        <v>186774</v>
      </c>
      <c r="F150" s="6"/>
      <c r="G150" s="15"/>
      <c r="H150" s="100">
        <f t="shared" si="4"/>
        <v>186774</v>
      </c>
      <c r="I150" s="19">
        <v>186774</v>
      </c>
      <c r="J150" s="48">
        <f t="shared" si="5"/>
        <v>0</v>
      </c>
    </row>
    <row r="151" spans="2:10" x14ac:dyDescent="0.25">
      <c r="B151" s="5"/>
      <c r="C151" s="4" t="s">
        <v>3</v>
      </c>
      <c r="E151" s="46">
        <v>172287</v>
      </c>
      <c r="F151" s="6"/>
      <c r="G151" s="15"/>
      <c r="H151" s="100">
        <f t="shared" si="4"/>
        <v>172287</v>
      </c>
      <c r="I151" s="19">
        <v>172287</v>
      </c>
      <c r="J151" s="48">
        <f t="shared" si="5"/>
        <v>0</v>
      </c>
    </row>
    <row r="152" spans="2:10" x14ac:dyDescent="0.25">
      <c r="B152" s="5">
        <v>2011</v>
      </c>
      <c r="C152" s="4" t="s">
        <v>0</v>
      </c>
      <c r="E152" s="46">
        <v>124275</v>
      </c>
      <c r="F152" s="6"/>
      <c r="G152" s="15"/>
      <c r="H152" s="100">
        <f t="shared" si="4"/>
        <v>124275</v>
      </c>
      <c r="I152" s="19">
        <v>124275</v>
      </c>
      <c r="J152" s="48">
        <f t="shared" si="5"/>
        <v>0</v>
      </c>
    </row>
    <row r="153" spans="2:10" x14ac:dyDescent="0.25">
      <c r="B153" s="5"/>
      <c r="C153" s="4" t="s">
        <v>1</v>
      </c>
      <c r="E153" s="46">
        <v>157696</v>
      </c>
      <c r="F153" s="12"/>
      <c r="G153" s="15"/>
      <c r="H153" s="100">
        <f t="shared" si="4"/>
        <v>157696</v>
      </c>
      <c r="I153" s="19">
        <v>157696</v>
      </c>
      <c r="J153" s="48">
        <f t="shared" si="5"/>
        <v>0</v>
      </c>
    </row>
    <row r="154" spans="2:10" x14ac:dyDescent="0.25">
      <c r="B154" s="5"/>
      <c r="C154" s="4" t="s">
        <v>2</v>
      </c>
      <c r="E154" s="46">
        <v>190826</v>
      </c>
      <c r="F154" s="12"/>
      <c r="G154" s="15"/>
      <c r="H154" s="100">
        <f t="shared" si="4"/>
        <v>190826</v>
      </c>
      <c r="I154" s="19">
        <v>190826</v>
      </c>
      <c r="J154" s="48">
        <f t="shared" si="5"/>
        <v>0</v>
      </c>
    </row>
    <row r="155" spans="2:10" x14ac:dyDescent="0.25">
      <c r="B155" s="5"/>
      <c r="C155" s="4" t="s">
        <v>3</v>
      </c>
      <c r="E155" s="46">
        <v>182405</v>
      </c>
      <c r="F155" s="12"/>
      <c r="G155" s="15"/>
      <c r="H155" s="100">
        <f t="shared" si="4"/>
        <v>182405</v>
      </c>
      <c r="I155" s="19">
        <v>182405</v>
      </c>
      <c r="J155" s="48">
        <f t="shared" si="5"/>
        <v>0</v>
      </c>
    </row>
    <row r="156" spans="2:10" x14ac:dyDescent="0.25">
      <c r="B156" s="5">
        <v>2012</v>
      </c>
      <c r="C156" s="4" t="s">
        <v>0</v>
      </c>
      <c r="E156" s="46">
        <v>149958</v>
      </c>
      <c r="F156" s="12"/>
      <c r="G156" s="15"/>
      <c r="H156" s="100">
        <f t="shared" si="4"/>
        <v>149958</v>
      </c>
      <c r="I156" s="19">
        <v>149958</v>
      </c>
      <c r="J156" s="48">
        <f t="shared" si="5"/>
        <v>0</v>
      </c>
    </row>
    <row r="157" spans="2:10" x14ac:dyDescent="0.25">
      <c r="B157" s="5"/>
      <c r="C157" s="4" t="s">
        <v>1</v>
      </c>
      <c r="E157" s="46">
        <v>155532</v>
      </c>
      <c r="F157" s="12"/>
      <c r="G157" s="15"/>
      <c r="H157" s="100">
        <f t="shared" si="4"/>
        <v>155532</v>
      </c>
      <c r="I157" s="19">
        <v>155532</v>
      </c>
      <c r="J157" s="48">
        <f t="shared" si="5"/>
        <v>0</v>
      </c>
    </row>
    <row r="158" spans="2:10" x14ac:dyDescent="0.25">
      <c r="B158" s="5"/>
      <c r="C158" s="4" t="s">
        <v>2</v>
      </c>
      <c r="E158" s="46">
        <v>177203</v>
      </c>
      <c r="F158" s="12"/>
      <c r="G158" s="15"/>
      <c r="H158" s="100">
        <f t="shared" si="4"/>
        <v>177203</v>
      </c>
      <c r="I158" s="19">
        <v>177203</v>
      </c>
      <c r="J158" s="48">
        <f t="shared" si="5"/>
        <v>0</v>
      </c>
    </row>
    <row r="159" spans="2:10" x14ac:dyDescent="0.25">
      <c r="B159" s="5"/>
      <c r="C159" s="4" t="s">
        <v>3</v>
      </c>
      <c r="E159" s="46">
        <v>179752</v>
      </c>
      <c r="F159" s="12"/>
      <c r="G159" s="15"/>
      <c r="H159" s="100">
        <f t="shared" si="4"/>
        <v>179752</v>
      </c>
      <c r="I159" s="19">
        <v>179752</v>
      </c>
      <c r="J159" s="48">
        <f t="shared" si="5"/>
        <v>0</v>
      </c>
    </row>
    <row r="160" spans="2:10" x14ac:dyDescent="0.25">
      <c r="B160" s="5">
        <v>2013</v>
      </c>
      <c r="C160" s="4" t="s">
        <v>0</v>
      </c>
      <c r="E160" s="46">
        <v>142879</v>
      </c>
      <c r="F160" s="12"/>
      <c r="G160" s="15"/>
      <c r="H160" s="100">
        <f t="shared" si="4"/>
        <v>142879</v>
      </c>
      <c r="I160" s="19">
        <v>142879</v>
      </c>
      <c r="J160" s="48">
        <f t="shared" si="5"/>
        <v>0</v>
      </c>
    </row>
    <row r="161" spans="2:10" x14ac:dyDescent="0.25">
      <c r="B161" s="5"/>
      <c r="C161" s="4" t="s">
        <v>1</v>
      </c>
      <c r="E161" s="46"/>
      <c r="F161" s="47">
        <v>183840</v>
      </c>
      <c r="G161" s="15"/>
      <c r="H161" s="100">
        <f t="shared" si="4"/>
        <v>183840</v>
      </c>
      <c r="I161" s="19">
        <v>183840</v>
      </c>
      <c r="J161" s="48">
        <f t="shared" si="5"/>
        <v>0</v>
      </c>
    </row>
    <row r="162" spans="2:10" x14ac:dyDescent="0.25">
      <c r="B162" s="5"/>
      <c r="C162" s="4" t="s">
        <v>2</v>
      </c>
      <c r="F162" s="47">
        <v>224015</v>
      </c>
      <c r="G162" s="15"/>
      <c r="H162" s="100">
        <f t="shared" si="4"/>
        <v>224015</v>
      </c>
      <c r="I162" s="19">
        <v>224015</v>
      </c>
      <c r="J162" s="48">
        <f t="shared" si="5"/>
        <v>0</v>
      </c>
    </row>
    <row r="163" spans="2:10" x14ac:dyDescent="0.25">
      <c r="B163" s="5"/>
      <c r="C163" s="4" t="s">
        <v>3</v>
      </c>
      <c r="F163" s="47">
        <v>245574</v>
      </c>
      <c r="G163" s="15"/>
      <c r="H163" s="100">
        <f t="shared" si="4"/>
        <v>245574</v>
      </c>
      <c r="I163" s="19">
        <v>245574</v>
      </c>
      <c r="J163" s="48">
        <f t="shared" si="5"/>
        <v>0</v>
      </c>
    </row>
    <row r="164" spans="2:10" x14ac:dyDescent="0.25">
      <c r="B164" s="5">
        <v>2014</v>
      </c>
      <c r="C164" s="4" t="s">
        <v>0</v>
      </c>
      <c r="E164" s="14"/>
      <c r="F164" s="47">
        <v>204451</v>
      </c>
      <c r="G164" s="15"/>
      <c r="H164" s="100">
        <f t="shared" si="4"/>
        <v>204451</v>
      </c>
      <c r="I164" s="19">
        <v>204451</v>
      </c>
      <c r="J164" s="48">
        <f t="shared" si="5"/>
        <v>0</v>
      </c>
    </row>
    <row r="165" spans="2:10" x14ac:dyDescent="0.25">
      <c r="B165" s="7"/>
      <c r="C165" s="4" t="s">
        <v>1</v>
      </c>
      <c r="E165" s="14"/>
      <c r="F165" s="47">
        <v>236210</v>
      </c>
      <c r="G165" s="15"/>
      <c r="H165" s="100">
        <f t="shared" si="4"/>
        <v>236210</v>
      </c>
      <c r="I165" s="19">
        <v>236210</v>
      </c>
      <c r="J165" s="48">
        <f t="shared" si="5"/>
        <v>0</v>
      </c>
    </row>
    <row r="166" spans="2:10" x14ac:dyDescent="0.25">
      <c r="B166" s="8"/>
      <c r="C166" s="9" t="s">
        <v>2</v>
      </c>
      <c r="E166" s="14"/>
      <c r="F166" s="47">
        <v>258916</v>
      </c>
      <c r="G166" s="15"/>
      <c r="H166" s="100">
        <f t="shared" si="4"/>
        <v>258916</v>
      </c>
      <c r="I166" s="19">
        <v>258916</v>
      </c>
      <c r="J166" s="48">
        <f t="shared" si="5"/>
        <v>0</v>
      </c>
    </row>
    <row r="167" spans="2:10" x14ac:dyDescent="0.25">
      <c r="B167" s="8"/>
      <c r="C167" s="8" t="s">
        <v>3</v>
      </c>
      <c r="E167" s="14"/>
      <c r="F167" s="47">
        <v>245250</v>
      </c>
      <c r="G167" s="15"/>
      <c r="H167" s="100">
        <f t="shared" si="4"/>
        <v>245250</v>
      </c>
      <c r="I167" s="19">
        <v>245250</v>
      </c>
      <c r="J167" s="48">
        <f t="shared" si="5"/>
        <v>0</v>
      </c>
    </row>
    <row r="168" spans="2:10" x14ac:dyDescent="0.25">
      <c r="B168" s="8">
        <v>2015</v>
      </c>
      <c r="C168" s="8" t="s">
        <v>0</v>
      </c>
      <c r="E168" s="14"/>
      <c r="F168" s="47">
        <v>188066</v>
      </c>
      <c r="G168" s="15"/>
      <c r="H168" s="100">
        <f t="shared" si="4"/>
        <v>188066</v>
      </c>
      <c r="I168" s="19">
        <v>188066</v>
      </c>
      <c r="J168" s="48">
        <f t="shared" si="5"/>
        <v>0</v>
      </c>
    </row>
    <row r="169" spans="2:10" x14ac:dyDescent="0.25">
      <c r="B169" s="8"/>
      <c r="C169" s="8" t="s">
        <v>1</v>
      </c>
      <c r="E169" s="14"/>
      <c r="F169" s="47">
        <v>227262</v>
      </c>
      <c r="G169" s="15"/>
      <c r="H169" s="100">
        <f t="shared" si="4"/>
        <v>227262</v>
      </c>
      <c r="I169" s="19">
        <v>227262</v>
      </c>
      <c r="J169" s="48">
        <f t="shared" si="5"/>
        <v>0</v>
      </c>
    </row>
    <row r="170" spans="2:10" x14ac:dyDescent="0.25">
      <c r="B170" s="8"/>
      <c r="C170" s="8" t="s">
        <v>2</v>
      </c>
      <c r="E170" s="14"/>
      <c r="F170" s="47">
        <v>264120</v>
      </c>
      <c r="G170" s="15"/>
      <c r="H170" s="100">
        <f t="shared" si="4"/>
        <v>264120</v>
      </c>
      <c r="I170" s="19">
        <v>264120</v>
      </c>
      <c r="J170" s="48">
        <f t="shared" si="5"/>
        <v>0</v>
      </c>
    </row>
    <row r="171" spans="2:10" x14ac:dyDescent="0.25">
      <c r="B171" s="8"/>
      <c r="C171" s="8" t="s">
        <v>3</v>
      </c>
      <c r="E171" s="14"/>
      <c r="F171" s="47">
        <v>260052</v>
      </c>
      <c r="G171" s="15"/>
      <c r="H171" s="100">
        <f t="shared" si="4"/>
        <v>260052</v>
      </c>
      <c r="I171" s="19">
        <v>260052.00000000003</v>
      </c>
      <c r="J171" s="48">
        <f t="shared" si="5"/>
        <v>0</v>
      </c>
    </row>
    <row r="172" spans="2:10" x14ac:dyDescent="0.25">
      <c r="B172" s="8">
        <v>2016</v>
      </c>
      <c r="C172" s="8" t="s">
        <v>0</v>
      </c>
      <c r="E172" s="14"/>
      <c r="F172" s="47">
        <v>256165</v>
      </c>
      <c r="G172" s="15"/>
      <c r="H172" s="100">
        <f t="shared" si="4"/>
        <v>256165</v>
      </c>
      <c r="I172" s="19">
        <v>256165.00000000003</v>
      </c>
      <c r="J172" s="48">
        <f t="shared" si="5"/>
        <v>0</v>
      </c>
    </row>
    <row r="173" spans="2:10" x14ac:dyDescent="0.25">
      <c r="B173" s="8"/>
      <c r="C173" s="8" t="s">
        <v>1</v>
      </c>
      <c r="E173" s="14"/>
      <c r="F173" s="47">
        <v>196787</v>
      </c>
      <c r="G173" s="15"/>
      <c r="H173" s="100">
        <f t="shared" si="4"/>
        <v>196787</v>
      </c>
      <c r="I173" s="19">
        <v>196787</v>
      </c>
      <c r="J173" s="48">
        <f t="shared" si="5"/>
        <v>0</v>
      </c>
    </row>
    <row r="174" spans="2:10" x14ac:dyDescent="0.25">
      <c r="B174" s="8"/>
      <c r="C174" s="8" t="s">
        <v>2</v>
      </c>
      <c r="E174" s="14"/>
      <c r="F174" s="47">
        <v>245921</v>
      </c>
      <c r="G174" s="15"/>
      <c r="H174" s="100">
        <f t="shared" si="4"/>
        <v>245921</v>
      </c>
      <c r="I174" s="19">
        <v>245921</v>
      </c>
      <c r="J174" s="48">
        <f t="shared" si="5"/>
        <v>0</v>
      </c>
    </row>
    <row r="175" spans="2:10" x14ac:dyDescent="0.25">
      <c r="B175" s="8"/>
      <c r="C175" s="8" t="s">
        <v>3</v>
      </c>
      <c r="E175" s="14"/>
      <c r="F175" s="47">
        <v>237149</v>
      </c>
      <c r="G175" s="15"/>
      <c r="H175" s="100">
        <f t="shared" si="4"/>
        <v>237149</v>
      </c>
      <c r="I175" s="19">
        <v>237149</v>
      </c>
      <c r="J175" s="48">
        <f t="shared" si="5"/>
        <v>0</v>
      </c>
    </row>
    <row r="176" spans="2:10" x14ac:dyDescent="0.25">
      <c r="B176" s="8">
        <v>2017</v>
      </c>
      <c r="C176" s="8" t="s">
        <v>0</v>
      </c>
      <c r="E176" s="14"/>
      <c r="F176" s="47">
        <v>202736</v>
      </c>
      <c r="G176" s="10"/>
      <c r="H176" s="100">
        <f t="shared" si="4"/>
        <v>202736</v>
      </c>
      <c r="I176" s="19">
        <v>202736</v>
      </c>
      <c r="J176" s="48">
        <f t="shared" si="5"/>
        <v>0</v>
      </c>
    </row>
    <row r="177" spans="2:10" x14ac:dyDescent="0.25">
      <c r="B177" s="8"/>
      <c r="C177" s="8" t="s">
        <v>1</v>
      </c>
      <c r="E177" s="14"/>
      <c r="F177" s="47">
        <v>227935</v>
      </c>
      <c r="G177" s="10"/>
      <c r="H177" s="100">
        <f t="shared" si="4"/>
        <v>227935</v>
      </c>
      <c r="I177" s="19">
        <v>227935</v>
      </c>
      <c r="J177" s="48">
        <f t="shared" si="5"/>
        <v>0</v>
      </c>
    </row>
    <row r="178" spans="2:10" x14ac:dyDescent="0.25">
      <c r="B178" s="8"/>
      <c r="C178" s="8" t="s">
        <v>2</v>
      </c>
      <c r="E178" s="14"/>
      <c r="F178" s="47">
        <v>250884</v>
      </c>
      <c r="G178" s="10"/>
      <c r="H178" s="100">
        <f t="shared" si="4"/>
        <v>250884</v>
      </c>
      <c r="I178" s="19">
        <v>250884</v>
      </c>
      <c r="J178" s="48">
        <f t="shared" si="5"/>
        <v>0</v>
      </c>
    </row>
    <row r="179" spans="2:10" x14ac:dyDescent="0.25">
      <c r="B179" s="8"/>
      <c r="C179" s="8" t="s">
        <v>3</v>
      </c>
      <c r="E179" s="14"/>
      <c r="F179" s="47">
        <v>243961</v>
      </c>
      <c r="G179" s="10"/>
      <c r="H179" s="100">
        <f t="shared" si="4"/>
        <v>243961</v>
      </c>
      <c r="I179" s="19">
        <v>243961</v>
      </c>
      <c r="J179" s="48">
        <f t="shared" si="5"/>
        <v>0</v>
      </c>
    </row>
    <row r="180" spans="2:10" x14ac:dyDescent="0.25">
      <c r="B180" s="8">
        <v>2018</v>
      </c>
      <c r="C180" s="8" t="s">
        <v>0</v>
      </c>
      <c r="E180" s="14"/>
      <c r="F180" s="47">
        <v>194062</v>
      </c>
      <c r="G180" s="10"/>
      <c r="H180" s="100">
        <f t="shared" si="4"/>
        <v>194062</v>
      </c>
      <c r="I180" s="19">
        <v>194062</v>
      </c>
      <c r="J180" s="48">
        <f t="shared" si="5"/>
        <v>0</v>
      </c>
    </row>
    <row r="181" spans="2:10" x14ac:dyDescent="0.25">
      <c r="B181" s="8"/>
      <c r="C181" s="8" t="s">
        <v>1</v>
      </c>
      <c r="E181" s="14"/>
      <c r="F181" s="47">
        <v>217095</v>
      </c>
      <c r="G181" s="10"/>
      <c r="H181" s="100">
        <f t="shared" si="4"/>
        <v>217095</v>
      </c>
      <c r="I181" s="19">
        <v>216404</v>
      </c>
      <c r="J181" s="48">
        <f t="shared" si="5"/>
        <v>691</v>
      </c>
    </row>
    <row r="182" spans="2:10" x14ac:dyDescent="0.25">
      <c r="B182" s="8"/>
      <c r="C182" s="8" t="s">
        <v>2</v>
      </c>
      <c r="E182" s="14"/>
      <c r="F182" s="47">
        <v>240212</v>
      </c>
      <c r="G182" s="10"/>
      <c r="H182" s="100">
        <f t="shared" si="4"/>
        <v>240212</v>
      </c>
      <c r="I182" s="19">
        <v>237804</v>
      </c>
      <c r="J182" s="48">
        <f t="shared" si="5"/>
        <v>2408</v>
      </c>
    </row>
    <row r="183" spans="2:10" x14ac:dyDescent="0.25">
      <c r="B183" s="8"/>
      <c r="C183" s="8" t="s">
        <v>3</v>
      </c>
      <c r="E183" s="14"/>
      <c r="F183" s="47">
        <v>242014</v>
      </c>
      <c r="G183" s="10"/>
      <c r="H183" s="100">
        <f t="shared" si="4"/>
        <v>242014</v>
      </c>
      <c r="I183" s="19">
        <v>230474</v>
      </c>
      <c r="J183" s="48">
        <f t="shared" si="5"/>
        <v>11540</v>
      </c>
    </row>
    <row r="184" spans="2:10" x14ac:dyDescent="0.25">
      <c r="B184">
        <v>2019</v>
      </c>
      <c r="C184" s="8" t="s">
        <v>0</v>
      </c>
      <c r="E184" s="14"/>
      <c r="F184" s="47">
        <v>186586</v>
      </c>
      <c r="G184" s="11"/>
      <c r="H184" s="100">
        <f t="shared" si="4"/>
        <v>186586</v>
      </c>
    </row>
    <row r="185" spans="2:10" x14ac:dyDescent="0.25">
      <c r="C185" s="8" t="s">
        <v>1</v>
      </c>
      <c r="E185" s="14"/>
      <c r="F185" s="47">
        <v>207233</v>
      </c>
      <c r="G185" s="11"/>
      <c r="H185" s="100">
        <f t="shared" si="4"/>
        <v>207233</v>
      </c>
    </row>
    <row r="186" spans="2:10" x14ac:dyDescent="0.25">
      <c r="C186" s="8" t="s">
        <v>2</v>
      </c>
      <c r="E186" s="12"/>
      <c r="F186" s="47">
        <v>234246</v>
      </c>
      <c r="G186" s="11"/>
      <c r="H186" s="100">
        <f t="shared" si="4"/>
        <v>234246</v>
      </c>
    </row>
    <row r="187" spans="2:10" x14ac:dyDescent="0.25">
      <c r="C187" s="8" t="s">
        <v>3</v>
      </c>
      <c r="E187" s="12"/>
      <c r="F187" s="47">
        <v>234740</v>
      </c>
      <c r="G187" s="11"/>
      <c r="H187" s="100">
        <f t="shared" si="4"/>
        <v>234740</v>
      </c>
    </row>
    <row r="188" spans="2:10" x14ac:dyDescent="0.25">
      <c r="B188">
        <v>2020</v>
      </c>
      <c r="C188" s="8" t="s">
        <v>0</v>
      </c>
      <c r="E188" s="16"/>
      <c r="F188" s="47">
        <v>180476</v>
      </c>
      <c r="G188" s="11"/>
      <c r="H188" s="100">
        <f t="shared" si="4"/>
        <v>180476</v>
      </c>
    </row>
    <row r="189" spans="2:10" x14ac:dyDescent="0.25">
      <c r="C189" s="8" t="s">
        <v>1</v>
      </c>
      <c r="E189" s="16"/>
      <c r="F189" s="47">
        <v>106105</v>
      </c>
      <c r="G189" s="11"/>
      <c r="H189" s="100">
        <f t="shared" si="4"/>
        <v>106105</v>
      </c>
    </row>
    <row r="190" spans="2:10" x14ac:dyDescent="0.25">
      <c r="C190" s="8" t="s">
        <v>2</v>
      </c>
      <c r="E190" s="16"/>
      <c r="F190" s="47">
        <v>181639</v>
      </c>
      <c r="G190" s="11"/>
      <c r="H190" s="100">
        <f t="shared" si="4"/>
        <v>181639</v>
      </c>
    </row>
    <row r="191" spans="2:10" x14ac:dyDescent="0.25">
      <c r="C191" s="8" t="s">
        <v>3</v>
      </c>
      <c r="E191" s="16"/>
      <c r="F191" s="47">
        <v>253724</v>
      </c>
      <c r="G191" s="11"/>
      <c r="H191" s="100">
        <f t="shared" si="4"/>
        <v>253724</v>
      </c>
    </row>
    <row r="192" spans="2:10" x14ac:dyDescent="0.25">
      <c r="B192">
        <v>2021</v>
      </c>
      <c r="C192" s="8" t="s">
        <v>0</v>
      </c>
      <c r="E192" s="16"/>
      <c r="F192" s="47">
        <v>275162</v>
      </c>
      <c r="G192" s="11"/>
      <c r="H192" s="100">
        <f t="shared" si="4"/>
        <v>275162</v>
      </c>
    </row>
    <row r="193" spans="2:8" x14ac:dyDescent="0.25">
      <c r="C193" s="8" t="s">
        <v>1</v>
      </c>
      <c r="E193" s="16"/>
      <c r="F193" s="47">
        <v>296314</v>
      </c>
      <c r="G193" s="11"/>
      <c r="H193" s="100">
        <f t="shared" si="4"/>
        <v>296314</v>
      </c>
    </row>
    <row r="194" spans="2:8" x14ac:dyDescent="0.25">
      <c r="C194" s="8" t="s">
        <v>2</v>
      </c>
      <c r="E194" s="17"/>
      <c r="F194" s="47">
        <v>235215</v>
      </c>
      <c r="G194" s="11"/>
      <c r="H194" s="100">
        <f t="shared" si="4"/>
        <v>235215</v>
      </c>
    </row>
    <row r="195" spans="2:8" x14ac:dyDescent="0.25">
      <c r="C195" s="8" t="s">
        <v>3</v>
      </c>
      <c r="E195" s="16"/>
      <c r="F195" s="47">
        <v>179968</v>
      </c>
      <c r="G195" s="11"/>
      <c r="H195" s="100">
        <f t="shared" si="4"/>
        <v>179968</v>
      </c>
    </row>
    <row r="196" spans="2:8" x14ac:dyDescent="0.25">
      <c r="B196">
        <v>2022</v>
      </c>
      <c r="C196" s="8" t="s">
        <v>0</v>
      </c>
      <c r="E196" s="16"/>
      <c r="F196" s="47">
        <v>170403</v>
      </c>
      <c r="G196" s="11"/>
      <c r="H196" s="100">
        <f t="shared" si="4"/>
        <v>170403</v>
      </c>
    </row>
    <row r="197" spans="2:8" x14ac:dyDescent="0.25">
      <c r="C197" s="8" t="s">
        <v>1</v>
      </c>
      <c r="E197" s="16"/>
      <c r="F197" s="47">
        <v>155136</v>
      </c>
      <c r="G197" s="11"/>
      <c r="H197" s="100">
        <f t="shared" si="4"/>
        <v>155136</v>
      </c>
    </row>
  </sheetData>
  <hyperlinks>
    <hyperlink ref="E6" r:id="rId1" display="https://www.gov.uk/government/statistical-data-sets/live-tables-on-housing-market-and-house-prices" xr:uid="{A2241100-23EA-481B-A13E-08F0DADDD302}"/>
    <hyperlink ref="F6" r:id="rId2" display="https://www.gov.uk/government/statistical-data-sets/uk-house-price-index-data-downloads-september-2022" xr:uid="{D038753F-DB51-4985-A27E-D9A22D90751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CAB90-E9F1-4881-AEE6-92CB9A8E7BE1}">
  <dimension ref="B3:Y198"/>
  <sheetViews>
    <sheetView zoomScale="75" zoomScaleNormal="75" workbookViewId="0">
      <selection activeCell="M27" sqref="M27"/>
    </sheetView>
  </sheetViews>
  <sheetFormatPr defaultRowHeight="15" x14ac:dyDescent="0.25"/>
  <cols>
    <col min="1" max="1" width="2.7109375" customWidth="1"/>
    <col min="2" max="2" width="8.7109375" customWidth="1"/>
    <col min="3" max="3" width="4.7109375" customWidth="1"/>
    <col min="4" max="4" width="17" customWidth="1"/>
    <col min="5" max="5" width="17.5703125" customWidth="1"/>
    <col min="6" max="9" width="15.7109375" customWidth="1"/>
    <col min="10" max="10" width="8.7109375" style="56" customWidth="1"/>
    <col min="11" max="13" width="15.7109375" customWidth="1"/>
    <col min="14" max="14" width="2.7109375" customWidth="1"/>
    <col min="15" max="15" width="9.140625" style="29"/>
    <col min="16" max="16" width="12.140625" style="29" customWidth="1"/>
    <col min="17" max="19" width="9.140625" style="29"/>
    <col min="20" max="20" width="2.7109375" style="29" customWidth="1"/>
    <col min="21" max="22" width="9.140625" style="29"/>
    <col min="23" max="23" width="11.5703125" style="29" bestFit="1" customWidth="1"/>
    <col min="24" max="24" width="9.140625" style="29"/>
    <col min="25" max="25" width="11.5703125" style="30" bestFit="1" customWidth="1"/>
  </cols>
  <sheetData>
    <row r="3" spans="2:25" x14ac:dyDescent="0.25">
      <c r="D3" t="s">
        <v>4</v>
      </c>
      <c r="E3" t="s">
        <v>5</v>
      </c>
      <c r="F3" t="s">
        <v>6</v>
      </c>
      <c r="G3" t="s">
        <v>18</v>
      </c>
      <c r="H3" t="s">
        <v>73</v>
      </c>
      <c r="I3" t="s">
        <v>72</v>
      </c>
      <c r="J3" s="56" t="s">
        <v>76</v>
      </c>
      <c r="K3" t="s">
        <v>7</v>
      </c>
      <c r="L3" t="s">
        <v>8</v>
      </c>
      <c r="M3" t="s">
        <v>9</v>
      </c>
      <c r="O3" s="29" t="s">
        <v>41</v>
      </c>
    </row>
    <row r="4" spans="2:25" ht="135" customHeight="1" x14ac:dyDescent="0.25">
      <c r="B4" s="2" t="s">
        <v>17</v>
      </c>
      <c r="C4" s="2"/>
      <c r="D4" s="3" t="s">
        <v>55</v>
      </c>
      <c r="E4" s="3" t="s">
        <v>55</v>
      </c>
      <c r="F4" s="22" t="s">
        <v>67</v>
      </c>
      <c r="G4" s="22" t="s">
        <v>67</v>
      </c>
      <c r="H4" s="22" t="s">
        <v>67</v>
      </c>
      <c r="I4" s="22" t="s">
        <v>67</v>
      </c>
      <c r="J4" s="62"/>
      <c r="K4" s="3"/>
      <c r="L4" s="2"/>
      <c r="M4" s="2"/>
    </row>
    <row r="5" spans="2:25" ht="45" customHeight="1" x14ac:dyDescent="0.25">
      <c r="B5" s="2" t="s">
        <v>16</v>
      </c>
      <c r="C5" s="2"/>
      <c r="D5" s="3" t="s">
        <v>56</v>
      </c>
      <c r="E5" s="3" t="s">
        <v>56</v>
      </c>
      <c r="F5" s="3"/>
      <c r="G5" s="3"/>
      <c r="H5" s="3"/>
      <c r="I5" s="3"/>
      <c r="J5" s="62"/>
      <c r="K5" s="2"/>
      <c r="L5" s="2"/>
      <c r="M5" s="2"/>
      <c r="Q5" s="29" t="s">
        <v>59</v>
      </c>
      <c r="R5" s="29" t="s">
        <v>61</v>
      </c>
      <c r="S5" s="29" t="s">
        <v>60</v>
      </c>
      <c r="W5" s="29" t="s">
        <v>57</v>
      </c>
      <c r="Y5" s="30" t="s">
        <v>58</v>
      </c>
    </row>
    <row r="6" spans="2:25" ht="15.75" customHeight="1" x14ac:dyDescent="0.25">
      <c r="B6" s="2" t="s">
        <v>13</v>
      </c>
      <c r="C6" s="2"/>
      <c r="D6" s="20" t="s">
        <v>54</v>
      </c>
      <c r="E6" s="51" t="s">
        <v>54</v>
      </c>
      <c r="F6" s="20" t="s">
        <v>66</v>
      </c>
      <c r="G6" s="20" t="s">
        <v>66</v>
      </c>
      <c r="H6" s="20"/>
      <c r="I6" s="20"/>
      <c r="J6" s="73"/>
      <c r="K6" s="2"/>
      <c r="L6" s="2"/>
      <c r="M6" s="2"/>
    </row>
    <row r="7" spans="2:25" ht="15.75" customHeight="1" x14ac:dyDescent="0.25">
      <c r="B7" s="2" t="s">
        <v>15</v>
      </c>
      <c r="C7" s="2"/>
      <c r="D7" s="46" t="s">
        <v>69</v>
      </c>
      <c r="E7" s="3" t="s">
        <v>70</v>
      </c>
      <c r="F7" s="3" t="s">
        <v>68</v>
      </c>
      <c r="G7" s="3" t="s">
        <v>71</v>
      </c>
      <c r="H7" s="3" t="s">
        <v>74</v>
      </c>
      <c r="I7" s="3" t="s">
        <v>75</v>
      </c>
      <c r="J7" s="62"/>
      <c r="K7" s="18"/>
      <c r="L7" s="2"/>
      <c r="M7" s="2"/>
    </row>
    <row r="8" spans="2:25" x14ac:dyDescent="0.25">
      <c r="B8">
        <v>1975</v>
      </c>
      <c r="C8" s="4" t="s">
        <v>0</v>
      </c>
      <c r="D8" s="49">
        <v>10340</v>
      </c>
      <c r="E8" s="49">
        <v>3233</v>
      </c>
      <c r="F8" s="3"/>
      <c r="G8" s="3"/>
      <c r="H8" s="3"/>
      <c r="I8" s="3"/>
      <c r="J8" s="62"/>
      <c r="K8" s="55">
        <f>SUM(D8:G8)</f>
        <v>13573</v>
      </c>
      <c r="L8" s="67">
        <v>10499.456315789474</v>
      </c>
      <c r="M8" s="19"/>
      <c r="O8" s="83">
        <v>1975</v>
      </c>
      <c r="P8" s="83" t="s">
        <v>40</v>
      </c>
      <c r="Q8" s="84">
        <v>10529</v>
      </c>
      <c r="R8" s="84">
        <v>3118</v>
      </c>
      <c r="S8" s="85">
        <f>Q8+R8</f>
        <v>13647</v>
      </c>
      <c r="T8" s="85"/>
      <c r="U8" s="29">
        <v>1975</v>
      </c>
      <c r="V8" s="77" t="s">
        <v>0</v>
      </c>
      <c r="W8" s="86">
        <v>28800</v>
      </c>
      <c r="X8" s="87">
        <f>W8/SUM(W8:W11)</f>
        <v>0.19302949061662197</v>
      </c>
      <c r="Y8" s="88">
        <v>13573</v>
      </c>
    </row>
    <row r="9" spans="2:25" x14ac:dyDescent="0.25">
      <c r="C9" s="4" t="s">
        <v>1</v>
      </c>
      <c r="D9" s="46"/>
      <c r="E9" s="52"/>
      <c r="K9" s="55"/>
      <c r="L9" s="65">
        <v>10529</v>
      </c>
      <c r="M9" s="48"/>
      <c r="O9" s="83">
        <v>1976</v>
      </c>
      <c r="P9" s="83" t="s">
        <v>40</v>
      </c>
      <c r="Q9" s="84">
        <v>10724</v>
      </c>
      <c r="R9" s="84">
        <v>3027</v>
      </c>
      <c r="S9" s="85">
        <f t="shared" ref="S9:S53" si="0">Q9+R9</f>
        <v>13751</v>
      </c>
      <c r="T9" s="85"/>
      <c r="V9" s="77" t="s">
        <v>1</v>
      </c>
      <c r="W9" s="86">
        <v>41600</v>
      </c>
      <c r="X9" s="87">
        <f>W9/SUM(W8:W11)</f>
        <v>0.27882037533512066</v>
      </c>
      <c r="Y9" s="88">
        <f>Y8+X8*(Y12-Y8)</f>
        <v>13587.28418230563</v>
      </c>
    </row>
    <row r="10" spans="2:25" x14ac:dyDescent="0.25">
      <c r="C10" s="4" t="s">
        <v>2</v>
      </c>
      <c r="D10" s="46"/>
      <c r="E10" s="52"/>
      <c r="K10" s="55"/>
      <c r="L10" s="67">
        <v>10583.228571428572</v>
      </c>
      <c r="M10" s="48"/>
      <c r="O10" s="83">
        <v>1977</v>
      </c>
      <c r="P10" s="83" t="s">
        <v>40</v>
      </c>
      <c r="Q10" s="84">
        <v>11026</v>
      </c>
      <c r="R10" s="84">
        <v>2597</v>
      </c>
      <c r="S10" s="85">
        <f t="shared" si="0"/>
        <v>13623</v>
      </c>
      <c r="T10" s="85"/>
      <c r="V10" s="77" t="s">
        <v>2</v>
      </c>
      <c r="W10" s="86">
        <v>41400</v>
      </c>
      <c r="X10" s="87">
        <f>W10/SUM(W8:W11)</f>
        <v>0.27747989276139412</v>
      </c>
      <c r="Y10" s="88">
        <f>Y8+(X8+X9)*(Y12-Y8)</f>
        <v>13607.916890080429</v>
      </c>
    </row>
    <row r="11" spans="2:25" x14ac:dyDescent="0.25">
      <c r="C11" s="4" t="s">
        <v>3</v>
      </c>
      <c r="D11" s="46"/>
      <c r="E11" s="52"/>
      <c r="K11" s="55"/>
      <c r="L11" s="67">
        <v>10629.285714285714</v>
      </c>
      <c r="M11" s="48"/>
      <c r="O11" s="83">
        <v>1978</v>
      </c>
      <c r="P11" s="83" t="s">
        <v>40</v>
      </c>
      <c r="Q11" s="84">
        <v>11273</v>
      </c>
      <c r="R11" s="84">
        <v>2492</v>
      </c>
      <c r="S11" s="85">
        <f t="shared" si="0"/>
        <v>13765</v>
      </c>
      <c r="T11" s="85"/>
      <c r="V11" s="77" t="s">
        <v>3</v>
      </c>
      <c r="W11" s="86">
        <v>37400</v>
      </c>
      <c r="X11" s="87">
        <f>W11/SUM(W8:W11)</f>
        <v>0.25067024128686327</v>
      </c>
      <c r="Y11" s="88">
        <f>Y8+(X8+X9+X10)*(Y12-Y8)</f>
        <v>13628.450402144772</v>
      </c>
    </row>
    <row r="12" spans="2:25" x14ac:dyDescent="0.25">
      <c r="B12">
        <v>1976</v>
      </c>
      <c r="C12" s="4" t="s">
        <v>0</v>
      </c>
      <c r="D12" s="54">
        <v>10529</v>
      </c>
      <c r="E12" s="50">
        <v>3118</v>
      </c>
      <c r="K12" s="55">
        <f t="shared" ref="K12:K72" si="1">SUM(D12:G12)</f>
        <v>13647</v>
      </c>
      <c r="L12" s="67">
        <v>10670.514285714286</v>
      </c>
      <c r="M12" s="48"/>
      <c r="O12" s="83">
        <v>1979</v>
      </c>
      <c r="P12" s="83" t="s">
        <v>40</v>
      </c>
      <c r="Q12" s="84">
        <v>11520</v>
      </c>
      <c r="R12" s="84">
        <v>2385</v>
      </c>
      <c r="S12" s="85">
        <f t="shared" si="0"/>
        <v>13905</v>
      </c>
      <c r="T12" s="85"/>
      <c r="U12" s="29">
        <v>1976</v>
      </c>
      <c r="V12" s="77" t="s">
        <v>0</v>
      </c>
      <c r="W12" s="86">
        <v>37200</v>
      </c>
      <c r="X12" s="87">
        <f>W12/SUM(W12:W15)</f>
        <v>0.24062095730918501</v>
      </c>
      <c r="Y12" s="88">
        <v>13647</v>
      </c>
    </row>
    <row r="13" spans="2:25" x14ac:dyDescent="0.25">
      <c r="C13" s="4" t="s">
        <v>1</v>
      </c>
      <c r="D13" s="46"/>
      <c r="K13" s="55"/>
      <c r="L13" s="65">
        <v>10724</v>
      </c>
      <c r="M13" s="48"/>
      <c r="O13" s="83">
        <v>1980</v>
      </c>
      <c r="P13" s="83" t="s">
        <v>40</v>
      </c>
      <c r="Q13" s="84">
        <v>11618</v>
      </c>
      <c r="R13" s="84">
        <v>2410</v>
      </c>
      <c r="S13" s="85">
        <f t="shared" si="0"/>
        <v>14028</v>
      </c>
      <c r="T13" s="85"/>
      <c r="V13" s="77" t="s">
        <v>1</v>
      </c>
      <c r="W13" s="86">
        <v>46500</v>
      </c>
      <c r="X13" s="87">
        <f>W13/SUM(W12:W15)</f>
        <v>0.30077619663648125</v>
      </c>
      <c r="Y13" s="88">
        <f>Y12+X12*(Y16-Y12)</f>
        <v>13672.024579560155</v>
      </c>
    </row>
    <row r="14" spans="2:25" x14ac:dyDescent="0.25">
      <c r="C14" s="4" t="s">
        <v>2</v>
      </c>
      <c r="D14" s="46"/>
      <c r="K14" s="55"/>
      <c r="L14" s="67">
        <v>10803.715736040609</v>
      </c>
      <c r="M14" s="48"/>
      <c r="O14" s="83">
        <v>1981</v>
      </c>
      <c r="P14" s="83" t="s">
        <v>40</v>
      </c>
      <c r="Q14" s="84">
        <v>11936</v>
      </c>
      <c r="R14" s="84">
        <v>2288</v>
      </c>
      <c r="S14" s="85">
        <f t="shared" si="0"/>
        <v>14224</v>
      </c>
      <c r="T14" s="85"/>
      <c r="V14" s="77" t="s">
        <v>2</v>
      </c>
      <c r="W14" s="86">
        <v>42800</v>
      </c>
      <c r="X14" s="87">
        <f>W14/SUM(W12:W15)</f>
        <v>0.27684346701164297</v>
      </c>
      <c r="Y14" s="88">
        <f>Y12+(X12+X13)*(Y16-Y12)</f>
        <v>13703.30530401035</v>
      </c>
    </row>
    <row r="15" spans="2:25" x14ac:dyDescent="0.25">
      <c r="C15" s="4" t="s">
        <v>3</v>
      </c>
      <c r="D15" s="46"/>
      <c r="K15" s="55"/>
      <c r="L15" s="67">
        <v>10883.048223350253</v>
      </c>
      <c r="M15" s="48"/>
      <c r="O15" s="83">
        <v>1982</v>
      </c>
      <c r="P15" s="83" t="s">
        <v>40</v>
      </c>
      <c r="Q15" s="84">
        <v>12357</v>
      </c>
      <c r="R15" s="84">
        <v>2201</v>
      </c>
      <c r="S15" s="85">
        <f t="shared" si="0"/>
        <v>14558</v>
      </c>
      <c r="T15" s="85"/>
      <c r="V15" s="77" t="s">
        <v>3</v>
      </c>
      <c r="W15" s="86">
        <v>28100</v>
      </c>
      <c r="X15" s="87">
        <f>W15/SUM(W12:W15)</f>
        <v>0.18175937904269082</v>
      </c>
      <c r="Y15" s="88">
        <f>Y12+(X12+X13+X14)*(Y16-Y12)</f>
        <v>13732.09702457956</v>
      </c>
    </row>
    <row r="16" spans="2:25" x14ac:dyDescent="0.25">
      <c r="B16">
        <v>1977</v>
      </c>
      <c r="C16" s="4" t="s">
        <v>0</v>
      </c>
      <c r="D16" s="54">
        <v>10724</v>
      </c>
      <c r="E16" s="50">
        <v>3027</v>
      </c>
      <c r="K16" s="55">
        <f t="shared" si="1"/>
        <v>13751</v>
      </c>
      <c r="L16" s="67">
        <v>10954.715736040609</v>
      </c>
      <c r="M16" s="48"/>
      <c r="O16" s="83">
        <v>1983</v>
      </c>
      <c r="P16" s="83" t="s">
        <v>40</v>
      </c>
      <c r="Q16" s="84">
        <v>12740</v>
      </c>
      <c r="R16" s="84">
        <v>2121</v>
      </c>
      <c r="S16" s="85">
        <f t="shared" si="0"/>
        <v>14861</v>
      </c>
      <c r="T16" s="85"/>
      <c r="U16" s="29">
        <v>1977</v>
      </c>
      <c r="V16" s="77" t="s">
        <v>0</v>
      </c>
      <c r="W16" s="86">
        <v>26200</v>
      </c>
      <c r="X16" s="87">
        <f>W16/SUM(W16:W19)</f>
        <v>0.1943620178041543</v>
      </c>
      <c r="Y16" s="88">
        <v>13751</v>
      </c>
    </row>
    <row r="17" spans="2:25" x14ac:dyDescent="0.25">
      <c r="C17" s="4" t="s">
        <v>1</v>
      </c>
      <c r="D17" s="46"/>
      <c r="K17" s="55"/>
      <c r="L17" s="65">
        <v>11026</v>
      </c>
      <c r="M17" s="48"/>
      <c r="O17" s="83">
        <v>1984</v>
      </c>
      <c r="P17" s="83" t="s">
        <v>40</v>
      </c>
      <c r="Q17" s="84">
        <v>13099</v>
      </c>
      <c r="R17" s="84">
        <v>2040</v>
      </c>
      <c r="S17" s="85">
        <f t="shared" si="0"/>
        <v>15139</v>
      </c>
      <c r="T17" s="85"/>
      <c r="V17" s="77" t="s">
        <v>1</v>
      </c>
      <c r="W17" s="86">
        <v>38100</v>
      </c>
      <c r="X17" s="87">
        <f>W17/SUM(W16:W19)</f>
        <v>0.28264094955489616</v>
      </c>
      <c r="Y17" s="88">
        <f>Y16+X16*(Y20-Y16)</f>
        <v>13726.121661721068</v>
      </c>
    </row>
    <row r="18" spans="2:25" x14ac:dyDescent="0.25">
      <c r="C18" s="4" t="s">
        <v>2</v>
      </c>
      <c r="D18" s="46"/>
      <c r="K18" s="55"/>
      <c r="L18" s="67">
        <v>11105.982590529247</v>
      </c>
      <c r="M18" s="48"/>
      <c r="O18" s="83">
        <v>1985</v>
      </c>
      <c r="P18" s="83" t="s">
        <v>40</v>
      </c>
      <c r="Q18" s="84">
        <v>13440</v>
      </c>
      <c r="R18" s="84">
        <v>1963</v>
      </c>
      <c r="S18" s="85">
        <f t="shared" si="0"/>
        <v>15403</v>
      </c>
      <c r="T18" s="85"/>
      <c r="V18" s="77" t="s">
        <v>2</v>
      </c>
      <c r="W18" s="86">
        <v>39100</v>
      </c>
      <c r="X18" s="87">
        <f>W18/SUM(W16:W19)</f>
        <v>0.2900593471810089</v>
      </c>
      <c r="Y18" s="88">
        <f>Y16+(X16+X17)*(Y20-Y16)</f>
        <v>13689.943620178041</v>
      </c>
    </row>
    <row r="19" spans="2:25" x14ac:dyDescent="0.25">
      <c r="C19" s="4" t="s">
        <v>3</v>
      </c>
      <c r="D19" s="46"/>
      <c r="K19" s="55"/>
      <c r="L19" s="67">
        <v>11179.600974930361</v>
      </c>
      <c r="M19" s="48"/>
      <c r="O19" s="83">
        <v>1986</v>
      </c>
      <c r="P19" s="83" t="s">
        <v>40</v>
      </c>
      <c r="Q19" s="84">
        <v>13790</v>
      </c>
      <c r="R19" s="84">
        <v>1885</v>
      </c>
      <c r="S19" s="85">
        <f t="shared" si="0"/>
        <v>15675</v>
      </c>
      <c r="T19" s="85"/>
      <c r="V19" s="77" t="s">
        <v>3</v>
      </c>
      <c r="W19" s="86">
        <v>31400</v>
      </c>
      <c r="X19" s="87">
        <f>W19/SUM(W16:W19)</f>
        <v>0.23293768545994065</v>
      </c>
      <c r="Y19" s="88">
        <f>Y16+(X16+X17+X18)*(Y20-Y16)</f>
        <v>13652.816023738873</v>
      </c>
    </row>
    <row r="20" spans="2:25" x14ac:dyDescent="0.25">
      <c r="B20" s="5">
        <v>1978</v>
      </c>
      <c r="C20" s="4" t="s">
        <v>0</v>
      </c>
      <c r="D20" s="54">
        <v>11026</v>
      </c>
      <c r="E20" s="50">
        <v>2597</v>
      </c>
      <c r="K20" s="55">
        <f t="shared" si="1"/>
        <v>13623</v>
      </c>
      <c r="L20" s="67">
        <v>11227.934540389972</v>
      </c>
      <c r="M20" s="48"/>
      <c r="O20" s="83">
        <v>1987</v>
      </c>
      <c r="P20" s="83" t="s">
        <v>40</v>
      </c>
      <c r="Q20" s="84">
        <v>13968</v>
      </c>
      <c r="R20" s="84">
        <v>2139</v>
      </c>
      <c r="S20" s="85">
        <f t="shared" si="0"/>
        <v>16107</v>
      </c>
      <c r="T20" s="85"/>
      <c r="U20" s="79">
        <v>1978</v>
      </c>
      <c r="V20" s="77" t="s">
        <v>0</v>
      </c>
      <c r="W20" s="86">
        <v>30390</v>
      </c>
      <c r="X20" s="87">
        <f>W20/SUM(W20:W23)</f>
        <v>0.19318543004259106</v>
      </c>
      <c r="Y20" s="88">
        <v>13623</v>
      </c>
    </row>
    <row r="21" spans="2:25" x14ac:dyDescent="0.25">
      <c r="B21" s="5"/>
      <c r="C21" s="4" t="s">
        <v>1</v>
      </c>
      <c r="D21" s="46"/>
      <c r="F21" s="14"/>
      <c r="G21" s="15"/>
      <c r="H21" s="15"/>
      <c r="I21" s="15"/>
      <c r="J21" s="68"/>
      <c r="K21" s="55"/>
      <c r="L21" s="65">
        <v>11273</v>
      </c>
      <c r="M21" s="48"/>
      <c r="O21" s="83">
        <v>1988</v>
      </c>
      <c r="P21" s="83" t="s">
        <v>40</v>
      </c>
      <c r="Q21" s="84">
        <v>14424</v>
      </c>
      <c r="R21" s="84">
        <v>2077</v>
      </c>
      <c r="S21" s="85">
        <f t="shared" si="0"/>
        <v>16501</v>
      </c>
      <c r="T21" s="85"/>
      <c r="U21" s="79"/>
      <c r="V21" s="77" t="s">
        <v>1</v>
      </c>
      <c r="W21" s="86">
        <v>46510</v>
      </c>
      <c r="X21" s="87">
        <f>W21/SUM(W20:W23)</f>
        <v>0.29565825440213589</v>
      </c>
      <c r="Y21" s="88">
        <f>Y20+X20*(Y24-Y20)</f>
        <v>13650.432331066047</v>
      </c>
    </row>
    <row r="22" spans="2:25" x14ac:dyDescent="0.25">
      <c r="B22" s="5"/>
      <c r="C22" s="4" t="s">
        <v>2</v>
      </c>
      <c r="D22" s="46"/>
      <c r="F22" s="14"/>
      <c r="G22" s="15"/>
      <c r="H22" s="15"/>
      <c r="I22" s="15"/>
      <c r="J22" s="68"/>
      <c r="K22" s="55"/>
      <c r="L22" s="67">
        <v>11340.707748758903</v>
      </c>
      <c r="M22" s="48"/>
      <c r="O22" s="83">
        <v>1989</v>
      </c>
      <c r="P22" s="83" t="s">
        <v>40</v>
      </c>
      <c r="Q22" s="84">
        <v>14832</v>
      </c>
      <c r="R22" s="84">
        <v>2069</v>
      </c>
      <c r="S22" s="85">
        <f t="shared" si="0"/>
        <v>16901</v>
      </c>
      <c r="T22" s="85"/>
      <c r="U22" s="79"/>
      <c r="V22" s="77" t="s">
        <v>2</v>
      </c>
      <c r="W22" s="86">
        <v>41310</v>
      </c>
      <c r="X22" s="87">
        <f>W22/SUM(W20:W23)</f>
        <v>0.26260250460873436</v>
      </c>
      <c r="Y22" s="88">
        <f>Y20+(X20+X21)*(Y24-Y20)</f>
        <v>13692.415803191152</v>
      </c>
    </row>
    <row r="23" spans="2:25" x14ac:dyDescent="0.25">
      <c r="B23" s="5"/>
      <c r="C23" s="4" t="s">
        <v>3</v>
      </c>
      <c r="D23" s="46"/>
      <c r="F23" s="14"/>
      <c r="G23" s="15"/>
      <c r="H23" s="15"/>
      <c r="I23" s="15"/>
      <c r="J23" s="68"/>
      <c r="K23" s="55"/>
      <c r="L23" s="67">
        <v>11410.192603784444</v>
      </c>
      <c r="M23" s="48"/>
      <c r="O23" s="83">
        <v>1990</v>
      </c>
      <c r="P23" s="83" t="s">
        <v>40</v>
      </c>
      <c r="Q23" s="84">
        <v>15099</v>
      </c>
      <c r="R23" s="84">
        <v>2123</v>
      </c>
      <c r="S23" s="85">
        <f t="shared" si="0"/>
        <v>17222</v>
      </c>
      <c r="T23" s="85"/>
      <c r="U23" s="79"/>
      <c r="V23" s="77" t="s">
        <v>3</v>
      </c>
      <c r="W23" s="86">
        <v>39100</v>
      </c>
      <c r="X23" s="87">
        <f>W23/SUM(W20:W23)</f>
        <v>0.24855381094653869</v>
      </c>
      <c r="Y23" s="88">
        <f>Y20+(X20+X21+X22)*(Y24-Y20)</f>
        <v>13729.705358845591</v>
      </c>
    </row>
    <row r="24" spans="2:25" x14ac:dyDescent="0.25">
      <c r="B24" s="5">
        <v>1979</v>
      </c>
      <c r="C24" s="4" t="s">
        <v>0</v>
      </c>
      <c r="D24" s="54">
        <v>11273</v>
      </c>
      <c r="E24" s="50">
        <v>2492</v>
      </c>
      <c r="F24" s="14"/>
      <c r="G24" s="15"/>
      <c r="H24" s="15"/>
      <c r="I24" s="15"/>
      <c r="J24" s="68"/>
      <c r="K24" s="55">
        <f t="shared" si="1"/>
        <v>13765</v>
      </c>
      <c r="L24" s="67">
        <v>11465.993740556874</v>
      </c>
      <c r="M24" s="48"/>
      <c r="O24" s="83">
        <v>1991</v>
      </c>
      <c r="P24" s="83" t="s">
        <v>31</v>
      </c>
      <c r="Q24" s="84">
        <v>15155</v>
      </c>
      <c r="R24" s="84">
        <v>1990</v>
      </c>
      <c r="S24" s="85">
        <f t="shared" si="0"/>
        <v>17145</v>
      </c>
      <c r="T24" s="85"/>
      <c r="U24" s="79">
        <v>1979</v>
      </c>
      <c r="V24" s="77" t="s">
        <v>0</v>
      </c>
      <c r="W24" s="86">
        <v>23320</v>
      </c>
      <c r="X24" s="87">
        <f>W24/SUM(W24:W27)</f>
        <v>0.16193319908339698</v>
      </c>
      <c r="Y24" s="88">
        <v>13765</v>
      </c>
    </row>
    <row r="25" spans="2:25" x14ac:dyDescent="0.25">
      <c r="B25" s="5"/>
      <c r="C25" s="4" t="s">
        <v>1</v>
      </c>
      <c r="D25" s="46"/>
      <c r="F25" s="14"/>
      <c r="G25" s="15"/>
      <c r="H25" s="15"/>
      <c r="I25" s="15"/>
      <c r="J25" s="68"/>
      <c r="K25" s="55"/>
      <c r="L25" s="67">
        <v>11520</v>
      </c>
      <c r="M25" s="48"/>
      <c r="O25" s="83">
        <v>1992</v>
      </c>
      <c r="P25" s="83" t="s">
        <v>31</v>
      </c>
      <c r="Q25" s="84">
        <v>15367</v>
      </c>
      <c r="R25" s="84">
        <v>2058</v>
      </c>
      <c r="S25" s="85">
        <f t="shared" si="0"/>
        <v>17425</v>
      </c>
      <c r="T25" s="85"/>
      <c r="U25" s="79"/>
      <c r="V25" s="77" t="s">
        <v>1</v>
      </c>
      <c r="W25" s="86">
        <v>40050</v>
      </c>
      <c r="X25" s="87">
        <f>W25/SUM(W24:W27)</f>
        <v>0.27810568710506217</v>
      </c>
      <c r="Y25" s="88">
        <f>Y24+X24*(Y28-Y24)</f>
        <v>13787.670647871675</v>
      </c>
    </row>
    <row r="26" spans="2:25" x14ac:dyDescent="0.25">
      <c r="B26" s="5"/>
      <c r="C26" s="4" t="s">
        <v>2</v>
      </c>
      <c r="D26" s="46"/>
      <c r="F26" s="14"/>
      <c r="G26" s="15"/>
      <c r="H26" s="15"/>
      <c r="I26" s="15"/>
      <c r="J26" s="68"/>
      <c r="K26" s="55"/>
      <c r="L26" s="67">
        <v>11550.337992545261</v>
      </c>
      <c r="M26" s="48"/>
      <c r="O26" s="83">
        <v>1993</v>
      </c>
      <c r="P26" s="83" t="s">
        <v>31</v>
      </c>
      <c r="Q26" s="84">
        <v>15523</v>
      </c>
      <c r="R26" s="84">
        <v>2120</v>
      </c>
      <c r="S26" s="85">
        <f t="shared" si="0"/>
        <v>17643</v>
      </c>
      <c r="T26" s="85"/>
      <c r="U26" s="79"/>
      <c r="V26" s="77" t="s">
        <v>2</v>
      </c>
      <c r="W26" s="86">
        <v>41250</v>
      </c>
      <c r="X26" s="87">
        <f>W26/SUM(W24:W27)</f>
        <v>0.28643844177487676</v>
      </c>
      <c r="Y26" s="88">
        <f>Y24+(X24+X25)*(Y28-Y24)</f>
        <v>13826.605444066385</v>
      </c>
    </row>
    <row r="27" spans="2:25" x14ac:dyDescent="0.25">
      <c r="B27" s="5"/>
      <c r="C27" s="4" t="s">
        <v>3</v>
      </c>
      <c r="D27" s="46"/>
      <c r="F27" s="14"/>
      <c r="G27" s="15"/>
      <c r="H27" s="15"/>
      <c r="I27" s="15"/>
      <c r="J27" s="68"/>
      <c r="K27" s="55"/>
      <c r="L27" s="67">
        <v>11577.277555910543</v>
      </c>
      <c r="M27" s="48"/>
      <c r="O27" s="83">
        <v>1994</v>
      </c>
      <c r="P27" s="83" t="s">
        <v>31</v>
      </c>
      <c r="Q27" s="84">
        <v>15695</v>
      </c>
      <c r="R27" s="84">
        <v>2184</v>
      </c>
      <c r="S27" s="85">
        <f t="shared" si="0"/>
        <v>17879</v>
      </c>
      <c r="T27" s="85"/>
      <c r="U27" s="79"/>
      <c r="V27" s="77" t="s">
        <v>3</v>
      </c>
      <c r="W27" s="86">
        <v>39390</v>
      </c>
      <c r="X27" s="87">
        <f>W27/SUM(W24:W27)</f>
        <v>0.27352267203666414</v>
      </c>
      <c r="Y27" s="88">
        <f>Y24+(X24+X25+X26)*(Y28-Y24)</f>
        <v>13866.706825914867</v>
      </c>
    </row>
    <row r="28" spans="2:25" x14ac:dyDescent="0.25">
      <c r="B28" s="5">
        <v>1980</v>
      </c>
      <c r="C28" s="4" t="s">
        <v>0</v>
      </c>
      <c r="D28" s="46">
        <v>11520</v>
      </c>
      <c r="E28" s="50">
        <v>2385</v>
      </c>
      <c r="F28" s="14"/>
      <c r="G28" s="15"/>
      <c r="H28" s="15"/>
      <c r="I28" s="15"/>
      <c r="J28" s="68"/>
      <c r="K28" s="55">
        <f t="shared" si="1"/>
        <v>13905</v>
      </c>
      <c r="L28" s="67">
        <v>11602.788604898828</v>
      </c>
      <c r="M28" s="48"/>
      <c r="O28" s="83">
        <v>1995</v>
      </c>
      <c r="P28" s="83" t="s">
        <v>31</v>
      </c>
      <c r="Q28" s="84">
        <v>15869</v>
      </c>
      <c r="R28" s="84">
        <v>2255</v>
      </c>
      <c r="S28" s="85">
        <f t="shared" si="0"/>
        <v>18124</v>
      </c>
      <c r="T28" s="85"/>
      <c r="U28" s="79">
        <v>1980</v>
      </c>
      <c r="V28" s="77" t="s">
        <v>0</v>
      </c>
      <c r="W28" s="86">
        <v>24530</v>
      </c>
      <c r="X28" s="87">
        <f>W28/SUM(W28:W31)</f>
        <v>0.25028058361391697</v>
      </c>
      <c r="Y28" s="88">
        <v>13905</v>
      </c>
    </row>
    <row r="29" spans="2:25" x14ac:dyDescent="0.25">
      <c r="B29" s="5"/>
      <c r="C29" s="4" t="s">
        <v>1</v>
      </c>
      <c r="D29" s="46"/>
      <c r="F29" s="14"/>
      <c r="G29" s="15"/>
      <c r="H29" s="15"/>
      <c r="I29" s="15"/>
      <c r="J29" s="68"/>
      <c r="K29" s="55"/>
      <c r="L29" s="67">
        <v>11617.999999999998</v>
      </c>
      <c r="M29" s="48"/>
      <c r="O29" s="83">
        <v>1996</v>
      </c>
      <c r="P29" s="83" t="s">
        <v>31</v>
      </c>
      <c r="Q29" s="84">
        <v>16013</v>
      </c>
      <c r="R29" s="84">
        <v>2332</v>
      </c>
      <c r="S29" s="85">
        <f t="shared" si="0"/>
        <v>18345</v>
      </c>
      <c r="T29" s="85"/>
      <c r="U29" s="79"/>
      <c r="V29" s="77" t="s">
        <v>1</v>
      </c>
      <c r="W29" s="86">
        <v>29440</v>
      </c>
      <c r="X29" s="87">
        <f>W29/SUM(W28:W31)</f>
        <v>0.30037751249872463</v>
      </c>
      <c r="Y29" s="88">
        <f>Y28+X28*(Y32-Y28)</f>
        <v>13935.784511784512</v>
      </c>
    </row>
    <row r="30" spans="2:25" x14ac:dyDescent="0.25">
      <c r="B30" s="5"/>
      <c r="C30" s="4" t="s">
        <v>2</v>
      </c>
      <c r="D30" s="46"/>
      <c r="F30" s="14"/>
      <c r="G30" s="15"/>
      <c r="H30" s="15"/>
      <c r="I30" s="15"/>
      <c r="J30" s="68"/>
      <c r="K30" s="55"/>
      <c r="L30" s="67">
        <v>11705.716587481924</v>
      </c>
      <c r="M30" s="48"/>
      <c r="O30" s="83">
        <v>1997</v>
      </c>
      <c r="P30" s="83" t="s">
        <v>31</v>
      </c>
      <c r="Q30" s="84">
        <v>16215</v>
      </c>
      <c r="R30" s="89">
        <v>2361</v>
      </c>
      <c r="S30" s="85">
        <f t="shared" si="0"/>
        <v>18576</v>
      </c>
      <c r="T30" s="85"/>
      <c r="U30" s="79"/>
      <c r="V30" s="77" t="s">
        <v>2</v>
      </c>
      <c r="W30" s="86">
        <v>23370</v>
      </c>
      <c r="X30" s="87">
        <f>W30/SUM(W28:W31)</f>
        <v>0.23844505662687482</v>
      </c>
      <c r="Y30" s="88">
        <f>Y28+(X28+X29)*(Y32-Y28)</f>
        <v>13972.730945821855</v>
      </c>
    </row>
    <row r="31" spans="2:25" x14ac:dyDescent="0.25">
      <c r="B31" s="5"/>
      <c r="C31" s="4" t="s">
        <v>3</v>
      </c>
      <c r="D31" s="46"/>
      <c r="F31" s="14"/>
      <c r="G31" s="15"/>
      <c r="H31" s="15"/>
      <c r="I31" s="15"/>
      <c r="J31" s="68"/>
      <c r="K31" s="55"/>
      <c r="L31" s="67">
        <v>11796.038834951454</v>
      </c>
      <c r="M31" s="48"/>
      <c r="O31" s="83">
        <v>1998</v>
      </c>
      <c r="P31" s="83" t="s">
        <v>31</v>
      </c>
      <c r="Q31" s="84">
        <v>16461</v>
      </c>
      <c r="R31" s="89">
        <v>2367</v>
      </c>
      <c r="S31" s="85">
        <f t="shared" si="0"/>
        <v>18828</v>
      </c>
      <c r="T31" s="85"/>
      <c r="U31" s="79"/>
      <c r="V31" s="77" t="s">
        <v>3</v>
      </c>
      <c r="W31" s="86">
        <v>20670</v>
      </c>
      <c r="X31" s="87">
        <f>W31/SUM(W28:W31)</f>
        <v>0.21089684726048363</v>
      </c>
      <c r="Y31" s="88">
        <f>Y28+(X28+X29+X30)*(Y32-Y28)</f>
        <v>14002.059687786961</v>
      </c>
    </row>
    <row r="32" spans="2:25" x14ac:dyDescent="0.25">
      <c r="B32" s="5">
        <v>1981</v>
      </c>
      <c r="C32" s="4" t="s">
        <v>0</v>
      </c>
      <c r="D32" s="46">
        <v>11618</v>
      </c>
      <c r="E32" s="50">
        <v>2410</v>
      </c>
      <c r="F32" s="14"/>
      <c r="G32" s="15"/>
      <c r="H32" s="15"/>
      <c r="I32" s="15"/>
      <c r="J32" s="68"/>
      <c r="K32" s="55">
        <f t="shared" si="1"/>
        <v>14028</v>
      </c>
      <c r="L32" s="67">
        <v>11882.288370171451</v>
      </c>
      <c r="M32" s="48"/>
      <c r="O32" s="83">
        <v>1999</v>
      </c>
      <c r="P32" s="83" t="s">
        <v>31</v>
      </c>
      <c r="Q32" s="84">
        <v>16734</v>
      </c>
      <c r="R32" s="89">
        <v>2324</v>
      </c>
      <c r="S32" s="85">
        <f t="shared" si="0"/>
        <v>19058</v>
      </c>
      <c r="T32" s="85"/>
      <c r="U32" s="79">
        <v>1981</v>
      </c>
      <c r="V32" s="77" t="s">
        <v>0</v>
      </c>
      <c r="W32" s="86">
        <v>26290</v>
      </c>
      <c r="X32" s="87">
        <f>W32/SUM(W32:W35)</f>
        <v>0.22835056023625466</v>
      </c>
      <c r="Y32" s="88">
        <v>14028</v>
      </c>
    </row>
    <row r="33" spans="2:25" x14ac:dyDescent="0.25">
      <c r="B33" s="5"/>
      <c r="C33" s="4" t="s">
        <v>1</v>
      </c>
      <c r="D33" s="46"/>
      <c r="F33" s="14"/>
      <c r="G33" s="15"/>
      <c r="H33" s="15"/>
      <c r="I33" s="15"/>
      <c r="J33" s="68"/>
      <c r="K33" s="55"/>
      <c r="L33" s="67">
        <v>11935.999999999998</v>
      </c>
      <c r="M33" s="72"/>
      <c r="O33" s="83">
        <v>2000</v>
      </c>
      <c r="P33" s="83" t="s">
        <v>31</v>
      </c>
      <c r="Q33" s="84">
        <v>16949</v>
      </c>
      <c r="R33" s="89">
        <v>2350</v>
      </c>
      <c r="S33" s="85">
        <f t="shared" si="0"/>
        <v>19299</v>
      </c>
      <c r="T33" s="85"/>
      <c r="U33" s="79"/>
      <c r="V33" s="77" t="s">
        <v>1</v>
      </c>
      <c r="W33" s="86">
        <v>32240</v>
      </c>
      <c r="X33" s="87">
        <f>W33/SUM(W32:W35)</f>
        <v>0.2800312690002606</v>
      </c>
      <c r="Y33" s="88">
        <f>Y32+X32*(Y36-Y32)</f>
        <v>14072.756709806306</v>
      </c>
    </row>
    <row r="34" spans="2:25" x14ac:dyDescent="0.25">
      <c r="B34" s="5"/>
      <c r="C34" s="4" t="s">
        <v>2</v>
      </c>
      <c r="D34" s="46"/>
      <c r="F34" s="14"/>
      <c r="G34" s="15"/>
      <c r="H34" s="15"/>
      <c r="I34" s="15"/>
      <c r="J34" s="68"/>
      <c r="K34" s="55"/>
      <c r="L34" s="67">
        <v>12060.270321739999</v>
      </c>
      <c r="M34" s="72"/>
      <c r="O34" s="83">
        <v>2001</v>
      </c>
      <c r="P34" s="83" t="s">
        <v>31</v>
      </c>
      <c r="Q34" s="90">
        <v>17115</v>
      </c>
      <c r="R34" s="90">
        <v>2404</v>
      </c>
      <c r="S34" s="85">
        <f t="shared" si="0"/>
        <v>19519</v>
      </c>
      <c r="T34" s="85"/>
      <c r="U34" s="79"/>
      <c r="V34" s="77" t="s">
        <v>2</v>
      </c>
      <c r="W34" s="86">
        <v>32080</v>
      </c>
      <c r="X34" s="87">
        <f>W34/SUM(W32:W35)</f>
        <v>0.27864153565534611</v>
      </c>
      <c r="Y34" s="88">
        <f>Y32+(X32+X33)*(Y36-Y32)</f>
        <v>14127.642838530357</v>
      </c>
    </row>
    <row r="35" spans="2:25" x14ac:dyDescent="0.25">
      <c r="B35" s="5"/>
      <c r="C35" s="4" t="s">
        <v>3</v>
      </c>
      <c r="D35" s="46"/>
      <c r="F35" s="14"/>
      <c r="G35" s="15"/>
      <c r="H35" s="15"/>
      <c r="I35" s="15"/>
      <c r="J35" s="68"/>
      <c r="K35" s="55"/>
      <c r="L35" s="67">
        <v>12158.969229227219</v>
      </c>
      <c r="M35" s="72"/>
      <c r="O35" s="83">
        <v>2002</v>
      </c>
      <c r="P35" s="83" t="s">
        <v>31</v>
      </c>
      <c r="Q35" s="90">
        <v>17280</v>
      </c>
      <c r="R35" s="90">
        <v>2465</v>
      </c>
      <c r="S35" s="85">
        <f t="shared" si="0"/>
        <v>19745</v>
      </c>
      <c r="T35" s="85"/>
      <c r="U35" s="79"/>
      <c r="V35" s="77" t="s">
        <v>3</v>
      </c>
      <c r="W35" s="86">
        <v>24520</v>
      </c>
      <c r="X35" s="87">
        <f>W35/SUM(W32:W35)</f>
        <v>0.21297663510813863</v>
      </c>
      <c r="Y35" s="88">
        <f>Y32+(X32+X33+X34)*(Y36-Y32)</f>
        <v>14182.256579518806</v>
      </c>
    </row>
    <row r="36" spans="2:25" ht="17.25" x14ac:dyDescent="0.25">
      <c r="B36" s="5">
        <v>1982</v>
      </c>
      <c r="C36" s="4" t="s">
        <v>0</v>
      </c>
      <c r="D36" s="46">
        <v>11936</v>
      </c>
      <c r="E36" s="50">
        <v>2288</v>
      </c>
      <c r="F36" s="14"/>
      <c r="G36" s="15"/>
      <c r="H36" s="15"/>
      <c r="I36" s="15"/>
      <c r="J36" s="68"/>
      <c r="K36" s="55">
        <f t="shared" si="1"/>
        <v>14224</v>
      </c>
      <c r="L36" s="67">
        <v>12246.021750025055</v>
      </c>
      <c r="M36" s="72"/>
      <c r="O36" s="83" t="s">
        <v>326</v>
      </c>
      <c r="P36" s="83" t="s">
        <v>31</v>
      </c>
      <c r="Q36" s="90">
        <v>17223</v>
      </c>
      <c r="R36" s="90">
        <v>2834</v>
      </c>
      <c r="S36" s="85">
        <f t="shared" si="0"/>
        <v>20057</v>
      </c>
      <c r="T36" s="85"/>
      <c r="U36" s="79">
        <v>1982</v>
      </c>
      <c r="V36" s="77" t="s">
        <v>0</v>
      </c>
      <c r="W36" s="86">
        <v>31770</v>
      </c>
      <c r="X36" s="87">
        <f>W36/SUM(W36:W39)</f>
        <v>0.22687995429550811</v>
      </c>
      <c r="Y36" s="88">
        <v>14224</v>
      </c>
    </row>
    <row r="37" spans="2:25" ht="17.25" x14ac:dyDescent="0.25">
      <c r="B37" s="5"/>
      <c r="C37" s="4" t="s">
        <v>1</v>
      </c>
      <c r="D37" s="46"/>
      <c r="F37" s="14"/>
      <c r="G37" s="15"/>
      <c r="H37" s="15"/>
      <c r="I37" s="15"/>
      <c r="J37" s="68"/>
      <c r="K37" s="55"/>
      <c r="L37" s="67">
        <v>12356.999999999996</v>
      </c>
      <c r="M37" s="72"/>
      <c r="O37" s="83" t="s">
        <v>327</v>
      </c>
      <c r="P37" s="83" t="s">
        <v>31</v>
      </c>
      <c r="Q37" s="90">
        <v>17478</v>
      </c>
      <c r="R37" s="90">
        <v>2895</v>
      </c>
      <c r="S37" s="85">
        <f t="shared" si="0"/>
        <v>20373</v>
      </c>
      <c r="T37" s="85"/>
      <c r="U37" s="79"/>
      <c r="V37" s="77" t="s">
        <v>1</v>
      </c>
      <c r="W37" s="86">
        <v>38120</v>
      </c>
      <c r="X37" s="87">
        <f>W37/SUM(W36:W39)</f>
        <v>0.2722273798471756</v>
      </c>
      <c r="Y37" s="88">
        <f>Y36+X36*(Y40-Y36)</f>
        <v>14299.777904734699</v>
      </c>
    </row>
    <row r="38" spans="2:25" ht="17.25" x14ac:dyDescent="0.25">
      <c r="B38" s="5"/>
      <c r="C38" s="4" t="s">
        <v>2</v>
      </c>
      <c r="D38" s="46"/>
      <c r="F38" s="14"/>
      <c r="G38" s="15"/>
      <c r="H38" s="15"/>
      <c r="I38" s="15"/>
      <c r="J38" s="68"/>
      <c r="K38" s="55"/>
      <c r="L38" s="67">
        <v>12459.516672196412</v>
      </c>
      <c r="M38" s="72"/>
      <c r="O38" s="83" t="s">
        <v>328</v>
      </c>
      <c r="P38" s="83" t="s">
        <v>31</v>
      </c>
      <c r="Q38" s="90">
        <v>17625</v>
      </c>
      <c r="R38" s="90">
        <v>3054</v>
      </c>
      <c r="S38" s="85">
        <f t="shared" si="0"/>
        <v>20679</v>
      </c>
      <c r="T38" s="85"/>
      <c r="U38" s="79"/>
      <c r="V38" s="77" t="s">
        <v>2</v>
      </c>
      <c r="W38" s="86">
        <v>38000</v>
      </c>
      <c r="X38" s="87">
        <f>W38/SUM(W36:W39)</f>
        <v>0.27137042062415195</v>
      </c>
      <c r="Y38" s="88">
        <f>Y36+(X36+X37)*(Y40-Y36)</f>
        <v>14390.701849603656</v>
      </c>
    </row>
    <row r="39" spans="2:25" ht="17.25" x14ac:dyDescent="0.25">
      <c r="B39" s="5"/>
      <c r="C39" s="4" t="s">
        <v>3</v>
      </c>
      <c r="D39" s="46"/>
      <c r="F39" s="14"/>
      <c r="G39" s="15"/>
      <c r="H39" s="15"/>
      <c r="I39" s="15"/>
      <c r="J39" s="68"/>
      <c r="K39" s="55"/>
      <c r="L39" s="67">
        <v>12561.302670869272</v>
      </c>
      <c r="M39" s="72"/>
      <c r="O39" s="83" t="s">
        <v>329</v>
      </c>
      <c r="P39" s="83" t="s">
        <v>31</v>
      </c>
      <c r="Q39" s="90">
        <v>17608</v>
      </c>
      <c r="R39" s="90">
        <v>3334</v>
      </c>
      <c r="S39" s="85">
        <f t="shared" si="0"/>
        <v>20942</v>
      </c>
      <c r="T39" s="85"/>
      <c r="U39" s="79"/>
      <c r="V39" s="77" t="s">
        <v>3</v>
      </c>
      <c r="W39" s="86">
        <v>32140</v>
      </c>
      <c r="X39" s="87">
        <f>W39/SUM(W36:W39)</f>
        <v>0.22952224523316433</v>
      </c>
      <c r="Y39" s="88">
        <f>Y36+(X36+X37+X38)*(Y40-Y36)</f>
        <v>14481.339570092123</v>
      </c>
    </row>
    <row r="40" spans="2:25" ht="17.25" x14ac:dyDescent="0.25">
      <c r="B40" s="5">
        <v>1983</v>
      </c>
      <c r="C40" s="4" t="s">
        <v>0</v>
      </c>
      <c r="D40" s="46">
        <v>12357</v>
      </c>
      <c r="E40" s="50">
        <v>2201</v>
      </c>
      <c r="F40" s="14"/>
      <c r="G40" s="15"/>
      <c r="H40" s="15"/>
      <c r="I40" s="15"/>
      <c r="J40" s="68"/>
      <c r="K40" s="55">
        <f t="shared" si="1"/>
        <v>14558</v>
      </c>
      <c r="L40" s="67">
        <v>12639.167053749166</v>
      </c>
      <c r="M40" s="72"/>
      <c r="O40" s="83" t="s">
        <v>330</v>
      </c>
      <c r="P40" s="83" t="s">
        <v>31</v>
      </c>
      <c r="Q40" s="90">
        <v>17657</v>
      </c>
      <c r="R40" s="90">
        <v>3563</v>
      </c>
      <c r="S40" s="85">
        <f t="shared" si="0"/>
        <v>21220</v>
      </c>
      <c r="T40" s="85"/>
      <c r="U40" s="79">
        <v>1983</v>
      </c>
      <c r="V40" s="77" t="s">
        <v>0</v>
      </c>
      <c r="W40" s="86">
        <v>39890</v>
      </c>
      <c r="X40" s="87">
        <f>W40/SUM(W40:W43)</f>
        <v>0.23568685376661744</v>
      </c>
      <c r="Y40" s="88">
        <v>14558</v>
      </c>
    </row>
    <row r="41" spans="2:25" ht="17.25" x14ac:dyDescent="0.25">
      <c r="B41" s="5"/>
      <c r="C41" s="4" t="s">
        <v>1</v>
      </c>
      <c r="D41" s="46"/>
      <c r="F41" s="14"/>
      <c r="G41" s="15"/>
      <c r="H41" s="15"/>
      <c r="I41" s="15"/>
      <c r="J41" s="68"/>
      <c r="K41" s="55"/>
      <c r="L41" s="67">
        <v>12739.999999999996</v>
      </c>
      <c r="M41" s="72"/>
      <c r="O41" s="83" t="s">
        <v>331</v>
      </c>
      <c r="P41" s="83" t="s">
        <v>31</v>
      </c>
      <c r="Q41" s="90">
        <v>17660</v>
      </c>
      <c r="R41" s="90">
        <v>3837</v>
      </c>
      <c r="S41" s="85">
        <f t="shared" si="0"/>
        <v>21497</v>
      </c>
      <c r="T41" s="85"/>
      <c r="U41" s="79"/>
      <c r="V41" s="77" t="s">
        <v>1</v>
      </c>
      <c r="W41" s="86">
        <v>47850</v>
      </c>
      <c r="X41" s="87">
        <f>W41/SUM(W40:W43)</f>
        <v>0.28271787296898082</v>
      </c>
      <c r="Y41" s="88">
        <f>Y40+X40*(Y44-Y40)</f>
        <v>14629.413116691285</v>
      </c>
    </row>
    <row r="42" spans="2:25" ht="17.25" x14ac:dyDescent="0.25">
      <c r="B42" s="5"/>
      <c r="C42" s="4" t="s">
        <v>2</v>
      </c>
      <c r="D42" s="46"/>
      <c r="F42" s="14"/>
      <c r="G42" s="15"/>
      <c r="H42" s="15"/>
      <c r="I42" s="15"/>
      <c r="J42" s="68"/>
      <c r="K42" s="55"/>
      <c r="L42" s="67">
        <v>12832.165531197299</v>
      </c>
      <c r="M42" s="72"/>
      <c r="O42" s="83" t="s">
        <v>332</v>
      </c>
      <c r="P42" s="83" t="s">
        <v>31</v>
      </c>
      <c r="Q42" s="90">
        <v>17547</v>
      </c>
      <c r="R42" s="90">
        <v>4147</v>
      </c>
      <c r="S42" s="85">
        <f t="shared" si="0"/>
        <v>21694</v>
      </c>
      <c r="T42" s="85"/>
      <c r="U42" s="79"/>
      <c r="V42" s="77" t="s">
        <v>2</v>
      </c>
      <c r="W42" s="86">
        <v>43730</v>
      </c>
      <c r="X42" s="87">
        <f>W42/SUM(W40:W43)</f>
        <v>0.25837518463810932</v>
      </c>
      <c r="Y42" s="88">
        <f>Y40+(X40+X41)*(Y44-Y40)</f>
        <v>14715.076632200886</v>
      </c>
    </row>
    <row r="43" spans="2:25" ht="17.25" x14ac:dyDescent="0.25">
      <c r="B43" s="5"/>
      <c r="C43" s="4" t="s">
        <v>3</v>
      </c>
      <c r="D43" s="46"/>
      <c r="F43" s="14"/>
      <c r="G43" s="15"/>
      <c r="H43" s="15"/>
      <c r="I43" s="15"/>
      <c r="J43" s="68"/>
      <c r="K43" s="55"/>
      <c r="L43" s="67">
        <v>12924.20998313659</v>
      </c>
      <c r="M43" s="72"/>
      <c r="O43" s="83" t="s">
        <v>333</v>
      </c>
      <c r="P43" s="83" t="s">
        <v>31</v>
      </c>
      <c r="Q43" s="90">
        <v>17463</v>
      </c>
      <c r="R43" s="90">
        <v>4385</v>
      </c>
      <c r="S43" s="85">
        <f t="shared" si="0"/>
        <v>21848</v>
      </c>
      <c r="T43" s="85"/>
      <c r="U43" s="79"/>
      <c r="V43" s="77" t="s">
        <v>3</v>
      </c>
      <c r="W43" s="86">
        <v>37780</v>
      </c>
      <c r="X43" s="87">
        <f>W43/SUM(W40:W43)</f>
        <v>0.22322008862629247</v>
      </c>
      <c r="Y43" s="88">
        <f>Y40+(X40+X41+X42)*(Y44-Y40)</f>
        <v>14793.364313146234</v>
      </c>
    </row>
    <row r="44" spans="2:25" ht="17.25" x14ac:dyDescent="0.25">
      <c r="B44" s="5">
        <v>1984</v>
      </c>
      <c r="C44" s="4" t="s">
        <v>0</v>
      </c>
      <c r="D44" s="46">
        <v>12740</v>
      </c>
      <c r="E44" s="50">
        <v>2121</v>
      </c>
      <c r="F44" s="14"/>
      <c r="G44" s="15"/>
      <c r="H44" s="15"/>
      <c r="I44" s="15"/>
      <c r="J44" s="68"/>
      <c r="K44" s="55">
        <f t="shared" si="1"/>
        <v>14861</v>
      </c>
      <c r="L44" s="67">
        <v>13002.330320404719</v>
      </c>
      <c r="M44" s="72"/>
      <c r="O44" s="83" t="s">
        <v>334</v>
      </c>
      <c r="P44" s="83" t="s">
        <v>31</v>
      </c>
      <c r="Q44" s="90">
        <v>17388</v>
      </c>
      <c r="R44" s="90">
        <v>4605</v>
      </c>
      <c r="S44" s="85">
        <f t="shared" si="0"/>
        <v>21993</v>
      </c>
      <c r="T44" s="85"/>
      <c r="U44" s="79">
        <v>1984</v>
      </c>
      <c r="V44" s="77" t="s">
        <v>0</v>
      </c>
      <c r="W44" s="86">
        <v>37090</v>
      </c>
      <c r="X44" s="87">
        <f>W44/SUM(W44:W47)</f>
        <v>0.24140848737307993</v>
      </c>
      <c r="Y44" s="88">
        <v>14861</v>
      </c>
    </row>
    <row r="45" spans="2:25" ht="17.25" x14ac:dyDescent="0.25">
      <c r="B45" s="5"/>
      <c r="C45" s="4" t="s">
        <v>1</v>
      </c>
      <c r="D45" s="46"/>
      <c r="F45" s="14"/>
      <c r="G45" s="15"/>
      <c r="H45" s="15"/>
      <c r="I45" s="15"/>
      <c r="J45" s="68"/>
      <c r="K45" s="55"/>
      <c r="L45" s="67">
        <v>13098.999999999996</v>
      </c>
      <c r="M45" s="72"/>
      <c r="O45" s="83" t="s">
        <v>335</v>
      </c>
      <c r="P45" s="83" t="s">
        <v>31</v>
      </c>
      <c r="Q45" s="90">
        <v>17276</v>
      </c>
      <c r="R45" s="90">
        <v>4841</v>
      </c>
      <c r="S45" s="85">
        <f t="shared" si="0"/>
        <v>22117</v>
      </c>
      <c r="T45" s="85"/>
      <c r="U45" s="79"/>
      <c r="V45" s="77" t="s">
        <v>1</v>
      </c>
      <c r="W45" s="86">
        <v>43670</v>
      </c>
      <c r="X45" s="87">
        <f>W45/SUM(W44:W47)</f>
        <v>0.28423587607393908</v>
      </c>
      <c r="Y45" s="88">
        <f>Y44+X44*(Y48-Y44)</f>
        <v>14928.111559489716</v>
      </c>
    </row>
    <row r="46" spans="2:25" ht="17.25" x14ac:dyDescent="0.25">
      <c r="B46" s="5"/>
      <c r="C46" s="4" t="s">
        <v>2</v>
      </c>
      <c r="D46" s="46"/>
      <c r="F46" s="14"/>
      <c r="G46" s="15"/>
      <c r="H46" s="15"/>
      <c r="I46" s="15"/>
      <c r="J46" s="68"/>
      <c r="K46" s="55"/>
      <c r="L46" s="67">
        <v>13196.896499969978</v>
      </c>
      <c r="M46" s="72"/>
      <c r="O46" s="83" t="s">
        <v>336</v>
      </c>
      <c r="P46" s="83" t="s">
        <v>31</v>
      </c>
      <c r="Q46" s="90">
        <v>17201</v>
      </c>
      <c r="R46" s="90">
        <v>5046</v>
      </c>
      <c r="S46" s="85">
        <f t="shared" si="0"/>
        <v>22247</v>
      </c>
      <c r="T46" s="85"/>
      <c r="U46" s="79"/>
      <c r="V46" s="77" t="s">
        <v>2</v>
      </c>
      <c r="W46" s="86">
        <v>40180</v>
      </c>
      <c r="X46" s="87">
        <f>W46/SUM(W44:W47)</f>
        <v>0.26152043738609737</v>
      </c>
      <c r="Y46" s="88">
        <f>Y44+(X44+X45)*(Y48-Y44)</f>
        <v>15007.129133038272</v>
      </c>
    </row>
    <row r="47" spans="2:25" ht="17.25" x14ac:dyDescent="0.25">
      <c r="B47" s="5"/>
      <c r="C47" s="4" t="s">
        <v>3</v>
      </c>
      <c r="D47" s="46"/>
      <c r="F47" s="14"/>
      <c r="G47" s="15"/>
      <c r="H47" s="15"/>
      <c r="I47" s="15"/>
      <c r="J47" s="68"/>
      <c r="K47" s="55"/>
      <c r="L47" s="67">
        <v>13286.624722338953</v>
      </c>
      <c r="M47" s="72"/>
      <c r="O47" s="83" t="s">
        <v>337</v>
      </c>
      <c r="P47" s="83" t="s">
        <v>31</v>
      </c>
      <c r="Q47" s="90">
        <v>17201</v>
      </c>
      <c r="R47" s="90">
        <v>5212</v>
      </c>
      <c r="S47" s="85">
        <f t="shared" si="0"/>
        <v>22413</v>
      </c>
      <c r="T47" s="85"/>
      <c r="U47" s="79"/>
      <c r="V47" s="77" t="s">
        <v>3</v>
      </c>
      <c r="W47" s="86">
        <v>32700</v>
      </c>
      <c r="X47" s="87">
        <f>W47/SUM(W44:W47)</f>
        <v>0.21283519916688362</v>
      </c>
      <c r="Y47" s="88">
        <f>Y44+(X44+X45+X46)*(Y48-Y44)</f>
        <v>15079.831814631607</v>
      </c>
    </row>
    <row r="48" spans="2:25" ht="17.25" x14ac:dyDescent="0.25">
      <c r="B48" s="5">
        <v>1985</v>
      </c>
      <c r="C48" s="4" t="s">
        <v>0</v>
      </c>
      <c r="D48" s="46">
        <v>13099</v>
      </c>
      <c r="E48" s="50">
        <v>2040</v>
      </c>
      <c r="F48" s="14"/>
      <c r="G48" s="15"/>
      <c r="H48" s="15"/>
      <c r="I48" s="15"/>
      <c r="J48" s="68"/>
      <c r="K48" s="55">
        <f t="shared" si="1"/>
        <v>15139</v>
      </c>
      <c r="L48" s="67">
        <v>13364.049348622197</v>
      </c>
      <c r="M48" s="72"/>
      <c r="O48" s="83" t="s">
        <v>338</v>
      </c>
      <c r="P48" s="83" t="s">
        <v>31</v>
      </c>
      <c r="Q48" s="90">
        <v>17217</v>
      </c>
      <c r="R48" s="90">
        <v>5376</v>
      </c>
      <c r="S48" s="85">
        <f t="shared" si="0"/>
        <v>22593</v>
      </c>
      <c r="T48" s="85"/>
      <c r="U48" s="79">
        <v>1985</v>
      </c>
      <c r="V48" s="77" t="s">
        <v>0</v>
      </c>
      <c r="W48" s="86">
        <v>33640</v>
      </c>
      <c r="X48" s="87">
        <f>W48/SUM(W48:W51)</f>
        <v>0.2070918492982024</v>
      </c>
      <c r="Y48" s="88">
        <v>15139</v>
      </c>
    </row>
    <row r="49" spans="2:25" ht="17.25" x14ac:dyDescent="0.25">
      <c r="B49" s="5"/>
      <c r="C49" s="4" t="s">
        <v>1</v>
      </c>
      <c r="D49" s="46"/>
      <c r="F49" s="14"/>
      <c r="G49" s="15"/>
      <c r="H49" s="15"/>
      <c r="I49" s="15"/>
      <c r="J49" s="68"/>
      <c r="K49" s="55"/>
      <c r="L49" s="67">
        <v>13439.999999999996</v>
      </c>
      <c r="M49" s="72"/>
      <c r="O49" s="83" t="s">
        <v>339</v>
      </c>
      <c r="P49" s="83" t="s">
        <v>31</v>
      </c>
      <c r="Q49" s="90">
        <v>17341</v>
      </c>
      <c r="R49" s="90">
        <v>5452</v>
      </c>
      <c r="S49" s="85">
        <f t="shared" si="0"/>
        <v>22793</v>
      </c>
      <c r="T49" s="85"/>
      <c r="U49" s="79"/>
      <c r="V49" s="77" t="s">
        <v>1</v>
      </c>
      <c r="W49" s="86">
        <v>45460</v>
      </c>
      <c r="X49" s="87">
        <f>W49/SUM(W48:W51)</f>
        <v>0.27985717803496674</v>
      </c>
      <c r="Y49" s="88">
        <f>Y48+X48*(Y52-Y48)</f>
        <v>15193.672248214725</v>
      </c>
    </row>
    <row r="50" spans="2:25" ht="17.25" x14ac:dyDescent="0.25">
      <c r="B50" s="5"/>
      <c r="C50" s="4" t="s">
        <v>2</v>
      </c>
      <c r="D50" s="46"/>
      <c r="F50" s="14"/>
      <c r="G50" s="15"/>
      <c r="H50" s="15"/>
      <c r="I50" s="15"/>
      <c r="J50" s="68"/>
      <c r="K50" s="55"/>
      <c r="L50" s="67">
        <v>13541.803780617674</v>
      </c>
      <c r="M50" s="72"/>
      <c r="O50" s="83" t="s">
        <v>340</v>
      </c>
      <c r="P50" s="83" t="s">
        <v>31</v>
      </c>
      <c r="Q50" s="90">
        <v>17617</v>
      </c>
      <c r="R50" s="90">
        <v>5416</v>
      </c>
      <c r="S50" s="85">
        <f t="shared" si="0"/>
        <v>23033</v>
      </c>
      <c r="T50" s="85"/>
      <c r="U50" s="79"/>
      <c r="V50" s="77" t="s">
        <v>2</v>
      </c>
      <c r="W50" s="86">
        <v>44650</v>
      </c>
      <c r="X50" s="87">
        <f>W50/SUM(W48:W51)</f>
        <v>0.27487072149716818</v>
      </c>
      <c r="Y50" s="88">
        <f>Y48+(X48+X49)*(Y52-Y48)</f>
        <v>15267.554543215956</v>
      </c>
    </row>
    <row r="51" spans="2:25" x14ac:dyDescent="0.25">
      <c r="B51" s="5"/>
      <c r="C51" s="4" t="s">
        <v>3</v>
      </c>
      <c r="D51" s="46"/>
      <c r="F51" s="14"/>
      <c r="G51" s="15"/>
      <c r="H51" s="15"/>
      <c r="I51" s="15"/>
      <c r="J51" s="68"/>
      <c r="K51" s="55"/>
      <c r="L51" s="67">
        <v>13635.617012779549</v>
      </c>
      <c r="M51" s="72"/>
      <c r="O51" s="83">
        <v>2018</v>
      </c>
      <c r="P51" s="83" t="s">
        <v>31</v>
      </c>
      <c r="Q51" s="90">
        <v>17925</v>
      </c>
      <c r="R51" s="90">
        <v>5367</v>
      </c>
      <c r="S51" s="85">
        <f t="shared" si="0"/>
        <v>23292</v>
      </c>
      <c r="U51" s="79"/>
      <c r="V51" s="77" t="s">
        <v>3</v>
      </c>
      <c r="W51" s="86">
        <v>38690</v>
      </c>
      <c r="X51" s="87">
        <f>W51/SUM(W48:W51)</f>
        <v>0.23818025116966265</v>
      </c>
      <c r="Y51" s="88">
        <f>Y48+(X48+X49+X50)*(Y52-Y48)</f>
        <v>15340.120413691209</v>
      </c>
    </row>
    <row r="52" spans="2:25" x14ac:dyDescent="0.25">
      <c r="B52" s="5">
        <v>1986</v>
      </c>
      <c r="C52" s="4" t="s">
        <v>0</v>
      </c>
      <c r="D52" s="46">
        <v>13440</v>
      </c>
      <c r="E52" s="50">
        <v>1963</v>
      </c>
      <c r="F52" s="14"/>
      <c r="G52" s="15"/>
      <c r="H52" s="15"/>
      <c r="I52" s="15"/>
      <c r="J52" s="68"/>
      <c r="K52" s="55">
        <f t="shared" si="1"/>
        <v>15403</v>
      </c>
      <c r="L52" s="67">
        <v>13711.655351437696</v>
      </c>
      <c r="M52" s="72"/>
      <c r="O52" s="83">
        <v>2019</v>
      </c>
      <c r="P52" s="83" t="s">
        <v>31</v>
      </c>
      <c r="Q52" s="90">
        <v>18171.367075735841</v>
      </c>
      <c r="R52" s="90">
        <v>5364.2664437012263</v>
      </c>
      <c r="S52" s="85">
        <f t="shared" si="0"/>
        <v>23535.633519437069</v>
      </c>
      <c r="U52" s="79">
        <v>1986</v>
      </c>
      <c r="V52" s="77" t="s">
        <v>0</v>
      </c>
      <c r="W52" s="86">
        <v>35890</v>
      </c>
      <c r="X52" s="87">
        <f>W52/SUM(W52:W55)</f>
        <v>0.20429189435336975</v>
      </c>
      <c r="Y52" s="88">
        <v>15403</v>
      </c>
    </row>
    <row r="53" spans="2:25" x14ac:dyDescent="0.25">
      <c r="B53" s="5"/>
      <c r="C53" s="4" t="s">
        <v>1</v>
      </c>
      <c r="D53" s="46"/>
      <c r="F53" s="14"/>
      <c r="G53" s="15"/>
      <c r="H53" s="15"/>
      <c r="I53" s="15"/>
      <c r="J53" s="68"/>
      <c r="K53" s="55"/>
      <c r="L53" s="67">
        <v>13789.999999999996</v>
      </c>
      <c r="M53" s="48"/>
      <c r="O53" s="83">
        <v>2020</v>
      </c>
      <c r="P53" s="83" t="s">
        <v>31</v>
      </c>
      <c r="Q53" s="90">
        <v>18347</v>
      </c>
      <c r="R53" s="90">
        <v>5434</v>
      </c>
      <c r="S53" s="85">
        <f t="shared" si="0"/>
        <v>23781</v>
      </c>
      <c r="U53" s="79"/>
      <c r="V53" s="77" t="s">
        <v>1</v>
      </c>
      <c r="W53" s="86">
        <v>50150</v>
      </c>
      <c r="X53" s="87">
        <f>W53/SUM(W52:W55)</f>
        <v>0.28546220400728595</v>
      </c>
      <c r="Y53" s="88">
        <f>Y52+X52*(Y56-Y52)</f>
        <v>15458.567395264117</v>
      </c>
    </row>
    <row r="54" spans="2:25" x14ac:dyDescent="0.25">
      <c r="B54" s="5"/>
      <c r="C54" s="4" t="s">
        <v>2</v>
      </c>
      <c r="D54" s="46"/>
      <c r="F54" s="14"/>
      <c r="G54" s="15"/>
      <c r="H54" s="15"/>
      <c r="I54" s="15"/>
      <c r="J54" s="68"/>
      <c r="K54" s="55"/>
      <c r="L54" s="67">
        <v>13839.09414048283</v>
      </c>
      <c r="M54" s="48"/>
      <c r="O54" s="83"/>
      <c r="P54" s="83"/>
      <c r="U54" s="79"/>
      <c r="V54" s="77" t="s">
        <v>2</v>
      </c>
      <c r="W54" s="86">
        <v>49990</v>
      </c>
      <c r="X54" s="87">
        <f>W54/SUM(W52:W55)</f>
        <v>0.28455145719489983</v>
      </c>
      <c r="Y54" s="88">
        <f>Y52+(X52+X53)*(Y56-Y52)</f>
        <v>15536.213114754099</v>
      </c>
    </row>
    <row r="55" spans="2:25" x14ac:dyDescent="0.25">
      <c r="B55" s="5"/>
      <c r="C55" s="4" t="s">
        <v>3</v>
      </c>
      <c r="D55" s="46"/>
      <c r="F55" s="14"/>
      <c r="G55" s="15"/>
      <c r="H55" s="15"/>
      <c r="I55" s="15"/>
      <c r="J55" s="68"/>
      <c r="K55" s="55"/>
      <c r="L55" s="67">
        <v>13887.324517772651</v>
      </c>
      <c r="M55" s="48"/>
      <c r="U55" s="79"/>
      <c r="V55" s="77" t="s">
        <v>3</v>
      </c>
      <c r="W55" s="86">
        <v>39650</v>
      </c>
      <c r="X55" s="87">
        <f>W55/SUM(W52:W55)</f>
        <v>0.22569444444444445</v>
      </c>
      <c r="Y55" s="88">
        <f>Y52+(X52+X53+X54)*(Y56-Y52)</f>
        <v>15613.611111111111</v>
      </c>
    </row>
    <row r="56" spans="2:25" x14ac:dyDescent="0.25">
      <c r="B56" s="5">
        <v>1987</v>
      </c>
      <c r="C56" s="4" t="s">
        <v>0</v>
      </c>
      <c r="D56" s="46">
        <v>13790</v>
      </c>
      <c r="E56" s="50">
        <v>1885</v>
      </c>
      <c r="F56" s="14"/>
      <c r="G56" s="15"/>
      <c r="H56" s="15"/>
      <c r="I56" s="15"/>
      <c r="J56" s="68"/>
      <c r="K56" s="55">
        <f t="shared" si="1"/>
        <v>15675</v>
      </c>
      <c r="L56" s="67">
        <v>13929.152250394269</v>
      </c>
      <c r="M56" s="48"/>
      <c r="U56" s="79">
        <v>1987</v>
      </c>
      <c r="V56" s="77" t="s">
        <v>0</v>
      </c>
      <c r="W56" s="86">
        <v>44270</v>
      </c>
      <c r="X56" s="87">
        <f>W56/SUM(W56:W59)</f>
        <v>0.22929507432537422</v>
      </c>
      <c r="Y56" s="88">
        <v>15675</v>
      </c>
    </row>
    <row r="57" spans="2:25" x14ac:dyDescent="0.25">
      <c r="B57" s="5"/>
      <c r="C57" s="4" t="s">
        <v>1</v>
      </c>
      <c r="D57" s="46"/>
      <c r="F57" s="14"/>
      <c r="G57" s="15"/>
      <c r="H57" s="15"/>
      <c r="I57" s="15"/>
      <c r="J57" s="68"/>
      <c r="K57" s="55"/>
      <c r="L57" s="67">
        <v>13967.999999999995</v>
      </c>
      <c r="M57" s="48"/>
      <c r="U57" s="79"/>
      <c r="V57" s="77" t="s">
        <v>1</v>
      </c>
      <c r="W57" s="86">
        <v>51080</v>
      </c>
      <c r="X57" s="87">
        <f>W57/SUM(W56:W59)</f>
        <v>0.26456725539959602</v>
      </c>
      <c r="Y57" s="88">
        <f>Y56+X56*(Y60-Y56)</f>
        <v>15774.055472108561</v>
      </c>
    </row>
    <row r="58" spans="2:25" x14ac:dyDescent="0.25">
      <c r="B58" s="5"/>
      <c r="C58" s="4" t="s">
        <v>2</v>
      </c>
      <c r="D58" s="46"/>
      <c r="F58" s="14"/>
      <c r="G58" s="15"/>
      <c r="H58" s="15"/>
      <c r="I58" s="15"/>
      <c r="J58" s="68"/>
      <c r="K58" s="55"/>
      <c r="L58" s="67">
        <v>14092.224104234523</v>
      </c>
      <c r="M58" s="48"/>
      <c r="U58" s="79"/>
      <c r="V58" s="77" t="s">
        <v>2</v>
      </c>
      <c r="W58" s="86">
        <v>53200</v>
      </c>
      <c r="X58" s="87">
        <f>W58/SUM(W56:W59)</f>
        <v>0.27554772880302481</v>
      </c>
      <c r="Y58" s="88">
        <f>Y56+(X56+X57)*(Y60-Y56)</f>
        <v>15888.348526441187</v>
      </c>
    </row>
    <row r="59" spans="2:25" x14ac:dyDescent="0.25">
      <c r="B59" s="5"/>
      <c r="C59" s="4" t="s">
        <v>3</v>
      </c>
      <c r="D59" s="46"/>
      <c r="F59" s="14"/>
      <c r="G59" s="15"/>
      <c r="H59" s="15"/>
      <c r="I59" s="15"/>
      <c r="J59" s="68"/>
      <c r="K59" s="55"/>
      <c r="L59" s="67">
        <v>14216.175895765467</v>
      </c>
      <c r="M59" s="48"/>
      <c r="U59" s="79"/>
      <c r="V59" s="77" t="s">
        <v>3</v>
      </c>
      <c r="W59" s="86">
        <v>44520</v>
      </c>
      <c r="X59" s="87">
        <f>W59/SUM(W56:W59)</f>
        <v>0.23058994147200498</v>
      </c>
      <c r="Y59" s="88">
        <f>Y56+(X56+X57+X58)*(Y60-Y56)</f>
        <v>16007.385145284094</v>
      </c>
    </row>
    <row r="60" spans="2:25" x14ac:dyDescent="0.25">
      <c r="B60" s="5">
        <v>1988</v>
      </c>
      <c r="C60" s="4" t="s">
        <v>0</v>
      </c>
      <c r="D60" s="46">
        <v>13968</v>
      </c>
      <c r="E60" s="50">
        <v>2139</v>
      </c>
      <c r="F60" s="14"/>
      <c r="G60" s="15"/>
      <c r="H60" s="15"/>
      <c r="I60" s="15"/>
      <c r="J60" s="68"/>
      <c r="K60" s="55">
        <f t="shared" si="1"/>
        <v>16107</v>
      </c>
      <c r="L60" s="67">
        <v>14314.257980456021</v>
      </c>
      <c r="M60" s="48"/>
      <c r="U60" s="79">
        <v>1988</v>
      </c>
      <c r="V60" s="77" t="s">
        <v>0</v>
      </c>
      <c r="W60" s="86">
        <v>51200</v>
      </c>
      <c r="X60" s="87">
        <f>W60/SUM(W60:W63)</f>
        <v>0.23356598695314995</v>
      </c>
      <c r="Y60" s="88">
        <v>16107</v>
      </c>
    </row>
    <row r="61" spans="2:25" x14ac:dyDescent="0.25">
      <c r="B61" s="5"/>
      <c r="C61" s="4" t="s">
        <v>1</v>
      </c>
      <c r="D61" s="46"/>
      <c r="F61" s="14"/>
      <c r="G61" s="15"/>
      <c r="H61" s="15"/>
      <c r="I61" s="15"/>
      <c r="J61" s="68"/>
      <c r="K61" s="55"/>
      <c r="L61" s="67">
        <v>14423.999999999995</v>
      </c>
      <c r="M61" s="48"/>
      <c r="U61" s="79"/>
      <c r="V61" s="77" t="s">
        <v>1</v>
      </c>
      <c r="W61" s="86">
        <v>61290</v>
      </c>
      <c r="X61" s="87">
        <f>W61/SUM(W60:W63)</f>
        <v>0.27959490899137812</v>
      </c>
      <c r="Y61" s="88">
        <f>Y60+X60*(Y64-Y60)</f>
        <v>16199.024998859541</v>
      </c>
    </row>
    <row r="62" spans="2:25" x14ac:dyDescent="0.25">
      <c r="B62" s="5"/>
      <c r="C62" s="4" t="s">
        <v>2</v>
      </c>
      <c r="D62" s="46"/>
      <c r="F62" s="14"/>
      <c r="G62" s="15"/>
      <c r="H62" s="15"/>
      <c r="I62" s="15"/>
      <c r="J62" s="68"/>
      <c r="K62" s="55"/>
      <c r="L62" s="67">
        <v>14528.217945513616</v>
      </c>
      <c r="M62" s="48"/>
      <c r="U62" s="79"/>
      <c r="V62" s="77" t="s">
        <v>2</v>
      </c>
      <c r="W62" s="86">
        <v>55970</v>
      </c>
      <c r="X62" s="87">
        <f>W62/SUM(W60:W63)</f>
        <v>0.25532594315952739</v>
      </c>
      <c r="Y62" s="88">
        <f>Y60+(X60+X61)*(Y64-Y60)</f>
        <v>16309.185393002144</v>
      </c>
    </row>
    <row r="63" spans="2:25" x14ac:dyDescent="0.25">
      <c r="B63" s="5"/>
      <c r="C63" s="4" t="s">
        <v>3</v>
      </c>
      <c r="D63" s="46"/>
      <c r="F63" s="14"/>
      <c r="G63" s="15"/>
      <c r="H63" s="15"/>
      <c r="I63" s="15"/>
      <c r="J63" s="68"/>
      <c r="K63" s="55"/>
      <c r="L63" s="67">
        <v>14636.637240689821</v>
      </c>
      <c r="M63" s="48"/>
      <c r="U63" s="79"/>
      <c r="V63" s="77" t="s">
        <v>3</v>
      </c>
      <c r="W63" s="86">
        <v>50750</v>
      </c>
      <c r="X63" s="87">
        <f>W63/SUM(W60:W63)</f>
        <v>0.23151316089594454</v>
      </c>
      <c r="Y63" s="88">
        <f>Y60+(X60+X61+X62)*(Y64-Y60)</f>
        <v>16409.783814606999</v>
      </c>
    </row>
    <row r="64" spans="2:25" x14ac:dyDescent="0.25">
      <c r="B64" s="5">
        <v>1989</v>
      </c>
      <c r="C64" s="4" t="s">
        <v>0</v>
      </c>
      <c r="D64" s="46">
        <v>14424</v>
      </c>
      <c r="E64" s="50">
        <v>2077</v>
      </c>
      <c r="F64" s="14"/>
      <c r="G64" s="15"/>
      <c r="H64" s="15"/>
      <c r="I64" s="15"/>
      <c r="J64" s="68"/>
      <c r="K64" s="55">
        <f t="shared" si="1"/>
        <v>16501</v>
      </c>
      <c r="L64" s="67">
        <v>14727.455736065976</v>
      </c>
      <c r="M64" s="48"/>
      <c r="U64" s="79">
        <v>1989</v>
      </c>
      <c r="V64" s="77" t="s">
        <v>0</v>
      </c>
      <c r="W64" s="86">
        <v>46690</v>
      </c>
      <c r="X64" s="87">
        <f>W64/SUM(W64:W67)</f>
        <v>0.27557103228471935</v>
      </c>
      <c r="Y64" s="88">
        <v>16501</v>
      </c>
    </row>
    <row r="65" spans="2:25" x14ac:dyDescent="0.25">
      <c r="B65" s="5"/>
      <c r="C65" s="4" t="s">
        <v>1</v>
      </c>
      <c r="D65" s="46"/>
      <c r="F65" s="14"/>
      <c r="G65" s="15"/>
      <c r="H65" s="15"/>
      <c r="I65" s="15"/>
      <c r="J65" s="68"/>
      <c r="K65" s="55"/>
      <c r="L65" s="67">
        <v>14831.999999999993</v>
      </c>
      <c r="M65" s="48"/>
      <c r="U65" s="79"/>
      <c r="V65" s="77" t="s">
        <v>1</v>
      </c>
      <c r="W65" s="86">
        <v>50010</v>
      </c>
      <c r="X65" s="87">
        <f>W65/SUM(W64:W67)</f>
        <v>0.29516614531074781</v>
      </c>
      <c r="Y65" s="88">
        <f>Y64+X64*(Y68-Y64)</f>
        <v>16611.228412913886</v>
      </c>
    </row>
    <row r="66" spans="2:25" x14ac:dyDescent="0.25">
      <c r="B66" s="5"/>
      <c r="C66" s="4" t="s">
        <v>2</v>
      </c>
      <c r="D66" s="46"/>
      <c r="F66" s="14"/>
      <c r="G66" s="15"/>
      <c r="H66" s="15"/>
      <c r="I66" s="15"/>
      <c r="J66" s="68"/>
      <c r="K66" s="55"/>
      <c r="L66" s="67">
        <v>14908.205809785384</v>
      </c>
      <c r="M66" s="48"/>
      <c r="U66" s="79"/>
      <c r="V66" s="77" t="s">
        <v>2</v>
      </c>
      <c r="W66" s="86">
        <v>40280</v>
      </c>
      <c r="X66" s="87">
        <f>W66/SUM(W64:W67)</f>
        <v>0.23773829900253793</v>
      </c>
      <c r="Y66" s="88">
        <f>Y64+(X64+X65)*(Y68-Y64)</f>
        <v>16729.294871038186</v>
      </c>
    </row>
    <row r="67" spans="2:25" x14ac:dyDescent="0.25">
      <c r="B67" s="5"/>
      <c r="C67" s="4" t="s">
        <v>3</v>
      </c>
      <c r="D67" s="46"/>
      <c r="F67" s="14"/>
      <c r="G67" s="15"/>
      <c r="H67" s="15"/>
      <c r="I67" s="15"/>
      <c r="J67" s="68"/>
      <c r="K67" s="55"/>
      <c r="L67" s="67">
        <v>14977.823937433073</v>
      </c>
      <c r="M67" s="48"/>
      <c r="U67" s="79"/>
      <c r="V67" s="77" t="s">
        <v>3</v>
      </c>
      <c r="W67" s="86">
        <v>32450</v>
      </c>
      <c r="X67" s="87">
        <f>W67/SUM(W64:W67)</f>
        <v>0.19152452340199491</v>
      </c>
      <c r="Y67" s="88">
        <f>Y64+(X64+X65+X66)*(Y68-Y64)</f>
        <v>16824.390190639202</v>
      </c>
    </row>
    <row r="68" spans="2:25" x14ac:dyDescent="0.25">
      <c r="B68" s="5">
        <v>1990</v>
      </c>
      <c r="C68" s="4" t="s">
        <v>0</v>
      </c>
      <c r="D68" s="46">
        <v>14832</v>
      </c>
      <c r="E68" s="50">
        <v>2069</v>
      </c>
      <c r="F68" s="14"/>
      <c r="G68" s="15"/>
      <c r="H68" s="15"/>
      <c r="I68" s="15"/>
      <c r="J68" s="68"/>
      <c r="K68" s="55">
        <f t="shared" si="1"/>
        <v>16901</v>
      </c>
      <c r="L68" s="67">
        <v>15040.966249243511</v>
      </c>
      <c r="M68" s="48"/>
      <c r="U68" s="79">
        <v>1990</v>
      </c>
      <c r="V68" s="77" t="s">
        <v>0</v>
      </c>
      <c r="W68" s="86">
        <v>35980</v>
      </c>
      <c r="X68" s="87">
        <f>W68/SUM(W68:W71)</f>
        <v>0.26253192265596498</v>
      </c>
      <c r="Y68" s="88">
        <v>16901</v>
      </c>
    </row>
    <row r="69" spans="2:25" x14ac:dyDescent="0.25">
      <c r="B69" s="5"/>
      <c r="C69" s="4" t="s">
        <v>1</v>
      </c>
      <c r="D69" s="46"/>
      <c r="F69" s="14"/>
      <c r="G69" s="15"/>
      <c r="H69" s="15"/>
      <c r="I69" s="15"/>
      <c r="J69" s="68"/>
      <c r="K69" s="55"/>
      <c r="L69" s="67">
        <v>15098.999999999993</v>
      </c>
      <c r="M69" s="48"/>
      <c r="Q69" s="91"/>
      <c r="R69" s="92"/>
      <c r="U69" s="79"/>
      <c r="V69" s="77" t="s">
        <v>1</v>
      </c>
      <c r="W69" s="86">
        <v>37390</v>
      </c>
      <c r="X69" s="87">
        <f>W69/SUM(W68:W71)</f>
        <v>0.2728201386355345</v>
      </c>
      <c r="Y69" s="88">
        <f>Y68+X68*(Y72-Y68)</f>
        <v>16985.272747172563</v>
      </c>
    </row>
    <row r="70" spans="2:25" x14ac:dyDescent="0.25">
      <c r="B70" s="5"/>
      <c r="C70" s="4" t="s">
        <v>2</v>
      </c>
      <c r="D70" s="46"/>
      <c r="F70" s="14"/>
      <c r="G70" s="15"/>
      <c r="H70" s="15"/>
      <c r="I70" s="15"/>
      <c r="J70" s="68"/>
      <c r="K70" s="55"/>
      <c r="L70" s="67">
        <v>15116.628456510802</v>
      </c>
      <c r="M70" s="48"/>
      <c r="U70" s="79"/>
      <c r="V70" s="77" t="s">
        <v>2</v>
      </c>
      <c r="W70" s="86">
        <v>34350</v>
      </c>
      <c r="X70" s="87">
        <f>W70/SUM(W68:W71)</f>
        <v>0.2506384531192995</v>
      </c>
      <c r="Y70" s="88">
        <f>Y68+(X68+X69)*(Y72-Y68)</f>
        <v>17072.84801167457</v>
      </c>
    </row>
    <row r="71" spans="2:25" x14ac:dyDescent="0.25">
      <c r="B71" s="5"/>
      <c r="C71" s="4" t="s">
        <v>3</v>
      </c>
      <c r="D71" s="46"/>
      <c r="F71" s="14"/>
      <c r="G71" s="15"/>
      <c r="H71" s="15"/>
      <c r="I71" s="15"/>
      <c r="J71" s="68"/>
      <c r="K71" s="55"/>
      <c r="L71" s="67">
        <v>15130.81498240321</v>
      </c>
      <c r="M71" s="48"/>
      <c r="U71" s="79"/>
      <c r="V71" s="77" t="s">
        <v>3</v>
      </c>
      <c r="W71" s="86">
        <v>29330</v>
      </c>
      <c r="X71" s="87">
        <f>W71/SUM(W68:W71)</f>
        <v>0.21400948558920102</v>
      </c>
      <c r="Y71" s="88">
        <f>Y68+(X68+X69+X70)*(Y72-Y68)</f>
        <v>17153.302955125866</v>
      </c>
    </row>
    <row r="72" spans="2:25" x14ac:dyDescent="0.25">
      <c r="B72" s="5">
        <v>1991</v>
      </c>
      <c r="C72" s="4" t="s">
        <v>0</v>
      </c>
      <c r="D72" s="46">
        <v>15099</v>
      </c>
      <c r="E72" s="50">
        <v>2123</v>
      </c>
      <c r="F72" s="14"/>
      <c r="G72" s="15"/>
      <c r="H72" s="15"/>
      <c r="I72" s="15"/>
      <c r="J72" s="68"/>
      <c r="K72" s="55">
        <f t="shared" si="1"/>
        <v>17222</v>
      </c>
      <c r="L72" s="67">
        <v>15142.337355454994</v>
      </c>
      <c r="M72" s="48"/>
      <c r="Q72" s="91"/>
      <c r="R72" s="93"/>
      <c r="U72" s="79">
        <v>1991</v>
      </c>
      <c r="V72" s="77" t="s">
        <v>0</v>
      </c>
      <c r="W72" s="86">
        <v>32010</v>
      </c>
      <c r="X72" s="87">
        <f>W72/SUM(W72:W75)</f>
        <v>0.23431666788668473</v>
      </c>
      <c r="Y72" s="88">
        <v>17222</v>
      </c>
    </row>
    <row r="73" spans="2:25" x14ac:dyDescent="0.25">
      <c r="B73" s="5"/>
      <c r="C73" s="4" t="s">
        <v>1</v>
      </c>
      <c r="D73" s="46">
        <v>15155</v>
      </c>
      <c r="E73" s="50">
        <v>1990</v>
      </c>
      <c r="F73" s="14"/>
      <c r="G73" s="15"/>
      <c r="H73" s="15"/>
      <c r="I73" s="15"/>
      <c r="J73" s="68"/>
      <c r="K73" s="55">
        <f t="shared" ref="K73:K129" si="2">SUM(D73:G73)</f>
        <v>17145</v>
      </c>
      <c r="L73" s="67">
        <v>15154.999999999993</v>
      </c>
      <c r="M73" s="48"/>
      <c r="Q73" s="91"/>
      <c r="R73" s="93"/>
      <c r="U73" s="79"/>
      <c r="V73" s="77" t="s">
        <v>1</v>
      </c>
      <c r="W73" s="86">
        <v>38350</v>
      </c>
      <c r="X73" s="87">
        <f>W73/SUM(W72:W75)</f>
        <v>0.28072615474709028</v>
      </c>
      <c r="Y73" s="88">
        <v>17145</v>
      </c>
    </row>
    <row r="74" spans="2:25" x14ac:dyDescent="0.25">
      <c r="B74" s="5"/>
      <c r="C74" s="4" t="s">
        <v>2</v>
      </c>
      <c r="D74" s="46"/>
      <c r="F74" s="14"/>
      <c r="G74" s="15"/>
      <c r="H74" s="15"/>
      <c r="I74" s="15"/>
      <c r="J74" s="68"/>
      <c r="K74" s="55"/>
      <c r="L74" s="67">
        <v>15214.551814834291</v>
      </c>
      <c r="M74" s="48"/>
      <c r="U74" s="79"/>
      <c r="V74" s="77" t="s">
        <v>2</v>
      </c>
      <c r="W74" s="86">
        <v>36510</v>
      </c>
      <c r="X74" s="87">
        <f>W74/SUM(W72:W75)</f>
        <v>0.2672571554059</v>
      </c>
      <c r="Y74" s="88">
        <f>Y73+X73*(Y77-Y73)</f>
        <v>17223.603323329186</v>
      </c>
    </row>
    <row r="75" spans="2:25" x14ac:dyDescent="0.25">
      <c r="B75" s="5"/>
      <c r="C75" s="4" t="s">
        <v>3</v>
      </c>
      <c r="D75" s="46"/>
      <c r="F75" s="14"/>
      <c r="G75" s="15"/>
      <c r="H75" s="15"/>
      <c r="I75" s="15"/>
      <c r="J75" s="68"/>
      <c r="K75" s="55"/>
      <c r="L75" s="67">
        <v>15269.27639588186</v>
      </c>
      <c r="M75" s="48"/>
      <c r="U75" s="79"/>
      <c r="V75" s="77" t="s">
        <v>3</v>
      </c>
      <c r="W75" s="86">
        <v>29740</v>
      </c>
      <c r="X75" s="87">
        <f>W75/SUM(W72:W75)</f>
        <v>0.21770002196032501</v>
      </c>
      <c r="Y75" s="88">
        <f>Y73+(X73+X74)*(Y77-Y73)</f>
        <v>17298.435326842839</v>
      </c>
    </row>
    <row r="76" spans="2:25" x14ac:dyDescent="0.25">
      <c r="B76" s="5">
        <v>1992</v>
      </c>
      <c r="C76" s="4" t="s">
        <v>0</v>
      </c>
      <c r="D76" s="46"/>
      <c r="F76" s="14"/>
      <c r="G76" s="15"/>
      <c r="H76" s="15"/>
      <c r="I76" s="15"/>
      <c r="J76" s="68"/>
      <c r="K76" s="55"/>
      <c r="L76" s="67">
        <v>15316.003381678809</v>
      </c>
      <c r="M76" s="48"/>
      <c r="U76" s="79">
        <v>1992</v>
      </c>
      <c r="V76" s="77" t="s">
        <v>0</v>
      </c>
      <c r="W76" s="86">
        <v>32040</v>
      </c>
      <c r="X76" s="87">
        <f>W76/SUM(W76:W79)</f>
        <v>0.26664447403462049</v>
      </c>
      <c r="Y76" s="88">
        <f>Y73+(X73+X74+X75)*(Y77-Y73)</f>
        <v>17359.391332991727</v>
      </c>
    </row>
    <row r="77" spans="2:25" x14ac:dyDescent="0.25">
      <c r="B77" s="5"/>
      <c r="C77" s="4" t="s">
        <v>1</v>
      </c>
      <c r="D77" s="46">
        <v>15367</v>
      </c>
      <c r="E77" s="50">
        <v>2058</v>
      </c>
      <c r="F77" s="14"/>
      <c r="G77" s="15"/>
      <c r="H77" s="15"/>
      <c r="I77" s="15"/>
      <c r="J77" s="68"/>
      <c r="K77" s="55">
        <f t="shared" si="2"/>
        <v>17425</v>
      </c>
      <c r="L77" s="67">
        <v>15366.999999999993</v>
      </c>
      <c r="M77" s="48"/>
      <c r="U77" s="79"/>
      <c r="V77" s="77" t="s">
        <v>1</v>
      </c>
      <c r="W77" s="86">
        <v>34800</v>
      </c>
      <c r="X77" s="87">
        <f>W77/SUM(W76:W79)</f>
        <v>0.28961384820239683</v>
      </c>
      <c r="Y77" s="88">
        <v>17425</v>
      </c>
    </row>
    <row r="78" spans="2:25" x14ac:dyDescent="0.25">
      <c r="B78" s="5"/>
      <c r="C78" s="4" t="s">
        <v>2</v>
      </c>
      <c r="D78" s="46"/>
      <c r="F78" s="14"/>
      <c r="G78" s="15"/>
      <c r="H78" s="15"/>
      <c r="I78" s="15"/>
      <c r="J78" s="68"/>
      <c r="K78" s="55"/>
      <c r="L78" s="67">
        <v>15410.780461031825</v>
      </c>
      <c r="M78" s="48"/>
      <c r="U78" s="79"/>
      <c r="V78" s="77" t="s">
        <v>2</v>
      </c>
      <c r="W78" s="86">
        <v>29770</v>
      </c>
      <c r="X78" s="87">
        <f>W78/SUM(W76:W79)</f>
        <v>0.24775299600532624</v>
      </c>
      <c r="Y78" s="88">
        <f>Y77+X77*(Y81-Y77)</f>
        <v>17488.135818908122</v>
      </c>
    </row>
    <row r="79" spans="2:25" x14ac:dyDescent="0.25">
      <c r="B79" s="5"/>
      <c r="C79" s="4" t="s">
        <v>3</v>
      </c>
      <c r="D79" s="46"/>
      <c r="F79" s="14"/>
      <c r="G79" s="15"/>
      <c r="H79" s="15"/>
      <c r="I79" s="15"/>
      <c r="J79" s="68"/>
      <c r="K79" s="55"/>
      <c r="L79" s="67">
        <v>15452.460373216238</v>
      </c>
      <c r="M79" s="48"/>
      <c r="U79" s="79"/>
      <c r="V79" s="77" t="s">
        <v>3</v>
      </c>
      <c r="W79" s="86">
        <v>23550</v>
      </c>
      <c r="X79" s="87">
        <f>W79/SUM(W76:W79)</f>
        <v>0.19598868175765646</v>
      </c>
      <c r="Y79" s="88">
        <f>Y77+(X77+X78)*(Y81-Y77)</f>
        <v>17542.145972037284</v>
      </c>
    </row>
    <row r="80" spans="2:25" x14ac:dyDescent="0.25">
      <c r="B80" s="5">
        <v>1993</v>
      </c>
      <c r="C80" s="4" t="s">
        <v>0</v>
      </c>
      <c r="D80" s="46"/>
      <c r="F80" s="14"/>
      <c r="G80" s="15"/>
      <c r="H80" s="15"/>
      <c r="I80" s="15"/>
      <c r="J80" s="68"/>
      <c r="K80" s="55"/>
      <c r="L80" s="67">
        <v>15486.411635565304</v>
      </c>
      <c r="M80" s="48"/>
      <c r="U80" s="79">
        <v>1993</v>
      </c>
      <c r="V80" s="77" t="s">
        <v>0</v>
      </c>
      <c r="W80" s="86">
        <v>34910</v>
      </c>
      <c r="X80" s="87">
        <f>W80/SUM(W80:W83)</f>
        <v>0.2477467887303953</v>
      </c>
      <c r="Y80" s="88">
        <f>Y77+(X77+X78+X79)*(Y81-Y77)</f>
        <v>17584.871504660452</v>
      </c>
    </row>
    <row r="81" spans="2:25" x14ac:dyDescent="0.25">
      <c r="B81" s="5"/>
      <c r="C81" s="4" t="s">
        <v>1</v>
      </c>
      <c r="D81" s="46">
        <v>15523</v>
      </c>
      <c r="E81" s="50">
        <v>2120</v>
      </c>
      <c r="F81" s="14"/>
      <c r="G81" s="15"/>
      <c r="H81" s="15"/>
      <c r="I81" s="15"/>
      <c r="J81" s="68"/>
      <c r="K81" s="55">
        <f t="shared" si="2"/>
        <v>17643</v>
      </c>
      <c r="L81" s="67">
        <v>15522.999999999991</v>
      </c>
      <c r="M81" s="48"/>
      <c r="U81" s="79"/>
      <c r="V81" s="77" t="s">
        <v>1</v>
      </c>
      <c r="W81" s="86">
        <v>38690</v>
      </c>
      <c r="X81" s="87">
        <f>W81/SUM(W80:W83)</f>
        <v>0.27457242211340571</v>
      </c>
      <c r="Y81" s="88">
        <v>17643</v>
      </c>
    </row>
    <row r="82" spans="2:25" x14ac:dyDescent="0.25">
      <c r="B82" s="5"/>
      <c r="C82" s="4" t="s">
        <v>2</v>
      </c>
      <c r="D82" s="46"/>
      <c r="F82" s="14"/>
      <c r="G82" s="15"/>
      <c r="H82" s="15"/>
      <c r="I82" s="15"/>
      <c r="J82" s="68"/>
      <c r="K82" s="55"/>
      <c r="L82" s="67">
        <v>15571.641521703779</v>
      </c>
      <c r="M82" s="48"/>
      <c r="U82" s="79"/>
      <c r="V82" s="77" t="s">
        <v>2</v>
      </c>
      <c r="W82" s="86">
        <v>36000</v>
      </c>
      <c r="X82" s="87">
        <f>W82/SUM(W80:W83)</f>
        <v>0.25548222269533744</v>
      </c>
      <c r="Y82" s="88">
        <f>Y81+X81*(Y85-Y81)</f>
        <v>17707.799091618763</v>
      </c>
    </row>
    <row r="83" spans="2:25" x14ac:dyDescent="0.25">
      <c r="B83" s="5"/>
      <c r="C83" s="4" t="s">
        <v>3</v>
      </c>
      <c r="D83" s="46"/>
      <c r="F83" s="14"/>
      <c r="G83" s="15"/>
      <c r="H83" s="15"/>
      <c r="I83" s="15"/>
      <c r="J83" s="68"/>
      <c r="K83" s="55"/>
      <c r="L83" s="67">
        <v>15613.2643472606</v>
      </c>
      <c r="M83" s="48"/>
      <c r="U83" s="79"/>
      <c r="V83" s="77" t="s">
        <v>3</v>
      </c>
      <c r="W83" s="86">
        <v>31310</v>
      </c>
      <c r="X83" s="87">
        <f>W83/SUM(W80:W83)</f>
        <v>0.22219856646086153</v>
      </c>
      <c r="Y83" s="88">
        <f>Y81+(X81+X82)*(Y85-Y81)</f>
        <v>17768.092896174865</v>
      </c>
    </row>
    <row r="84" spans="2:25" x14ac:dyDescent="0.25">
      <c r="B84" s="5">
        <v>1994</v>
      </c>
      <c r="C84" s="4" t="s">
        <v>0</v>
      </c>
      <c r="D84" s="46"/>
      <c r="F84" s="14"/>
      <c r="G84" s="15"/>
      <c r="H84" s="15"/>
      <c r="I84" s="15"/>
      <c r="J84" s="68"/>
      <c r="K84" s="55"/>
      <c r="L84" s="67">
        <v>15646.190700699064</v>
      </c>
      <c r="M84" s="48"/>
      <c r="U84" s="79">
        <v>1994</v>
      </c>
      <c r="V84" s="77" t="s">
        <v>0</v>
      </c>
      <c r="W84" s="86">
        <v>39280</v>
      </c>
      <c r="X84" s="87">
        <f>W84/SUM(W84:W87)</f>
        <v>0.2471217363950928</v>
      </c>
      <c r="Y84" s="88">
        <f>Y81+(X81+X82+X83)*(Y85-Y81)</f>
        <v>17820.531757859626</v>
      </c>
    </row>
    <row r="85" spans="2:25" x14ac:dyDescent="0.25">
      <c r="B85" s="5"/>
      <c r="C85" s="4" t="s">
        <v>1</v>
      </c>
      <c r="D85" s="54">
        <v>15695</v>
      </c>
      <c r="E85" s="50">
        <v>2184</v>
      </c>
      <c r="F85" s="14"/>
      <c r="G85" s="15"/>
      <c r="H85" s="15"/>
      <c r="I85" s="15"/>
      <c r="J85" s="68"/>
      <c r="K85" s="55">
        <f t="shared" si="2"/>
        <v>17879</v>
      </c>
      <c r="L85" s="65">
        <v>15694.999999999991</v>
      </c>
      <c r="M85" s="48"/>
      <c r="U85" s="79"/>
      <c r="V85" s="77" t="s">
        <v>1</v>
      </c>
      <c r="W85" s="86">
        <v>44380</v>
      </c>
      <c r="X85" s="87">
        <f>W85/SUM(W84:W87)</f>
        <v>0.27920729789241899</v>
      </c>
      <c r="Y85" s="88">
        <v>17879</v>
      </c>
    </row>
    <row r="86" spans="2:25" x14ac:dyDescent="0.25">
      <c r="B86" s="5"/>
      <c r="C86" s="4" t="s">
        <v>2</v>
      </c>
      <c r="D86" s="46"/>
      <c r="F86" s="14"/>
      <c r="G86" s="15"/>
      <c r="H86" s="15"/>
      <c r="I86" s="15"/>
      <c r="J86" s="68"/>
      <c r="K86" s="55"/>
      <c r="L86" s="67">
        <v>15741.332920280867</v>
      </c>
      <c r="M86" s="48"/>
      <c r="U86" s="79"/>
      <c r="V86" s="77" t="s">
        <v>2</v>
      </c>
      <c r="W86" s="86">
        <v>41020</v>
      </c>
      <c r="X86" s="87">
        <f>W86/SUM(W84:W87)</f>
        <v>0.25806857502359232</v>
      </c>
      <c r="Y86" s="88">
        <f>Y85+X85*(Y89-Y85)</f>
        <v>17947.405787983644</v>
      </c>
    </row>
    <row r="87" spans="2:25" x14ac:dyDescent="0.25">
      <c r="B87" s="5"/>
      <c r="C87" s="4" t="s">
        <v>3</v>
      </c>
      <c r="D87" s="46"/>
      <c r="F87" s="14"/>
      <c r="G87" s="15"/>
      <c r="H87" s="15"/>
      <c r="I87" s="15"/>
      <c r="J87" s="68"/>
      <c r="K87" s="55"/>
      <c r="L87" s="67">
        <v>15784.455596860793</v>
      </c>
      <c r="M87" s="48"/>
      <c r="U87" s="79"/>
      <c r="V87" s="77" t="s">
        <v>3</v>
      </c>
      <c r="W87" s="86">
        <v>34270</v>
      </c>
      <c r="X87" s="87">
        <f>W87/SUM(W84:W87)</f>
        <v>0.21560239068889589</v>
      </c>
      <c r="Y87" s="88">
        <f>Y85+(X85+X86)*(Y89-Y85)</f>
        <v>18010.632588864424</v>
      </c>
    </row>
    <row r="88" spans="2:25" x14ac:dyDescent="0.25">
      <c r="B88" s="5">
        <v>1995</v>
      </c>
      <c r="C88" s="4" t="s">
        <v>0</v>
      </c>
      <c r="D88" s="46"/>
      <c r="F88" s="14"/>
      <c r="G88" s="15"/>
      <c r="H88" s="15"/>
      <c r="I88" s="15"/>
      <c r="J88" s="68"/>
      <c r="K88" s="55"/>
      <c r="L88" s="67">
        <v>15821.960346964055</v>
      </c>
      <c r="M88" s="48"/>
      <c r="U88" s="79">
        <v>1995</v>
      </c>
      <c r="V88" s="77" t="s">
        <v>0</v>
      </c>
      <c r="W88" s="86">
        <v>35470</v>
      </c>
      <c r="X88" s="87">
        <f>W88/SUM(W88:W91)</f>
        <v>0.26328681710213775</v>
      </c>
      <c r="Y88" s="88">
        <f>Y85+(X85+X86+X87)*(Y89-Y85)</f>
        <v>18063.455174583203</v>
      </c>
    </row>
    <row r="89" spans="2:25" x14ac:dyDescent="0.25">
      <c r="B89" s="5"/>
      <c r="C89" s="4" t="s">
        <v>1</v>
      </c>
      <c r="D89" s="54">
        <v>15869</v>
      </c>
      <c r="E89" s="50">
        <v>2255</v>
      </c>
      <c r="F89" s="14"/>
      <c r="G89" s="15"/>
      <c r="H89" s="15"/>
      <c r="I89" s="15"/>
      <c r="J89" s="68"/>
      <c r="K89" s="55">
        <f t="shared" si="2"/>
        <v>18124</v>
      </c>
      <c r="L89" s="65">
        <v>15868.999999999991</v>
      </c>
      <c r="M89" s="48"/>
      <c r="U89" s="79"/>
      <c r="V89" s="77" t="s">
        <v>1</v>
      </c>
      <c r="W89" s="86">
        <v>39370</v>
      </c>
      <c r="X89" s="87">
        <f>W89/SUM(W88:W91)</f>
        <v>0.29223574821852732</v>
      </c>
      <c r="Y89" s="88">
        <v>18124</v>
      </c>
    </row>
    <row r="90" spans="2:25" x14ac:dyDescent="0.25">
      <c r="B90" s="5"/>
      <c r="C90" s="4" t="s">
        <v>2</v>
      </c>
      <c r="D90" s="46"/>
      <c r="F90" s="14"/>
      <c r="G90" s="15"/>
      <c r="H90" s="15"/>
      <c r="I90" s="15"/>
      <c r="J90" s="68"/>
      <c r="K90" s="55"/>
      <c r="L90" s="67">
        <v>15910.195900212715</v>
      </c>
      <c r="M90" s="48"/>
      <c r="U90" s="79"/>
      <c r="V90" s="77" t="s">
        <v>2</v>
      </c>
      <c r="W90" s="86">
        <v>33890</v>
      </c>
      <c r="X90" s="87">
        <f>W90/SUM(W88:W91)</f>
        <v>0.25155878859857483</v>
      </c>
      <c r="Y90" s="88">
        <f>Y89+X89*(Y93-Y89)</f>
        <v>18188.584100356293</v>
      </c>
    </row>
    <row r="91" spans="2:25" x14ac:dyDescent="0.25">
      <c r="B91" s="5"/>
      <c r="C91" s="4" t="s">
        <v>3</v>
      </c>
      <c r="D91" s="46"/>
      <c r="F91" s="14"/>
      <c r="G91" s="15"/>
      <c r="H91" s="15"/>
      <c r="I91" s="15"/>
      <c r="J91" s="68"/>
      <c r="K91" s="55"/>
      <c r="L91" s="67">
        <v>15948.272867917221</v>
      </c>
      <c r="M91" s="48"/>
      <c r="U91" s="79"/>
      <c r="V91" s="77" t="s">
        <v>3</v>
      </c>
      <c r="W91" s="86">
        <v>25990</v>
      </c>
      <c r="X91" s="87">
        <f>W91/SUM(W88:W91)</f>
        <v>0.19291864608076009</v>
      </c>
      <c r="Y91" s="88">
        <f>Y89+(X89+X90)*(Y93-Y89)</f>
        <v>18244.178592636581</v>
      </c>
    </row>
    <row r="92" spans="2:25" x14ac:dyDescent="0.25">
      <c r="B92" s="5">
        <v>1996</v>
      </c>
      <c r="C92" s="4" t="s">
        <v>0</v>
      </c>
      <c r="D92" s="46"/>
      <c r="F92" s="14"/>
      <c r="G92" s="15"/>
      <c r="H92" s="15"/>
      <c r="I92" s="15"/>
      <c r="J92" s="68"/>
      <c r="K92" s="55"/>
      <c r="L92" s="67">
        <v>15980.074840456382</v>
      </c>
      <c r="M92" s="48"/>
      <c r="U92" s="79">
        <v>1996</v>
      </c>
      <c r="V92" s="77" t="s">
        <v>0</v>
      </c>
      <c r="W92" s="86">
        <v>33280</v>
      </c>
      <c r="X92" s="87">
        <f>W92/SUM(W92:W95)</f>
        <v>0.22841455044612216</v>
      </c>
      <c r="Y92" s="88">
        <f>Y89+(X89+X90+X91)*(Y93-Y89)</f>
        <v>18286.813613420429</v>
      </c>
    </row>
    <row r="93" spans="2:25" x14ac:dyDescent="0.25">
      <c r="B93" s="5"/>
      <c r="C93" s="4" t="s">
        <v>1</v>
      </c>
      <c r="D93" s="54">
        <v>16013</v>
      </c>
      <c r="E93" s="50">
        <v>2332</v>
      </c>
      <c r="F93" s="14"/>
      <c r="G93" s="15"/>
      <c r="H93" s="15"/>
      <c r="I93" s="15"/>
      <c r="J93" s="68"/>
      <c r="K93" s="55">
        <f t="shared" si="2"/>
        <v>18345</v>
      </c>
      <c r="L93" s="65">
        <v>16012.999999999991</v>
      </c>
      <c r="M93" s="48"/>
      <c r="U93" s="79"/>
      <c r="V93" s="77" t="s">
        <v>1</v>
      </c>
      <c r="W93" s="86">
        <v>37720</v>
      </c>
      <c r="X93" s="87">
        <f>W93/SUM(W92:W95)</f>
        <v>0.2588881262868909</v>
      </c>
      <c r="Y93" s="88">
        <v>18345</v>
      </c>
    </row>
    <row r="94" spans="2:25" x14ac:dyDescent="0.25">
      <c r="B94" s="5"/>
      <c r="C94" s="4" t="s">
        <v>2</v>
      </c>
      <c r="D94" s="46"/>
      <c r="F94" s="14"/>
      <c r="G94" s="15"/>
      <c r="H94" s="15"/>
      <c r="I94" s="15"/>
      <c r="J94" s="68"/>
      <c r="K94" s="55"/>
      <c r="L94" s="67">
        <v>16072.996377905212</v>
      </c>
      <c r="M94" s="48"/>
      <c r="U94" s="79"/>
      <c r="V94" s="77" t="s">
        <v>2</v>
      </c>
      <c r="W94" s="86">
        <v>39160</v>
      </c>
      <c r="X94" s="87">
        <f>W94/SUM(W92:W95)</f>
        <v>0.26877144818119425</v>
      </c>
      <c r="Y94" s="88">
        <f>Y93+X93*(Y97-Y93)</f>
        <v>18404.803157172271</v>
      </c>
    </row>
    <row r="95" spans="2:25" x14ac:dyDescent="0.25">
      <c r="B95" s="5"/>
      <c r="C95" s="4" t="s">
        <v>3</v>
      </c>
      <c r="D95" s="46"/>
      <c r="F95" s="14"/>
      <c r="G95" s="15"/>
      <c r="H95" s="15"/>
      <c r="I95" s="15"/>
      <c r="J95" s="68"/>
      <c r="K95" s="55"/>
      <c r="L95" s="67">
        <v>16124.654844551756</v>
      </c>
      <c r="M95" s="48"/>
      <c r="U95" s="79"/>
      <c r="V95" s="77" t="s">
        <v>3</v>
      </c>
      <c r="W95" s="86">
        <v>35540</v>
      </c>
      <c r="X95" s="87">
        <f>W95/SUM(W92:W95)</f>
        <v>0.24392587508579272</v>
      </c>
      <c r="Y95" s="88">
        <f>Y93+(X93+X94)*(Y97-Y93)</f>
        <v>18466.889361702128</v>
      </c>
    </row>
    <row r="96" spans="2:25" x14ac:dyDescent="0.25">
      <c r="B96" s="5">
        <v>1997</v>
      </c>
      <c r="C96" s="4" t="s">
        <v>0</v>
      </c>
      <c r="D96" s="46"/>
      <c r="F96" s="14"/>
      <c r="G96" s="15"/>
      <c r="H96" s="15"/>
      <c r="I96" s="15"/>
      <c r="J96" s="68"/>
      <c r="K96" s="55"/>
      <c r="L96" s="67">
        <v>16164.271355267119</v>
      </c>
      <c r="M96" s="48"/>
      <c r="U96" s="79">
        <v>1997</v>
      </c>
      <c r="V96" s="77" t="s">
        <v>0</v>
      </c>
      <c r="W96" s="86">
        <v>42510</v>
      </c>
      <c r="X96" s="87">
        <f>W96/SUM(W96:W99)</f>
        <v>0.26074955529657118</v>
      </c>
      <c r="Y96" s="88">
        <f>Y93+(X93+X94+X95)*(Y97-Y93)</f>
        <v>18523.236238846945</v>
      </c>
    </row>
    <row r="97" spans="2:25" x14ac:dyDescent="0.25">
      <c r="B97" s="5"/>
      <c r="C97" s="4" t="s">
        <v>1</v>
      </c>
      <c r="D97" s="54">
        <v>16215</v>
      </c>
      <c r="E97" s="50">
        <v>2361</v>
      </c>
      <c r="F97" s="14"/>
      <c r="G97" s="15"/>
      <c r="H97" s="15"/>
      <c r="I97" s="15"/>
      <c r="J97" s="68"/>
      <c r="K97" s="55">
        <f t="shared" si="2"/>
        <v>18576</v>
      </c>
      <c r="L97" s="65">
        <v>16214.999999999989</v>
      </c>
      <c r="M97" s="48"/>
      <c r="U97" s="79"/>
      <c r="V97" s="77" t="s">
        <v>1</v>
      </c>
      <c r="W97" s="86">
        <v>42510</v>
      </c>
      <c r="X97" s="87">
        <f>W97/SUM(W96:W99)</f>
        <v>0.26074955529657118</v>
      </c>
      <c r="Y97" s="88">
        <v>18576</v>
      </c>
    </row>
    <row r="98" spans="2:25" x14ac:dyDescent="0.25">
      <c r="B98" s="5"/>
      <c r="C98" s="4" t="s">
        <v>2</v>
      </c>
      <c r="D98" s="46"/>
      <c r="F98" s="6"/>
      <c r="G98" s="15"/>
      <c r="H98" s="15"/>
      <c r="I98" s="15"/>
      <c r="J98" s="68"/>
      <c r="K98" s="55"/>
      <c r="L98" s="67">
        <v>16281.888412626675</v>
      </c>
      <c r="M98" s="48"/>
      <c r="U98" s="79"/>
      <c r="V98" s="77" t="s">
        <v>2</v>
      </c>
      <c r="W98" s="86">
        <v>41520</v>
      </c>
      <c r="X98" s="87">
        <f>W98/SUM(W96:W99)</f>
        <v>0.25467705330307305</v>
      </c>
      <c r="Y98" s="88">
        <f>Y97+X97*(Y101-Y97)</f>
        <v>18641.708887934736</v>
      </c>
    </row>
    <row r="99" spans="2:25" x14ac:dyDescent="0.25">
      <c r="B99" s="5"/>
      <c r="C99" s="4" t="s">
        <v>3</v>
      </c>
      <c r="D99" s="46"/>
      <c r="F99" s="6"/>
      <c r="G99" s="15"/>
      <c r="H99" s="15"/>
      <c r="I99" s="15"/>
      <c r="J99" s="68"/>
      <c r="K99" s="55"/>
      <c r="L99" s="67">
        <v>16351.330359563606</v>
      </c>
      <c r="M99" s="48"/>
      <c r="U99" s="79"/>
      <c r="V99" s="77" t="s">
        <v>3</v>
      </c>
      <c r="W99" s="86">
        <v>36490</v>
      </c>
      <c r="X99" s="87">
        <f>W99/SUM(W96:W99)</f>
        <v>0.22382383610378459</v>
      </c>
      <c r="Y99" s="88">
        <f>Y97+(X97+X98)*(Y101-Y97)</f>
        <v>18705.887505367111</v>
      </c>
    </row>
    <row r="100" spans="2:25" x14ac:dyDescent="0.25">
      <c r="B100" s="5">
        <v>1998</v>
      </c>
      <c r="C100" s="4" t="s">
        <v>0</v>
      </c>
      <c r="D100" s="46"/>
      <c r="F100" s="6"/>
      <c r="G100" s="15"/>
      <c r="H100" s="15"/>
      <c r="I100" s="15"/>
      <c r="J100" s="68"/>
      <c r="K100" s="55"/>
      <c r="L100" s="67">
        <v>16414.335272093464</v>
      </c>
      <c r="M100" s="48"/>
      <c r="U100" s="79">
        <v>1998</v>
      </c>
      <c r="V100" s="77" t="s">
        <v>0</v>
      </c>
      <c r="W100" s="86">
        <v>41870</v>
      </c>
      <c r="X100" s="87">
        <f>W100/SUM(W100:W103)</f>
        <v>0.26993746373541355</v>
      </c>
      <c r="Y100" s="88">
        <f>Y97+(X97+X98+X99)*(Y101-Y97)</f>
        <v>18762.291112065264</v>
      </c>
    </row>
    <row r="101" spans="2:25" x14ac:dyDescent="0.25">
      <c r="B101" s="5"/>
      <c r="C101" s="4" t="s">
        <v>1</v>
      </c>
      <c r="D101" s="46">
        <v>16461</v>
      </c>
      <c r="E101" s="50">
        <v>2367</v>
      </c>
      <c r="F101" s="6"/>
      <c r="G101" s="15"/>
      <c r="H101" s="15"/>
      <c r="I101" s="15"/>
      <c r="J101" s="68"/>
      <c r="K101" s="55">
        <f t="shared" si="2"/>
        <v>18828</v>
      </c>
      <c r="L101" s="67">
        <v>16489.69999999999</v>
      </c>
      <c r="M101" s="48"/>
      <c r="U101" s="79"/>
      <c r="V101" s="77" t="s">
        <v>1</v>
      </c>
      <c r="W101" s="86">
        <v>40580</v>
      </c>
      <c r="X101" s="87">
        <f>W101/SUM(W100:W103)</f>
        <v>0.26162078524917798</v>
      </c>
      <c r="Y101" s="88">
        <v>18828</v>
      </c>
    </row>
    <row r="102" spans="2:25" x14ac:dyDescent="0.25">
      <c r="B102" s="5"/>
      <c r="C102" s="4" t="s">
        <v>2</v>
      </c>
      <c r="D102" s="46"/>
      <c r="F102" s="6"/>
      <c r="G102" s="15"/>
      <c r="H102" s="15"/>
      <c r="I102" s="15"/>
      <c r="J102" s="68"/>
      <c r="K102" s="55"/>
      <c r="L102" s="67">
        <v>16566.994478999866</v>
      </c>
      <c r="M102" s="48"/>
      <c r="U102" s="79"/>
      <c r="V102" s="77" t="s">
        <v>2</v>
      </c>
      <c r="W102" s="86">
        <v>40620</v>
      </c>
      <c r="X102" s="87">
        <f>W102/SUM(W100:W103)</f>
        <v>0.26187866675262716</v>
      </c>
      <c r="Y102" s="88">
        <f>Y101+X101*(Y105-Y101)</f>
        <v>18888.17278060731</v>
      </c>
    </row>
    <row r="103" spans="2:25" x14ac:dyDescent="0.25">
      <c r="B103" s="5"/>
      <c r="C103" s="4" t="s">
        <v>3</v>
      </c>
      <c r="D103" s="46"/>
      <c r="F103" s="6"/>
      <c r="G103" s="15"/>
      <c r="H103" s="15"/>
      <c r="I103" s="15"/>
      <c r="J103" s="68"/>
      <c r="K103" s="55"/>
      <c r="L103" s="67">
        <v>16642.488874861425</v>
      </c>
      <c r="M103" s="48"/>
      <c r="U103" s="79"/>
      <c r="V103" s="77" t="s">
        <v>3</v>
      </c>
      <c r="W103" s="86">
        <v>32040</v>
      </c>
      <c r="X103" s="87">
        <f>W103/SUM(W100:W103)</f>
        <v>0.20656308426278125</v>
      </c>
      <c r="Y103" s="88">
        <f>Y101+(X101+X102)*(Y105-Y101)</f>
        <v>18948.404873960415</v>
      </c>
    </row>
    <row r="104" spans="2:25" x14ac:dyDescent="0.25">
      <c r="B104" s="5">
        <v>1999</v>
      </c>
      <c r="C104" s="4" t="s">
        <v>0</v>
      </c>
      <c r="D104" s="46"/>
      <c r="F104" s="6"/>
      <c r="G104" s="15"/>
      <c r="H104" s="15"/>
      <c r="I104" s="15"/>
      <c r="J104" s="68"/>
      <c r="K104" s="55"/>
      <c r="L104" s="67">
        <v>16708.837393767695</v>
      </c>
      <c r="M104" s="48"/>
      <c r="U104" s="79">
        <v>1999</v>
      </c>
      <c r="V104" s="77" t="s">
        <v>0</v>
      </c>
      <c r="W104" s="86">
        <v>40410</v>
      </c>
      <c r="X104" s="87">
        <f>W104/SUM(W104:W107)</f>
        <v>0.25689764780673874</v>
      </c>
      <c r="Y104" s="88">
        <f>Y101+(X101+X102+X103)*(Y105-Y101)</f>
        <v>18995.914383340856</v>
      </c>
    </row>
    <row r="105" spans="2:25" x14ac:dyDescent="0.25">
      <c r="B105" s="5"/>
      <c r="C105" s="4" t="s">
        <v>1</v>
      </c>
      <c r="D105" s="46">
        <v>16734</v>
      </c>
      <c r="E105" s="50">
        <v>2324</v>
      </c>
      <c r="F105" s="6"/>
      <c r="G105" s="15"/>
      <c r="H105" s="15"/>
      <c r="I105" s="15"/>
      <c r="J105" s="68"/>
      <c r="K105" s="55">
        <f t="shared" si="2"/>
        <v>19058</v>
      </c>
      <c r="L105" s="67">
        <v>16784.94999999999</v>
      </c>
      <c r="M105" s="48"/>
      <c r="U105" s="79"/>
      <c r="V105" s="77" t="s">
        <v>1</v>
      </c>
      <c r="W105" s="86">
        <v>40780</v>
      </c>
      <c r="X105" s="87">
        <f>W105/SUM(W104:W107)</f>
        <v>0.2592498410680229</v>
      </c>
      <c r="Y105" s="88">
        <v>19058</v>
      </c>
    </row>
    <row r="106" spans="2:25" x14ac:dyDescent="0.25">
      <c r="B106" s="5"/>
      <c r="C106" s="4" t="s">
        <v>2</v>
      </c>
      <c r="D106" s="46"/>
      <c r="F106" s="6"/>
      <c r="G106" s="15"/>
      <c r="H106" s="15"/>
      <c r="I106" s="15"/>
      <c r="J106" s="68"/>
      <c r="K106" s="55"/>
      <c r="L106" s="67">
        <v>16853.807581673816</v>
      </c>
      <c r="M106" s="48"/>
      <c r="U106" s="79"/>
      <c r="V106" s="77" t="s">
        <v>2</v>
      </c>
      <c r="W106" s="86">
        <v>40410</v>
      </c>
      <c r="X106" s="87">
        <f>W106/SUM(W104:W107)</f>
        <v>0.25689764780673874</v>
      </c>
      <c r="Y106" s="88">
        <f>Y105+X105*(Y109-Y105)</f>
        <v>19120.479211697395</v>
      </c>
    </row>
    <row r="107" spans="2:25" x14ac:dyDescent="0.25">
      <c r="B107" s="5"/>
      <c r="C107" s="4" t="s">
        <v>3</v>
      </c>
      <c r="D107" s="46"/>
      <c r="F107" s="6"/>
      <c r="G107" s="15"/>
      <c r="H107" s="15"/>
      <c r="I107" s="15"/>
      <c r="J107" s="68"/>
      <c r="K107" s="55"/>
      <c r="L107" s="67">
        <v>16922.750026031488</v>
      </c>
      <c r="M107" s="48"/>
      <c r="U107" s="79"/>
      <c r="V107" s="77" t="s">
        <v>3</v>
      </c>
      <c r="W107" s="86">
        <v>35700</v>
      </c>
      <c r="X107" s="87">
        <f>W107/SUM(W104:W107)</f>
        <v>0.22695486331849968</v>
      </c>
      <c r="Y107" s="88">
        <f>Y105+(X105+X106)*(Y109-Y105)</f>
        <v>19182.391544818816</v>
      </c>
    </row>
    <row r="108" spans="2:25" x14ac:dyDescent="0.25">
      <c r="B108" s="5">
        <v>2000</v>
      </c>
      <c r="C108" s="4" t="s">
        <v>0</v>
      </c>
      <c r="D108" s="46"/>
      <c r="F108" s="6"/>
      <c r="G108" s="15"/>
      <c r="H108" s="15"/>
      <c r="I108" s="15"/>
      <c r="J108" s="68"/>
      <c r="K108" s="55"/>
      <c r="L108" s="67">
        <v>16977.147006377709</v>
      </c>
      <c r="M108" s="48"/>
      <c r="U108" s="79">
        <v>2000</v>
      </c>
      <c r="V108" s="77" t="s">
        <v>0</v>
      </c>
      <c r="W108" s="86">
        <v>42640</v>
      </c>
      <c r="X108" s="87">
        <f>W108/SUM(W108:W111)</f>
        <v>0.2741769547325103</v>
      </c>
      <c r="Y108" s="88">
        <f>Y105+(X105+X106+X107)*(Y109-Y105)</f>
        <v>19237.087666878575</v>
      </c>
    </row>
    <row r="109" spans="2:25" x14ac:dyDescent="0.25">
      <c r="B109" s="5"/>
      <c r="C109" s="4" t="s">
        <v>1</v>
      </c>
      <c r="D109" s="46">
        <v>16949</v>
      </c>
      <c r="E109" s="50">
        <v>2350</v>
      </c>
      <c r="F109" s="6"/>
      <c r="G109" s="15"/>
      <c r="H109" s="15"/>
      <c r="I109" s="15"/>
      <c r="J109" s="68"/>
      <c r="K109" s="55">
        <f t="shared" si="2"/>
        <v>19299</v>
      </c>
      <c r="L109" s="67">
        <v>17045.749999999993</v>
      </c>
      <c r="M109" s="48"/>
      <c r="U109" s="79"/>
      <c r="V109" s="77" t="s">
        <v>1</v>
      </c>
      <c r="W109" s="86">
        <v>41730</v>
      </c>
      <c r="X109" s="87">
        <f>W109/SUM(W108:W111)</f>
        <v>0.2683256172839506</v>
      </c>
      <c r="Y109" s="88">
        <v>19299</v>
      </c>
    </row>
    <row r="110" spans="2:25" x14ac:dyDescent="0.25">
      <c r="B110" s="5"/>
      <c r="C110" s="4" t="s">
        <v>2</v>
      </c>
      <c r="D110" s="46"/>
      <c r="F110" s="6"/>
      <c r="G110" s="15"/>
      <c r="H110" s="15"/>
      <c r="I110" s="15"/>
      <c r="J110" s="68"/>
      <c r="K110" s="55"/>
      <c r="L110" s="67">
        <v>17102.473387450631</v>
      </c>
      <c r="M110" s="48"/>
      <c r="U110" s="79"/>
      <c r="V110" s="77" t="s">
        <v>2</v>
      </c>
      <c r="W110" s="86">
        <v>40250</v>
      </c>
      <c r="X110" s="87">
        <f>W110/SUM(W108:W111)</f>
        <v>0.2588091563786008</v>
      </c>
      <c r="Y110" s="88">
        <f>Y109+X109*(Y113-Y109)</f>
        <v>19358.031635802468</v>
      </c>
    </row>
    <row r="111" spans="2:25" x14ac:dyDescent="0.25">
      <c r="B111" s="5"/>
      <c r="C111" s="4" t="s">
        <v>3</v>
      </c>
      <c r="D111" s="46"/>
      <c r="F111" s="6"/>
      <c r="G111" s="15"/>
      <c r="H111" s="15"/>
      <c r="I111" s="15"/>
      <c r="J111" s="68"/>
      <c r="K111" s="55"/>
      <c r="L111" s="67">
        <v>17158.682119350586</v>
      </c>
      <c r="M111" s="48"/>
      <c r="U111" s="79"/>
      <c r="V111" s="77" t="s">
        <v>3</v>
      </c>
      <c r="W111" s="86">
        <v>30900</v>
      </c>
      <c r="X111" s="87">
        <f>W111/SUM(W108:W111)</f>
        <v>0.19868827160493827</v>
      </c>
      <c r="Y111" s="88">
        <f>Y109+(X109+X110)*(Y113-Y109)</f>
        <v>19414.96965020576</v>
      </c>
    </row>
    <row r="112" spans="2:25" x14ac:dyDescent="0.25">
      <c r="B112" s="5">
        <v>2001</v>
      </c>
      <c r="C112" s="4" t="s">
        <v>0</v>
      </c>
      <c r="D112" s="46"/>
      <c r="F112" s="6"/>
      <c r="G112" s="15"/>
      <c r="H112" s="15"/>
      <c r="I112" s="15"/>
      <c r="J112" s="68"/>
      <c r="K112" s="55"/>
      <c r="L112" s="67">
        <v>17208.325515577002</v>
      </c>
      <c r="M112" s="48"/>
      <c r="U112" s="79">
        <v>2001</v>
      </c>
      <c r="V112" s="77" t="s">
        <v>0</v>
      </c>
      <c r="W112" s="86">
        <v>39340</v>
      </c>
      <c r="X112" s="87">
        <f>W112/SUM(W112:W115)</f>
        <v>0.24573677306515085</v>
      </c>
      <c r="Y112" s="88">
        <f>Y109+(X109+X110+X111)*(Y113-Y109)</f>
        <v>19458.681069958846</v>
      </c>
    </row>
    <row r="113" spans="2:25" x14ac:dyDescent="0.25">
      <c r="B113" s="5"/>
      <c r="C113" s="4" t="s">
        <v>1</v>
      </c>
      <c r="D113" s="46"/>
      <c r="E113" s="50"/>
      <c r="F113" s="72">
        <v>17115</v>
      </c>
      <c r="G113" s="72">
        <v>2404</v>
      </c>
      <c r="H113" s="74">
        <v>14735</v>
      </c>
      <c r="I113" s="74">
        <v>2133</v>
      </c>
      <c r="J113" s="58">
        <f>(F113+G113)/(H113+I113)</f>
        <v>1.157161489210339</v>
      </c>
      <c r="K113" s="55">
        <f t="shared" si="2"/>
        <v>19519</v>
      </c>
      <c r="L113" s="67">
        <v>17267.649999999994</v>
      </c>
      <c r="M113" s="48"/>
      <c r="U113" s="79"/>
      <c r="V113" s="77" t="s">
        <v>1</v>
      </c>
      <c r="W113" s="86">
        <v>42940</v>
      </c>
      <c r="X113" s="87">
        <f>W113/SUM(W112:W115)</f>
        <v>0.26822412393028922</v>
      </c>
      <c r="Y113" s="88">
        <v>19519</v>
      </c>
    </row>
    <row r="114" spans="2:25" x14ac:dyDescent="0.25">
      <c r="B114" s="5"/>
      <c r="C114" s="4" t="s">
        <v>2</v>
      </c>
      <c r="D114" s="46"/>
      <c r="J114" s="58"/>
      <c r="K114" s="55"/>
      <c r="L114" s="67">
        <v>17334.145447079685</v>
      </c>
      <c r="M114" s="48"/>
      <c r="U114" s="79"/>
      <c r="V114" s="77" t="s">
        <v>2</v>
      </c>
      <c r="W114" s="86">
        <v>42880</v>
      </c>
      <c r="X114" s="87">
        <f>W114/SUM(W112:W115)</f>
        <v>0.26784933474920358</v>
      </c>
      <c r="Y114" s="88">
        <f>Y113+X113*(Y117-Y113)</f>
        <v>19579.618652008245</v>
      </c>
    </row>
    <row r="115" spans="2:25" x14ac:dyDescent="0.25">
      <c r="B115" s="5"/>
      <c r="C115" s="4" t="s">
        <v>3</v>
      </c>
      <c r="D115" s="46"/>
      <c r="J115" s="58"/>
      <c r="K115" s="55"/>
      <c r="L115" s="67">
        <v>17398.297933775699</v>
      </c>
      <c r="M115" s="48"/>
      <c r="U115" s="79"/>
      <c r="V115" s="77" t="s">
        <v>3</v>
      </c>
      <c r="W115" s="86">
        <v>34930</v>
      </c>
      <c r="X115" s="87">
        <f>W115/SUM(W112:W115)</f>
        <v>0.21818976825535635</v>
      </c>
      <c r="Y115" s="88">
        <f>Y113+(X113+X114)*(Y117-Y113)</f>
        <v>19640.152601661564</v>
      </c>
    </row>
    <row r="116" spans="2:25" x14ac:dyDescent="0.25">
      <c r="B116" s="5">
        <v>2002</v>
      </c>
      <c r="C116" s="4" t="s">
        <v>0</v>
      </c>
      <c r="D116" s="46"/>
      <c r="J116" s="58"/>
      <c r="K116" s="55"/>
      <c r="L116" s="67">
        <v>17447.547917351021</v>
      </c>
      <c r="M116" s="48"/>
      <c r="U116" s="79">
        <v>2002</v>
      </c>
      <c r="V116" s="77" t="s">
        <v>0</v>
      </c>
      <c r="W116" s="86">
        <v>41520</v>
      </c>
      <c r="X116" s="87">
        <f>W116/SUM(W116:W119)</f>
        <v>0.25363469761759316</v>
      </c>
      <c r="Y116" s="88">
        <f>Y113+(X113+X114+X115)*(Y117-Y113)</f>
        <v>19689.463489287275</v>
      </c>
    </row>
    <row r="117" spans="2:25" x14ac:dyDescent="0.25">
      <c r="B117" s="5"/>
      <c r="C117" s="4" t="s">
        <v>1</v>
      </c>
      <c r="D117" s="46"/>
      <c r="E117" s="50"/>
      <c r="F117" s="72">
        <v>17280</v>
      </c>
      <c r="G117" s="72">
        <v>2465</v>
      </c>
      <c r="H117" s="74">
        <v>14846</v>
      </c>
      <c r="I117" s="74">
        <v>2197</v>
      </c>
      <c r="J117" s="58">
        <f t="shared" ref="J117:J177" si="3">(F117+G117)/(H117+I117)</f>
        <v>1.1585401631168222</v>
      </c>
      <c r="K117" s="55">
        <f t="shared" si="2"/>
        <v>19745</v>
      </c>
      <c r="L117" s="67">
        <v>17510.249999999993</v>
      </c>
      <c r="M117" s="48"/>
      <c r="U117" s="79"/>
      <c r="V117" s="77" t="s">
        <v>1</v>
      </c>
      <c r="W117" s="86">
        <v>42440</v>
      </c>
      <c r="X117" s="87">
        <f>W117/SUM(W116:W119)</f>
        <v>0.25925473427000612</v>
      </c>
      <c r="Y117" s="88">
        <v>19745</v>
      </c>
    </row>
    <row r="118" spans="2:25" x14ac:dyDescent="0.25">
      <c r="B118" s="5"/>
      <c r="C118" s="4" t="s">
        <v>2</v>
      </c>
      <c r="D118" s="46"/>
      <c r="J118" s="58"/>
      <c r="K118" s="55"/>
      <c r="L118" s="67">
        <v>17525.929742388751</v>
      </c>
      <c r="M118" s="48"/>
      <c r="U118" s="79"/>
      <c r="V118" s="77" t="s">
        <v>2</v>
      </c>
      <c r="W118" s="86">
        <v>44270</v>
      </c>
      <c r="X118" s="87">
        <f>W118/SUM(W116:W119)</f>
        <v>0.27043372021991446</v>
      </c>
      <c r="Y118" s="88">
        <f>Y117+X117*(Y121-Y117)</f>
        <v>19825.887477092241</v>
      </c>
    </row>
    <row r="119" spans="2:25" x14ac:dyDescent="0.25">
      <c r="B119" s="5"/>
      <c r="C119" s="4" t="s">
        <v>3</v>
      </c>
      <c r="D119" s="46"/>
      <c r="J119" s="58"/>
      <c r="K119" s="55"/>
      <c r="L119" s="67">
        <v>17541.583923949209</v>
      </c>
      <c r="M119" s="48"/>
      <c r="U119" s="79"/>
      <c r="V119" s="77" t="s">
        <v>3</v>
      </c>
      <c r="W119" s="86">
        <v>35470</v>
      </c>
      <c r="X119" s="87">
        <f>W119/SUM(W116:W119)</f>
        <v>0.21667684789248626</v>
      </c>
      <c r="Y119" s="88">
        <f>Y117+(X117+X118)*(Y121-Y117)</f>
        <v>19910.262797800857</v>
      </c>
    </row>
    <row r="120" spans="2:25" x14ac:dyDescent="0.25">
      <c r="B120" s="5">
        <v>2003</v>
      </c>
      <c r="C120" s="4" t="s">
        <v>0</v>
      </c>
      <c r="D120" s="46"/>
      <c r="J120" s="58"/>
      <c r="K120" s="55"/>
      <c r="L120" s="67">
        <v>17554.338777271038</v>
      </c>
      <c r="M120" s="48"/>
      <c r="U120" s="79">
        <v>2003</v>
      </c>
      <c r="V120" s="77" t="s">
        <v>0</v>
      </c>
      <c r="W120" s="86">
        <v>44100</v>
      </c>
      <c r="X120" s="87">
        <f>W120/SUM(W120:W123)</f>
        <v>0.25138231773356895</v>
      </c>
      <c r="Y120" s="88">
        <f>Y117+(X117+X118+X119)*(Y121-Y117)</f>
        <v>19977.865974343313</v>
      </c>
    </row>
    <row r="121" spans="2:25" x14ac:dyDescent="0.25">
      <c r="B121" s="5"/>
      <c r="C121" s="4" t="s">
        <v>1</v>
      </c>
      <c r="D121" s="46"/>
      <c r="E121" s="50"/>
      <c r="F121" s="72">
        <v>17223</v>
      </c>
      <c r="G121" s="72">
        <v>2834</v>
      </c>
      <c r="H121" s="74">
        <v>14752</v>
      </c>
      <c r="I121" s="74">
        <v>2549</v>
      </c>
      <c r="J121" s="58">
        <f t="shared" si="3"/>
        <v>1.1592971504537311</v>
      </c>
      <c r="K121" s="55">
        <f t="shared" si="2"/>
        <v>20057</v>
      </c>
      <c r="L121" s="67">
        <v>17569.499999999993</v>
      </c>
      <c r="M121" s="48"/>
      <c r="U121" s="79"/>
      <c r="V121" s="77" t="s">
        <v>1</v>
      </c>
      <c r="W121" s="86">
        <v>45630</v>
      </c>
      <c r="X121" s="87">
        <f>W121/SUM(W120:W123)</f>
        <v>0.26010374508350909</v>
      </c>
      <c r="Y121" s="88">
        <v>20057</v>
      </c>
    </row>
    <row r="122" spans="2:25" x14ac:dyDescent="0.25">
      <c r="B122" s="5"/>
      <c r="C122" s="4" t="s">
        <v>2</v>
      </c>
      <c r="D122" s="46"/>
      <c r="J122" s="58"/>
      <c r="K122" s="55"/>
      <c r="L122" s="67">
        <v>17673.003987490218</v>
      </c>
      <c r="M122" s="48"/>
      <c r="U122" s="79"/>
      <c r="V122" s="77" t="s">
        <v>2</v>
      </c>
      <c r="W122" s="86">
        <v>44930</v>
      </c>
      <c r="X122" s="87">
        <f>W122/SUM(W120:W123)</f>
        <v>0.25611354956392862</v>
      </c>
      <c r="Y122" s="88">
        <f>Y121+X121*(Y125-Y121)</f>
        <v>20139.19278344639</v>
      </c>
    </row>
    <row r="123" spans="2:25" x14ac:dyDescent="0.25">
      <c r="B123" s="5"/>
      <c r="C123" s="4" t="s">
        <v>3</v>
      </c>
      <c r="D123" s="46"/>
      <c r="J123" s="58"/>
      <c r="K123" s="55"/>
      <c r="L123" s="67">
        <v>17780.996481626262</v>
      </c>
      <c r="M123" s="48"/>
      <c r="U123" s="79"/>
      <c r="V123" s="77" t="s">
        <v>3</v>
      </c>
      <c r="W123" s="86">
        <v>40770</v>
      </c>
      <c r="X123" s="87">
        <f>W123/SUM(W120:W123)</f>
        <v>0.23240038761899334</v>
      </c>
      <c r="Y123" s="88">
        <f>Y121+(X121+X122)*(Y125-Y121)</f>
        <v>20220.124665108589</v>
      </c>
    </row>
    <row r="124" spans="2:25" x14ac:dyDescent="0.25">
      <c r="B124" s="5">
        <v>2004</v>
      </c>
      <c r="C124" s="4" t="s">
        <v>0</v>
      </c>
      <c r="D124" s="46"/>
      <c r="J124" s="58"/>
      <c r="K124" s="55"/>
      <c r="L124" s="67">
        <v>17867.52220484753</v>
      </c>
      <c r="M124" s="48"/>
      <c r="U124" s="79">
        <v>2004</v>
      </c>
      <c r="V124" s="77" t="s">
        <v>0</v>
      </c>
      <c r="W124" s="86">
        <v>46340</v>
      </c>
      <c r="X124" s="87">
        <f>W124/SUM(W124:W127)</f>
        <v>0.24506848590618224</v>
      </c>
      <c r="Y124" s="88">
        <f>Y121+(X121+X122+X123)*(Y125-Y121)</f>
        <v>20293.563187596192</v>
      </c>
    </row>
    <row r="125" spans="2:25" x14ac:dyDescent="0.25">
      <c r="B125" s="5"/>
      <c r="C125" s="4" t="s">
        <v>1</v>
      </c>
      <c r="D125" s="46"/>
      <c r="E125" s="50"/>
      <c r="F125" s="72">
        <v>17478</v>
      </c>
      <c r="G125" s="72">
        <v>2895</v>
      </c>
      <c r="H125" s="74">
        <v>14986</v>
      </c>
      <c r="I125" s="74">
        <v>2578</v>
      </c>
      <c r="J125" s="58">
        <f t="shared" si="3"/>
        <v>1.1599294010475973</v>
      </c>
      <c r="K125" s="55">
        <f t="shared" si="2"/>
        <v>20373</v>
      </c>
      <c r="L125" s="67">
        <v>17975.099999999991</v>
      </c>
      <c r="M125" s="48"/>
      <c r="U125" s="79"/>
      <c r="V125" s="77" t="s">
        <v>1</v>
      </c>
      <c r="W125" s="86">
        <v>51200</v>
      </c>
      <c r="X125" s="87">
        <f>W125/SUM(W124:W127)</f>
        <v>0.27077053255063727</v>
      </c>
      <c r="Y125" s="88">
        <v>20373</v>
      </c>
    </row>
    <row r="126" spans="2:25" x14ac:dyDescent="0.25">
      <c r="B126" s="5"/>
      <c r="C126" s="4" t="s">
        <v>2</v>
      </c>
      <c r="D126" s="46"/>
      <c r="J126" s="58"/>
      <c r="K126" s="55"/>
      <c r="L126" s="67">
        <v>18049.056762917924</v>
      </c>
      <c r="M126" s="48"/>
      <c r="U126" s="79"/>
      <c r="V126" s="77" t="s">
        <v>2</v>
      </c>
      <c r="W126" s="86">
        <v>49940</v>
      </c>
      <c r="X126" s="87">
        <f>W126/SUM(W124:W127)</f>
        <v>0.2641070389761489</v>
      </c>
      <c r="Y126" s="88">
        <f>Y125+X125*(Y129-Y125)</f>
        <v>20455.855782960494</v>
      </c>
    </row>
    <row r="127" spans="2:25" x14ac:dyDescent="0.25">
      <c r="B127" s="5"/>
      <c r="C127" s="4" t="s">
        <v>3</v>
      </c>
      <c r="D127" s="46"/>
      <c r="J127" s="58"/>
      <c r="K127" s="55"/>
      <c r="L127" s="67">
        <v>18121.878971068323</v>
      </c>
      <c r="M127" s="48"/>
      <c r="U127" s="79"/>
      <c r="V127" s="77" t="s">
        <v>3</v>
      </c>
      <c r="W127" s="86">
        <v>41610</v>
      </c>
      <c r="X127" s="87">
        <f>W127/SUM(W124:W127)</f>
        <v>0.22005394256703156</v>
      </c>
      <c r="Y127" s="88">
        <f>Y125+(X125+X126)*(Y129-Y125)</f>
        <v>20536.672536887196</v>
      </c>
    </row>
    <row r="128" spans="2:25" x14ac:dyDescent="0.25">
      <c r="B128" s="5">
        <v>2005</v>
      </c>
      <c r="C128" s="4" t="s">
        <v>0</v>
      </c>
      <c r="D128" s="46"/>
      <c r="J128" s="58"/>
      <c r="K128" s="55"/>
      <c r="L128" s="67">
        <v>18187.958682314526</v>
      </c>
      <c r="M128" s="48"/>
      <c r="U128" s="79">
        <v>2005</v>
      </c>
      <c r="V128" s="77" t="s">
        <v>0</v>
      </c>
      <c r="W128" s="86">
        <v>43260</v>
      </c>
      <c r="X128" s="87">
        <f>W128/SUM(W128:W131)</f>
        <v>0.23674273518305697</v>
      </c>
      <c r="Y128" s="88">
        <f>Y125+(X125+X126+X127)*(Y129-Y125)</f>
        <v>20604.009043312708</v>
      </c>
    </row>
    <row r="129" spans="2:25" x14ac:dyDescent="0.25">
      <c r="B129" s="5"/>
      <c r="C129" s="4" t="s">
        <v>1</v>
      </c>
      <c r="D129" s="46"/>
      <c r="E129" s="50"/>
      <c r="F129" s="72">
        <v>17625</v>
      </c>
      <c r="G129" s="72">
        <v>3054</v>
      </c>
      <c r="H129" s="74">
        <v>15100</v>
      </c>
      <c r="I129" s="74">
        <v>2720</v>
      </c>
      <c r="J129" s="58">
        <f t="shared" si="3"/>
        <v>1.1604377104377104</v>
      </c>
      <c r="K129" s="55">
        <f t="shared" si="2"/>
        <v>20679</v>
      </c>
      <c r="L129" s="67">
        <v>18263.049999999992</v>
      </c>
      <c r="M129" s="48"/>
      <c r="U129" s="79"/>
      <c r="V129" s="77" t="s">
        <v>1</v>
      </c>
      <c r="W129" s="86">
        <v>48730</v>
      </c>
      <c r="X129" s="87">
        <f>W129/SUM(W128:W131)</f>
        <v>0.26667761177693866</v>
      </c>
      <c r="Y129" s="88">
        <v>20679</v>
      </c>
    </row>
    <row r="130" spans="2:25" x14ac:dyDescent="0.25">
      <c r="B130" s="5"/>
      <c r="C130" s="4" t="s">
        <v>2</v>
      </c>
      <c r="D130" s="46"/>
      <c r="J130" s="58"/>
      <c r="K130" s="55"/>
      <c r="L130" s="67">
        <v>18294.043602494483</v>
      </c>
      <c r="M130" s="48"/>
      <c r="U130" s="79"/>
      <c r="V130" s="77" t="s">
        <v>2</v>
      </c>
      <c r="W130" s="86">
        <v>47310</v>
      </c>
      <c r="X130" s="87">
        <f>W130/SUM(W128:W131)</f>
        <v>0.25890658348382861</v>
      </c>
      <c r="Y130" s="88">
        <f>Y129+X129*(Y133-Y129)</f>
        <v>20749.136211897334</v>
      </c>
    </row>
    <row r="131" spans="2:25" x14ac:dyDescent="0.25">
      <c r="B131" s="5"/>
      <c r="C131" s="4" t="s">
        <v>3</v>
      </c>
      <c r="D131" s="46"/>
      <c r="J131" s="58"/>
      <c r="K131" s="55"/>
      <c r="L131" s="67">
        <v>18324.274471802586</v>
      </c>
      <c r="M131" s="48"/>
      <c r="U131" s="79"/>
      <c r="V131" s="77" t="s">
        <v>3</v>
      </c>
      <c r="W131" s="86">
        <v>43430</v>
      </c>
      <c r="X131" s="87">
        <f>W131/SUM(W128:W131)</f>
        <v>0.23767306955617579</v>
      </c>
      <c r="Y131" s="88">
        <f>Y129+(X129+X130)*(Y133-Y129)</f>
        <v>20817.228643353581</v>
      </c>
    </row>
    <row r="132" spans="2:25" x14ac:dyDescent="0.25">
      <c r="B132" s="5">
        <v>2006</v>
      </c>
      <c r="C132" s="4" t="s">
        <v>0</v>
      </c>
      <c r="D132" s="46"/>
      <c r="J132" s="58"/>
      <c r="K132" s="55"/>
      <c r="L132" s="67">
        <v>18349.462827267347</v>
      </c>
      <c r="M132" s="48"/>
      <c r="U132" s="79">
        <v>2006</v>
      </c>
      <c r="V132" s="77" t="s">
        <v>0</v>
      </c>
      <c r="W132" s="86">
        <v>50700</v>
      </c>
      <c r="X132" s="87">
        <f>W132/SUM(W132:W135)</f>
        <v>0.27867861265321825</v>
      </c>
      <c r="Y132" s="88">
        <f>Y129+(X129+X130+X131)*(Y133-Y129)</f>
        <v>20879.736660646857</v>
      </c>
    </row>
    <row r="133" spans="2:25" x14ac:dyDescent="0.25">
      <c r="B133" s="5"/>
      <c r="C133" s="4" t="s">
        <v>1</v>
      </c>
      <c r="D133" s="46"/>
      <c r="E133" s="50"/>
      <c r="F133" s="72">
        <v>17608</v>
      </c>
      <c r="G133" s="72">
        <v>3334</v>
      </c>
      <c r="H133" s="74">
        <v>15052</v>
      </c>
      <c r="I133" s="74">
        <v>2987</v>
      </c>
      <c r="J133" s="58">
        <f t="shared" si="3"/>
        <v>1.1609290980653029</v>
      </c>
      <c r="K133" s="55">
        <f>SUM(D133:G133)</f>
        <v>20942</v>
      </c>
      <c r="L133" s="67">
        <v>18375.649999999998</v>
      </c>
      <c r="M133" s="48"/>
      <c r="U133" s="79"/>
      <c r="V133" s="77" t="s">
        <v>1</v>
      </c>
      <c r="W133" s="86">
        <v>49750</v>
      </c>
      <c r="X133" s="87">
        <f>W133/SUM(W132:W135)</f>
        <v>0.27345682405320726</v>
      </c>
      <c r="Y133" s="88">
        <v>20942</v>
      </c>
    </row>
    <row r="134" spans="2:25" x14ac:dyDescent="0.25">
      <c r="B134" s="5"/>
      <c r="C134" s="4" t="s">
        <v>2</v>
      </c>
      <c r="D134" s="46"/>
      <c r="J134" s="58"/>
      <c r="K134" s="55"/>
      <c r="L134" s="67">
        <v>18429.986627754111</v>
      </c>
      <c r="M134" s="48"/>
      <c r="U134" s="79"/>
      <c r="V134" s="77" t="s">
        <v>2</v>
      </c>
      <c r="W134" s="86">
        <v>43710</v>
      </c>
      <c r="X134" s="87">
        <f>W134/SUM(W132:W135)</f>
        <v>0.24025724179629529</v>
      </c>
      <c r="Y134" s="88">
        <f>Y133+X133*(Y137-Y133)</f>
        <v>21018.020997086791</v>
      </c>
    </row>
    <row r="135" spans="2:25" x14ac:dyDescent="0.25">
      <c r="B135" s="5"/>
      <c r="C135" s="4" t="s">
        <v>3</v>
      </c>
      <c r="D135" s="46"/>
      <c r="J135" s="58"/>
      <c r="K135" s="55"/>
      <c r="L135" s="67">
        <v>18482.739877478041</v>
      </c>
      <c r="M135" s="48"/>
      <c r="U135" s="79"/>
      <c r="V135" s="77" t="s">
        <v>3</v>
      </c>
      <c r="W135" s="86">
        <v>37770</v>
      </c>
      <c r="X135" s="87">
        <f>W135/SUM(W132:W135)</f>
        <v>0.20760732149727917</v>
      </c>
      <c r="Y135" s="88">
        <f>Y133+(X133+X134)*(Y137-Y133)</f>
        <v>21084.812510306161</v>
      </c>
    </row>
    <row r="136" spans="2:25" x14ac:dyDescent="0.25">
      <c r="B136" s="5">
        <v>2007</v>
      </c>
      <c r="C136" s="4" t="s">
        <v>0</v>
      </c>
      <c r="D136" s="46"/>
      <c r="J136" s="58"/>
      <c r="K136" s="55"/>
      <c r="L136" s="67">
        <v>18531.166713992738</v>
      </c>
      <c r="M136" s="48"/>
      <c r="U136" s="79">
        <v>2007</v>
      </c>
      <c r="V136" s="77" t="s">
        <v>0</v>
      </c>
      <c r="W136" s="86">
        <v>49670</v>
      </c>
      <c r="X136" s="87">
        <f>W136/SUM(W136:W139)</f>
        <v>0.26092666526581215</v>
      </c>
      <c r="Y136" s="88">
        <f>Y133+(X133+X134+X135)*(Y137-Y133)</f>
        <v>21142.527345682407</v>
      </c>
    </row>
    <row r="137" spans="2:25" x14ac:dyDescent="0.25">
      <c r="B137" s="5"/>
      <c r="C137" s="4" t="s">
        <v>1</v>
      </c>
      <c r="D137" s="46"/>
      <c r="E137" s="50"/>
      <c r="F137" s="72">
        <v>17657</v>
      </c>
      <c r="G137" s="72">
        <v>3563</v>
      </c>
      <c r="H137" s="74">
        <v>15093</v>
      </c>
      <c r="I137" s="74">
        <v>3182</v>
      </c>
      <c r="J137" s="58">
        <f t="shared" si="3"/>
        <v>1.1611491108071135</v>
      </c>
      <c r="K137" s="55">
        <f>SUM(D137:G137)</f>
        <v>21220</v>
      </c>
      <c r="L137" s="67">
        <v>18587.699999999993</v>
      </c>
      <c r="M137" s="48"/>
      <c r="U137" s="79"/>
      <c r="V137" s="77" t="s">
        <v>1</v>
      </c>
      <c r="W137" s="86">
        <v>50010</v>
      </c>
      <c r="X137" s="87">
        <f>W137/SUM(W136:W139)</f>
        <v>0.26271275478041606</v>
      </c>
      <c r="Y137" s="88">
        <v>21220</v>
      </c>
    </row>
    <row r="138" spans="2:25" x14ac:dyDescent="0.25">
      <c r="B138" s="5"/>
      <c r="C138" s="4" t="s">
        <v>2</v>
      </c>
      <c r="D138" s="46"/>
      <c r="J138" s="58"/>
      <c r="K138" s="55"/>
      <c r="L138" s="67">
        <v>18634.310458817021</v>
      </c>
      <c r="M138" s="48"/>
      <c r="U138" s="79"/>
      <c r="V138" s="77" t="s">
        <v>2</v>
      </c>
      <c r="W138" s="86">
        <v>47430</v>
      </c>
      <c r="X138" s="87">
        <f>W138/SUM(W136:W139)</f>
        <v>0.24915948728724521</v>
      </c>
      <c r="Y138" s="88">
        <f>Y137+X137*(Y141-Y137)</f>
        <v>21292.771433074176</v>
      </c>
    </row>
    <row r="139" spans="2:25" x14ac:dyDescent="0.25">
      <c r="B139" s="5"/>
      <c r="C139" s="4" t="s">
        <v>3</v>
      </c>
      <c r="D139" s="46"/>
      <c r="J139" s="58"/>
      <c r="K139" s="55"/>
      <c r="L139" s="67">
        <v>18675.253850193472</v>
      </c>
      <c r="M139" s="48"/>
      <c r="U139" s="79"/>
      <c r="V139" s="77" t="s">
        <v>3</v>
      </c>
      <c r="W139" s="86">
        <v>43250</v>
      </c>
      <c r="X139" s="87">
        <f>W139/SUM(W136:W139)</f>
        <v>0.22720109266652658</v>
      </c>
      <c r="Y139" s="88">
        <f>Y137+(X137+X138)*(Y141-Y137)</f>
        <v>21361.788611052743</v>
      </c>
    </row>
    <row r="140" spans="2:25" x14ac:dyDescent="0.25">
      <c r="B140" s="5">
        <v>2008</v>
      </c>
      <c r="C140" s="4" t="s">
        <v>0</v>
      </c>
      <c r="D140" s="46"/>
      <c r="J140" s="58"/>
      <c r="K140" s="55"/>
      <c r="L140" s="67">
        <v>18710.623844665555</v>
      </c>
      <c r="M140" s="48"/>
      <c r="U140" s="79">
        <v>2008</v>
      </c>
      <c r="V140" s="77" t="s">
        <v>0</v>
      </c>
      <c r="W140" s="86">
        <v>35290</v>
      </c>
      <c r="X140" s="87">
        <f>W140/SUM(W140:W143)</f>
        <v>0.34099913035075852</v>
      </c>
      <c r="Y140" s="88">
        <f>Y137+(X137+X138+X139)*(Y141-Y137)</f>
        <v>21424.72331372137</v>
      </c>
    </row>
    <row r="141" spans="2:25" x14ac:dyDescent="0.25">
      <c r="B141" s="5"/>
      <c r="C141" s="4" t="s">
        <v>1</v>
      </c>
      <c r="D141" s="46"/>
      <c r="E141" s="50"/>
      <c r="F141" s="72">
        <v>17660</v>
      </c>
      <c r="G141" s="72">
        <v>3837</v>
      </c>
      <c r="H141" s="74">
        <v>15067</v>
      </c>
      <c r="I141" s="74">
        <v>3443</v>
      </c>
      <c r="J141" s="58">
        <f t="shared" si="3"/>
        <v>1.1613722312263641</v>
      </c>
      <c r="K141" s="55">
        <f>SUM(D141:G141)</f>
        <v>21497</v>
      </c>
      <c r="L141" s="67">
        <v>18757.149999999994</v>
      </c>
      <c r="M141" s="48"/>
      <c r="U141" s="79"/>
      <c r="V141" s="77" t="s">
        <v>1</v>
      </c>
      <c r="W141" s="86">
        <v>33170</v>
      </c>
      <c r="X141" s="87">
        <f>W141/SUM(W140:W143)</f>
        <v>0.3205140593294038</v>
      </c>
      <c r="Y141" s="88">
        <v>21497</v>
      </c>
    </row>
    <row r="142" spans="2:25" x14ac:dyDescent="0.25">
      <c r="B142" s="5"/>
      <c r="C142" s="4" t="s">
        <v>2</v>
      </c>
      <c r="D142" s="46"/>
      <c r="J142" s="58"/>
      <c r="K142" s="55"/>
      <c r="L142" s="67">
        <v>18756.496590909082</v>
      </c>
      <c r="M142" s="48"/>
      <c r="U142" s="79"/>
      <c r="V142" s="77" t="s">
        <v>2</v>
      </c>
      <c r="W142" s="86">
        <v>19740</v>
      </c>
      <c r="X142" s="87">
        <f>W142/SUM(W140:W143)</f>
        <v>0.19074306696299159</v>
      </c>
      <c r="Y142" s="88">
        <f>Y141+X141*(Y145-Y141)</f>
        <v>21560.141269687894</v>
      </c>
    </row>
    <row r="143" spans="2:25" x14ac:dyDescent="0.25">
      <c r="B143" s="5"/>
      <c r="C143" s="4" t="s">
        <v>3</v>
      </c>
      <c r="D143" s="46"/>
      <c r="J143" s="58"/>
      <c r="K143" s="55"/>
      <c r="L143" s="67">
        <v>18755.876636363628</v>
      </c>
      <c r="M143" s="48"/>
      <c r="U143" s="79"/>
      <c r="V143" s="77" t="s">
        <v>3</v>
      </c>
      <c r="W143" s="86">
        <v>15290</v>
      </c>
      <c r="X143" s="87">
        <f>W143/SUM(W140:W143)</f>
        <v>0.14774374335684606</v>
      </c>
      <c r="Y143" s="88">
        <f>Y141+(X141+X142)*(Y145-Y141)</f>
        <v>21597.717653879601</v>
      </c>
    </row>
    <row r="144" spans="2:25" x14ac:dyDescent="0.25">
      <c r="B144" s="5">
        <v>2009</v>
      </c>
      <c r="C144" s="4" t="s">
        <v>0</v>
      </c>
      <c r="D144" s="46"/>
      <c r="J144" s="58"/>
      <c r="K144" s="55"/>
      <c r="L144" s="67">
        <v>18755.311306818174</v>
      </c>
      <c r="M144" s="48"/>
      <c r="U144" s="79">
        <v>2009</v>
      </c>
      <c r="V144" s="77" t="s">
        <v>0</v>
      </c>
      <c r="W144" s="86">
        <v>15340</v>
      </c>
      <c r="X144" s="87">
        <f>W144/SUM(W144:W147)</f>
        <v>0.19611352595244183</v>
      </c>
      <c r="Y144" s="88">
        <f>Y141+(X141+X142+X143)*(Y145-Y141)</f>
        <v>21626.823171320899</v>
      </c>
    </row>
    <row r="145" spans="2:25" x14ac:dyDescent="0.25">
      <c r="B145" s="5"/>
      <c r="C145" s="4" t="s">
        <v>1</v>
      </c>
      <c r="D145" s="46"/>
      <c r="E145" s="50"/>
      <c r="F145" s="72">
        <v>17547</v>
      </c>
      <c r="G145" s="72">
        <v>4147</v>
      </c>
      <c r="H145" s="74">
        <v>14968</v>
      </c>
      <c r="I145" s="74">
        <v>3705</v>
      </c>
      <c r="J145" s="58">
        <f t="shared" si="3"/>
        <v>1.1617843945804103</v>
      </c>
      <c r="K145" s="55">
        <f>SUM(D145:G145)</f>
        <v>21694</v>
      </c>
      <c r="L145" s="67">
        <v>18754.849999999991</v>
      </c>
      <c r="M145" s="48"/>
      <c r="U145" s="79"/>
      <c r="V145" s="77" t="s">
        <v>1</v>
      </c>
      <c r="W145" s="86">
        <v>18750</v>
      </c>
      <c r="X145" s="87">
        <f>W145/SUM(W144:W147)</f>
        <v>0.23970851444643312</v>
      </c>
      <c r="Y145" s="88">
        <v>21694</v>
      </c>
    </row>
    <row r="146" spans="2:25" x14ac:dyDescent="0.25">
      <c r="B146" s="5"/>
      <c r="C146" s="4" t="s">
        <v>2</v>
      </c>
      <c r="D146" s="46"/>
      <c r="J146" s="58"/>
      <c r="K146" s="55"/>
      <c r="L146" s="67">
        <v>18749.409353680425</v>
      </c>
      <c r="M146" s="48"/>
      <c r="U146" s="79"/>
      <c r="V146" s="77" t="s">
        <v>2</v>
      </c>
      <c r="W146" s="86">
        <v>23780</v>
      </c>
      <c r="X146" s="87">
        <f>W146/SUM(W144:W147)</f>
        <v>0.30401431858859629</v>
      </c>
      <c r="Y146" s="88">
        <f>Y145+X145*(Y149-Y145)</f>
        <v>21730.915111224749</v>
      </c>
    </row>
    <row r="147" spans="2:25" x14ac:dyDescent="0.25">
      <c r="B147" s="5"/>
      <c r="C147" s="4" t="s">
        <v>3</v>
      </c>
      <c r="D147" s="46"/>
      <c r="J147" s="58"/>
      <c r="K147" s="55"/>
      <c r="L147" s="67">
        <v>18746.174153201671</v>
      </c>
      <c r="M147" s="48"/>
      <c r="U147" s="79"/>
      <c r="V147" s="77" t="s">
        <v>3</v>
      </c>
      <c r="W147" s="86">
        <v>20350</v>
      </c>
      <c r="X147" s="87">
        <f>W147/SUM(W144:W147)</f>
        <v>0.26016364101252876</v>
      </c>
      <c r="Y147" s="88">
        <f>Y145+(X145+X146)*(Y149-Y145)</f>
        <v>21777.733316287395</v>
      </c>
    </row>
    <row r="148" spans="2:25" x14ac:dyDescent="0.25">
      <c r="B148" s="5">
        <v>2010</v>
      </c>
      <c r="C148" s="4" t="s">
        <v>0</v>
      </c>
      <c r="D148" s="46"/>
      <c r="J148" s="58"/>
      <c r="K148" s="55"/>
      <c r="L148" s="67">
        <v>18743.665356074202</v>
      </c>
      <c r="M148" s="48"/>
      <c r="U148" s="79">
        <v>2010</v>
      </c>
      <c r="V148" s="77" t="s">
        <v>0</v>
      </c>
      <c r="W148" s="86">
        <v>24800</v>
      </c>
      <c r="X148" s="87">
        <f>W148/SUM(W148:W151)</f>
        <v>0.25126646403242148</v>
      </c>
      <c r="Y148" s="88">
        <f>Y145+(X145+X146+X147)*(Y149-Y145)</f>
        <v>21817.798517003324</v>
      </c>
    </row>
    <row r="149" spans="2:25" x14ac:dyDescent="0.25">
      <c r="B149" s="5"/>
      <c r="C149" s="4" t="s">
        <v>1</v>
      </c>
      <c r="E149" s="50"/>
      <c r="F149" s="72">
        <v>17463</v>
      </c>
      <c r="G149" s="72">
        <v>4385</v>
      </c>
      <c r="H149" s="74">
        <v>14895</v>
      </c>
      <c r="I149" s="74">
        <v>3912</v>
      </c>
      <c r="J149" s="58">
        <f t="shared" si="3"/>
        <v>1.1616951135215612</v>
      </c>
      <c r="K149" s="55">
        <f>SUM(D149:G149)</f>
        <v>21848</v>
      </c>
      <c r="L149" s="67">
        <v>18741.149999999994</v>
      </c>
      <c r="M149" s="48"/>
      <c r="U149" s="79"/>
      <c r="V149" s="77" t="s">
        <v>1</v>
      </c>
      <c r="W149" s="86">
        <v>28750</v>
      </c>
      <c r="X149" s="87">
        <f>W149/SUM(W148:W151)</f>
        <v>0.29128672745694023</v>
      </c>
      <c r="Y149" s="88">
        <v>21848</v>
      </c>
    </row>
    <row r="150" spans="2:25" x14ac:dyDescent="0.25">
      <c r="B150" s="5"/>
      <c r="C150" s="4" t="s">
        <v>2</v>
      </c>
      <c r="J150" s="58"/>
      <c r="K150" s="55"/>
      <c r="L150" s="67">
        <v>18740.177520529192</v>
      </c>
      <c r="M150" s="48"/>
      <c r="U150" s="79"/>
      <c r="V150" s="77" t="s">
        <v>2</v>
      </c>
      <c r="W150" s="86">
        <v>26200</v>
      </c>
      <c r="X150" s="87">
        <f>W150/SUM(W148:W151)</f>
        <v>0.26545086119554206</v>
      </c>
      <c r="Y150" s="88">
        <f>Y149+X149*(Y153-Y149)</f>
        <v>21890.236575481256</v>
      </c>
    </row>
    <row r="151" spans="2:25" x14ac:dyDescent="0.25">
      <c r="B151" s="5"/>
      <c r="C151" s="4" t="s">
        <v>3</v>
      </c>
      <c r="J151" s="58"/>
      <c r="K151" s="55"/>
      <c r="L151" s="67">
        <v>18738.942980155105</v>
      </c>
      <c r="M151" s="48"/>
      <c r="U151" s="79"/>
      <c r="V151" s="77" t="s">
        <v>3</v>
      </c>
      <c r="W151" s="86">
        <v>18950</v>
      </c>
      <c r="X151" s="87">
        <f>W151/SUM(W148:W151)</f>
        <v>0.19199594731509625</v>
      </c>
      <c r="Y151" s="88">
        <f>Y149+(X149+X150)*(Y153-Y149)</f>
        <v>21928.726950354609</v>
      </c>
    </row>
    <row r="152" spans="2:25" x14ac:dyDescent="0.25">
      <c r="B152" s="5">
        <v>2011</v>
      </c>
      <c r="C152" s="4" t="s">
        <v>0</v>
      </c>
      <c r="J152" s="58"/>
      <c r="K152" s="55"/>
      <c r="L152" s="67">
        <v>18737.886952554738</v>
      </c>
      <c r="M152" s="48"/>
      <c r="U152" s="79">
        <v>2011</v>
      </c>
      <c r="V152" s="77" t="s">
        <v>0</v>
      </c>
      <c r="W152" s="86">
        <v>24510</v>
      </c>
      <c r="X152" s="87">
        <f>W152/SUM(W152:W155)</f>
        <v>0.23877252800779347</v>
      </c>
      <c r="Y152" s="88">
        <f>Y149+(X149+X150+X151)*(Y153-Y149)</f>
        <v>21956.566362715297</v>
      </c>
    </row>
    <row r="153" spans="2:25" x14ac:dyDescent="0.25">
      <c r="B153" s="5"/>
      <c r="C153" s="4" t="s">
        <v>1</v>
      </c>
      <c r="E153" s="50"/>
      <c r="F153" s="72">
        <v>17388</v>
      </c>
      <c r="G153" s="72">
        <v>4605</v>
      </c>
      <c r="H153" s="74">
        <v>14827</v>
      </c>
      <c r="I153" s="74">
        <v>4105</v>
      </c>
      <c r="J153" s="58">
        <f t="shared" si="3"/>
        <v>1.1616839214029158</v>
      </c>
      <c r="K153" s="55">
        <f>SUM(D153:G153)</f>
        <v>21993</v>
      </c>
      <c r="L153" s="67">
        <v>18736.599999999991</v>
      </c>
      <c r="M153" s="48"/>
      <c r="U153" s="79"/>
      <c r="V153" s="77" t="s">
        <v>1</v>
      </c>
      <c r="W153" s="86">
        <v>27140</v>
      </c>
      <c r="X153" s="87">
        <f>W153/SUM(W152:W155)</f>
        <v>0.26439357038480271</v>
      </c>
      <c r="Y153" s="88">
        <v>21993</v>
      </c>
    </row>
    <row r="154" spans="2:25" x14ac:dyDescent="0.25">
      <c r="B154" s="5"/>
      <c r="C154" s="4" t="s">
        <v>2</v>
      </c>
      <c r="J154" s="58"/>
      <c r="K154" s="55"/>
      <c r="L154" s="67">
        <v>18724.270223577227</v>
      </c>
      <c r="M154" s="48"/>
      <c r="U154" s="79"/>
      <c r="V154" s="77" t="s">
        <v>2</v>
      </c>
      <c r="W154" s="86">
        <v>27680</v>
      </c>
      <c r="X154" s="87">
        <f>W154/SUM(W152:W155)</f>
        <v>0.26965416463711639</v>
      </c>
      <c r="Y154" s="88">
        <f>Y153+X153*(Y157-Y153)</f>
        <v>22025.784802727714</v>
      </c>
    </row>
    <row r="155" spans="2:25" x14ac:dyDescent="0.25">
      <c r="B155" s="5"/>
      <c r="C155" s="4" t="s">
        <v>3</v>
      </c>
      <c r="J155" s="58"/>
      <c r="K155" s="55"/>
      <c r="L155" s="67">
        <v>18713.038333333327</v>
      </c>
      <c r="M155" s="48"/>
      <c r="U155" s="79"/>
      <c r="V155" s="77" t="s">
        <v>3</v>
      </c>
      <c r="W155" s="86">
        <v>23320</v>
      </c>
      <c r="X155" s="87">
        <f>W155/SUM(W152:W155)</f>
        <v>0.22717973697028737</v>
      </c>
      <c r="Y155" s="88">
        <f>Y153+(X153+X154)*(Y157-Y153)</f>
        <v>22059.221919142718</v>
      </c>
    </row>
    <row r="156" spans="2:25" x14ac:dyDescent="0.25">
      <c r="B156" s="5">
        <v>2012</v>
      </c>
      <c r="C156" s="4" t="s">
        <v>0</v>
      </c>
      <c r="J156" s="58"/>
      <c r="K156" s="55"/>
      <c r="L156" s="67">
        <v>18704.911402439018</v>
      </c>
      <c r="M156" s="48"/>
      <c r="U156" s="79">
        <v>2012</v>
      </c>
      <c r="V156" s="77" t="s">
        <v>0</v>
      </c>
      <c r="W156" s="86">
        <v>24620</v>
      </c>
      <c r="X156" s="87">
        <f>W156/SUM(W156:W159)</f>
        <v>0.25611151565588264</v>
      </c>
      <c r="Y156" s="88">
        <f>Y153+(X153+X154+X155)*(Y157-Y153)</f>
        <v>22087.392206527034</v>
      </c>
    </row>
    <row r="157" spans="2:25" x14ac:dyDescent="0.25">
      <c r="B157" s="5"/>
      <c r="C157" s="4" t="s">
        <v>1</v>
      </c>
      <c r="E157" s="50"/>
      <c r="F157" s="72">
        <v>17276</v>
      </c>
      <c r="G157" s="72">
        <v>4841</v>
      </c>
      <c r="H157" s="74">
        <v>14754</v>
      </c>
      <c r="I157" s="74">
        <v>4286</v>
      </c>
      <c r="J157" s="58">
        <f t="shared" si="3"/>
        <v>1.1616071428571428</v>
      </c>
      <c r="K157" s="55">
        <f>SUM(D157:G157)</f>
        <v>22117</v>
      </c>
      <c r="L157" s="67">
        <v>18694.399999999994</v>
      </c>
      <c r="M157" s="48"/>
      <c r="U157" s="79"/>
      <c r="V157" s="77" t="s">
        <v>1</v>
      </c>
      <c r="W157" s="86">
        <v>24040</v>
      </c>
      <c r="X157" s="87">
        <f>W157/SUM(W156:W159)</f>
        <v>0.25007801934879847</v>
      </c>
      <c r="Y157" s="88">
        <v>22117</v>
      </c>
    </row>
    <row r="158" spans="2:25" x14ac:dyDescent="0.25">
      <c r="B158" s="5"/>
      <c r="C158" s="4" t="s">
        <v>2</v>
      </c>
      <c r="J158" s="58"/>
      <c r="K158" s="55"/>
      <c r="L158" s="67">
        <v>18694.188711560913</v>
      </c>
      <c r="M158" s="48"/>
      <c r="U158" s="79"/>
      <c r="V158" s="77" t="s">
        <v>2</v>
      </c>
      <c r="W158" s="86">
        <v>26020</v>
      </c>
      <c r="X158" s="87">
        <f>W158/SUM(W156:W159)</f>
        <v>0.27067512743160305</v>
      </c>
      <c r="Y158" s="88">
        <f>Y157+X157*(Y161-Y157)</f>
        <v>22149.510142515344</v>
      </c>
    </row>
    <row r="159" spans="2:25" x14ac:dyDescent="0.25">
      <c r="B159" s="5"/>
      <c r="C159" s="4" t="s">
        <v>3</v>
      </c>
      <c r="J159" s="58"/>
      <c r="K159" s="55"/>
      <c r="L159" s="67">
        <v>18693.973219151416</v>
      </c>
      <c r="M159" s="48"/>
      <c r="U159" s="79"/>
      <c r="V159" s="77" t="s">
        <v>3</v>
      </c>
      <c r="W159" s="86">
        <v>21450</v>
      </c>
      <c r="X159" s="87">
        <f>W159/SUM(W156:W159)</f>
        <v>0.22313533756371581</v>
      </c>
      <c r="Y159" s="88">
        <f>Y157+(X157+X158)*(Y161-Y157)</f>
        <v>22184.697909081453</v>
      </c>
    </row>
    <row r="160" spans="2:25" x14ac:dyDescent="0.25">
      <c r="B160" s="5">
        <v>2013</v>
      </c>
      <c r="C160" s="4" t="s">
        <v>0</v>
      </c>
      <c r="J160" s="58"/>
      <c r="K160" s="55"/>
      <c r="L160" s="67">
        <v>18693.791669910464</v>
      </c>
      <c r="M160" s="48"/>
      <c r="U160" s="79">
        <v>2013</v>
      </c>
      <c r="V160" s="77" t="s">
        <v>0</v>
      </c>
      <c r="W160" s="86">
        <v>26440</v>
      </c>
      <c r="X160" s="87">
        <f>W160/SUM(W160:W163)</f>
        <v>0.22903672903672903</v>
      </c>
      <c r="Y160" s="88">
        <f>Y157+(X157+X158+X159)*(Y161-Y157)</f>
        <v>22213.705502964734</v>
      </c>
    </row>
    <row r="161" spans="2:25" x14ac:dyDescent="0.25">
      <c r="B161" s="5"/>
      <c r="C161" s="4" t="s">
        <v>1</v>
      </c>
      <c r="E161" s="50"/>
      <c r="F161" s="72">
        <v>17201</v>
      </c>
      <c r="G161" s="72">
        <v>5046</v>
      </c>
      <c r="H161" s="74">
        <v>14685</v>
      </c>
      <c r="I161" s="74">
        <v>4465</v>
      </c>
      <c r="J161" s="58">
        <f t="shared" si="3"/>
        <v>1.1617232375979112</v>
      </c>
      <c r="K161" s="55">
        <f>SUM(D161:G161)</f>
        <v>22247</v>
      </c>
      <c r="L161" s="67">
        <v>18693.599999999991</v>
      </c>
      <c r="M161" s="48"/>
      <c r="U161" s="79"/>
      <c r="V161" s="77" t="s">
        <v>1</v>
      </c>
      <c r="W161" s="86">
        <v>30840</v>
      </c>
      <c r="X161" s="87">
        <f>W161/SUM(W160:W163)</f>
        <v>0.26715176715176714</v>
      </c>
      <c r="Y161" s="88">
        <v>22247</v>
      </c>
    </row>
    <row r="162" spans="2:25" x14ac:dyDescent="0.25">
      <c r="B162" s="5"/>
      <c r="C162" s="4" t="s">
        <v>2</v>
      </c>
      <c r="J162" s="58"/>
      <c r="K162" s="55"/>
      <c r="L162" s="67">
        <v>18717.578642164361</v>
      </c>
      <c r="M162" s="48"/>
      <c r="U162" s="79"/>
      <c r="V162" s="77" t="s">
        <v>2</v>
      </c>
      <c r="W162" s="86">
        <v>32640</v>
      </c>
      <c r="X162" s="87">
        <f>W162/SUM(W160:W163)</f>
        <v>0.28274428274428276</v>
      </c>
      <c r="Y162" s="88">
        <f>Y161+X161*(Y165-Y161)</f>
        <v>22291.347193347192</v>
      </c>
    </row>
    <row r="163" spans="2:25" x14ac:dyDescent="0.25">
      <c r="B163" s="5"/>
      <c r="C163" s="4" t="s">
        <v>3</v>
      </c>
      <c r="J163" s="58"/>
      <c r="K163" s="55"/>
      <c r="L163" s="67">
        <v>18743.532230729954</v>
      </c>
      <c r="M163" s="48"/>
      <c r="U163" s="79"/>
      <c r="V163" s="77" t="s">
        <v>3</v>
      </c>
      <c r="W163" s="86">
        <v>25520</v>
      </c>
      <c r="X163" s="87">
        <f>W163/SUM(W160:W163)</f>
        <v>0.22106722106722107</v>
      </c>
      <c r="Y163" s="88">
        <f>Y161+(X161+X162)*(Y165-Y161)</f>
        <v>22338.282744282744</v>
      </c>
    </row>
    <row r="164" spans="2:25" x14ac:dyDescent="0.25">
      <c r="B164" s="5">
        <v>2014</v>
      </c>
      <c r="C164" s="4" t="s">
        <v>0</v>
      </c>
      <c r="J164" s="58"/>
      <c r="K164" s="55"/>
      <c r="L164" s="67">
        <v>18764.927483409894</v>
      </c>
      <c r="M164" s="48"/>
      <c r="U164" s="79">
        <v>2014</v>
      </c>
      <c r="V164" s="77" t="s">
        <v>0</v>
      </c>
      <c r="W164" s="86">
        <v>35970</v>
      </c>
      <c r="X164" s="87">
        <f>W164/SUM(W164:W167)</f>
        <v>0.27330749943013449</v>
      </c>
      <c r="Y164" s="88">
        <f>Y161+(X161+X162+X163)*(Y165-Y161)</f>
        <v>22374.979902979903</v>
      </c>
    </row>
    <row r="165" spans="2:25" x14ac:dyDescent="0.25">
      <c r="B165" s="7"/>
      <c r="C165" s="4" t="s">
        <v>1</v>
      </c>
      <c r="E165" s="50"/>
      <c r="F165" s="72">
        <v>17201</v>
      </c>
      <c r="G165" s="72">
        <v>5212</v>
      </c>
      <c r="H165" s="74">
        <v>14674</v>
      </c>
      <c r="I165" s="74">
        <v>4623</v>
      </c>
      <c r="J165" s="58">
        <f t="shared" si="3"/>
        <v>1.1614758770793387</v>
      </c>
      <c r="K165" s="55">
        <f>SUM(D165:G165)</f>
        <v>22413</v>
      </c>
      <c r="L165" s="67">
        <v>18791.299999999992</v>
      </c>
      <c r="M165" s="48"/>
      <c r="U165" s="80"/>
      <c r="V165" s="77" t="s">
        <v>1</v>
      </c>
      <c r="W165" s="86">
        <v>35010</v>
      </c>
      <c r="X165" s="87">
        <f>W165/SUM(W164:W167)</f>
        <v>0.26601322087987234</v>
      </c>
      <c r="Y165" s="88">
        <v>22413</v>
      </c>
    </row>
    <row r="166" spans="2:25" x14ac:dyDescent="0.25">
      <c r="B166" s="8"/>
      <c r="C166" s="9" t="s">
        <v>2</v>
      </c>
      <c r="J166" s="58"/>
      <c r="K166" s="55"/>
      <c r="L166" s="67">
        <v>18825.195126830433</v>
      </c>
      <c r="M166" s="48"/>
      <c r="U166" s="81"/>
      <c r="V166" s="82" t="s">
        <v>2</v>
      </c>
      <c r="W166" s="94">
        <v>34070</v>
      </c>
      <c r="X166" s="87">
        <f>W166/SUM(W164:W167)</f>
        <v>0.25887090646607402</v>
      </c>
      <c r="Y166" s="88">
        <f>Y165+X165*(Y169-Y165)</f>
        <v>22460.882379758375</v>
      </c>
    </row>
    <row r="167" spans="2:25" x14ac:dyDescent="0.25">
      <c r="B167" s="8"/>
      <c r="C167" s="8" t="s">
        <v>3</v>
      </c>
      <c r="J167" s="58"/>
      <c r="K167" s="55"/>
      <c r="L167" s="67">
        <v>18861.068568456423</v>
      </c>
      <c r="M167" s="48"/>
      <c r="U167" s="81"/>
      <c r="V167" s="81" t="s">
        <v>3</v>
      </c>
      <c r="W167" s="94">
        <v>26560</v>
      </c>
      <c r="X167" s="87">
        <f>W167/SUM(W164:W167)</f>
        <v>0.20180837322391915</v>
      </c>
      <c r="Y167" s="88">
        <f>Y165+(X165+X166)*(Y169-Y165)</f>
        <v>22507.479142922271</v>
      </c>
    </row>
    <row r="168" spans="2:25" x14ac:dyDescent="0.25">
      <c r="B168" s="8">
        <v>2015</v>
      </c>
      <c r="C168" s="8" t="s">
        <v>0</v>
      </c>
      <c r="J168" s="58"/>
      <c r="K168" s="55"/>
      <c r="L168" s="67">
        <v>18889.116676002235</v>
      </c>
      <c r="M168" s="48"/>
      <c r="U168" s="81">
        <v>2015</v>
      </c>
      <c r="V168" s="81" t="s">
        <v>0</v>
      </c>
      <c r="W168" s="94">
        <v>38680</v>
      </c>
      <c r="X168" s="87">
        <f>W168/SUM(W168:W171)</f>
        <v>0.27295180297791266</v>
      </c>
      <c r="Y168" s="88">
        <f>Y165+(X165+X166+X167)*(Y169-Y165)</f>
        <v>22543.804650102575</v>
      </c>
    </row>
    <row r="169" spans="2:25" x14ac:dyDescent="0.25">
      <c r="B169" s="8"/>
      <c r="C169" s="8" t="s">
        <v>1</v>
      </c>
      <c r="E169" s="50"/>
      <c r="F169" s="72">
        <v>17217</v>
      </c>
      <c r="G169" s="72">
        <v>5376</v>
      </c>
      <c r="H169" s="74">
        <v>14684</v>
      </c>
      <c r="I169" s="74">
        <v>4773</v>
      </c>
      <c r="J169" s="58">
        <f t="shared" si="3"/>
        <v>1.1611759264018091</v>
      </c>
      <c r="K169" s="55">
        <f>SUM(D169:G169)</f>
        <v>22593</v>
      </c>
      <c r="L169" s="67">
        <v>18928.649999999994</v>
      </c>
      <c r="M169" s="48"/>
      <c r="U169" s="81"/>
      <c r="V169" s="81" t="s">
        <v>1</v>
      </c>
      <c r="W169" s="94">
        <v>36520</v>
      </c>
      <c r="X169" s="87">
        <f>W169/SUM(W168:W171)</f>
        <v>0.25770940653447183</v>
      </c>
      <c r="Y169" s="88">
        <v>22593</v>
      </c>
    </row>
    <row r="170" spans="2:25" x14ac:dyDescent="0.25">
      <c r="B170" s="8"/>
      <c r="C170" s="8" t="s">
        <v>2</v>
      </c>
      <c r="J170" s="58"/>
      <c r="K170" s="55"/>
      <c r="L170" s="67">
        <v>18990.343127661159</v>
      </c>
      <c r="M170" s="48"/>
      <c r="U170" s="81"/>
      <c r="V170" s="81" t="s">
        <v>2</v>
      </c>
      <c r="W170" s="94">
        <v>36270</v>
      </c>
      <c r="X170" s="87">
        <f>W170/SUM(W168:W171)</f>
        <v>0.25594524027944393</v>
      </c>
      <c r="Y170" s="88">
        <f>Y169+X169*(Y173-Y169)</f>
        <v>22644.541881306894</v>
      </c>
    </row>
    <row r="171" spans="2:25" x14ac:dyDescent="0.25">
      <c r="B171" s="8"/>
      <c r="C171" s="8" t="s">
        <v>3</v>
      </c>
      <c r="J171" s="58"/>
      <c r="K171" s="55"/>
      <c r="L171" s="67">
        <v>19050.379827444529</v>
      </c>
      <c r="M171" s="48"/>
      <c r="U171" s="81"/>
      <c r="V171" s="81" t="s">
        <v>3</v>
      </c>
      <c r="W171" s="94">
        <v>30240</v>
      </c>
      <c r="X171" s="87">
        <f>W171/SUM(W168:W171)</f>
        <v>0.21339355020817161</v>
      </c>
      <c r="Y171" s="88">
        <f>Y169+(X169+X170)*(Y173-Y169)</f>
        <v>22695.730929362784</v>
      </c>
    </row>
    <row r="172" spans="2:25" x14ac:dyDescent="0.25">
      <c r="B172" s="8">
        <v>2016</v>
      </c>
      <c r="C172" s="8" t="s">
        <v>0</v>
      </c>
      <c r="E172" s="14"/>
      <c r="J172" s="58"/>
      <c r="K172" s="55"/>
      <c r="L172" s="67">
        <v>19097.147482632397</v>
      </c>
      <c r="M172" s="48"/>
      <c r="U172" s="81">
        <v>2016</v>
      </c>
      <c r="V172" s="81" t="s">
        <v>0</v>
      </c>
      <c r="W172" s="94">
        <v>34740</v>
      </c>
      <c r="X172" s="87">
        <f>W172/SUM(W172:W175)</f>
        <v>0.23452372915682171</v>
      </c>
      <c r="Y172" s="88">
        <f>Y169+(X169+X170+X171)*(Y173-Y169)</f>
        <v>22738.409639404417</v>
      </c>
    </row>
    <row r="173" spans="2:25" x14ac:dyDescent="0.25">
      <c r="B173" s="8"/>
      <c r="C173" s="8" t="s">
        <v>1</v>
      </c>
      <c r="E173" s="50"/>
      <c r="F173" s="72">
        <v>17341</v>
      </c>
      <c r="G173" s="72">
        <v>5452</v>
      </c>
      <c r="H173" s="74">
        <v>14801</v>
      </c>
      <c r="I173" s="74">
        <v>4832</v>
      </c>
      <c r="J173" s="58">
        <f t="shared" si="3"/>
        <v>1.1609534966637804</v>
      </c>
      <c r="K173" s="55">
        <f>SUM(D173:G173)</f>
        <v>22793</v>
      </c>
      <c r="L173" s="67">
        <v>19164.549999999992</v>
      </c>
      <c r="M173" s="48"/>
      <c r="U173" s="81"/>
      <c r="V173" s="81" t="s">
        <v>1</v>
      </c>
      <c r="W173" s="94">
        <v>38300</v>
      </c>
      <c r="X173" s="87">
        <f>W173/SUM(W172:W175)</f>
        <v>0.25855667319246606</v>
      </c>
      <c r="Y173" s="88">
        <v>22793</v>
      </c>
    </row>
    <row r="174" spans="2:25" x14ac:dyDescent="0.25">
      <c r="B174" s="8"/>
      <c r="C174" s="8" t="s">
        <v>2</v>
      </c>
      <c r="J174" s="58"/>
      <c r="K174" s="55"/>
      <c r="L174" s="67">
        <v>19250.10894568689</v>
      </c>
      <c r="M174" s="48"/>
      <c r="U174" s="81"/>
      <c r="V174" s="81" t="s">
        <v>2</v>
      </c>
      <c r="W174" s="94">
        <v>41460</v>
      </c>
      <c r="X174" s="87">
        <f>W174/SUM(W172:W175)</f>
        <v>0.27988928643758859</v>
      </c>
      <c r="Y174" s="88">
        <f>Y173+X173*(Y177-Y173)</f>
        <v>22855.053601566193</v>
      </c>
    </row>
    <row r="175" spans="2:25" x14ac:dyDescent="0.25">
      <c r="B175" s="8"/>
      <c r="C175" s="8" t="s">
        <v>3</v>
      </c>
      <c r="E175" s="14"/>
      <c r="J175" s="58"/>
      <c r="K175" s="55"/>
      <c r="L175" s="67">
        <v>19335.082192128946</v>
      </c>
      <c r="M175" s="48"/>
      <c r="U175" s="81"/>
      <c r="V175" s="81" t="s">
        <v>3</v>
      </c>
      <c r="W175" s="94">
        <v>33630</v>
      </c>
      <c r="X175" s="87">
        <f>W175/SUM(W172:W175)</f>
        <v>0.22703031121312361</v>
      </c>
      <c r="Y175" s="88">
        <f>Y173+(X173+X174)*(Y177-Y173)</f>
        <v>22922.227030311213</v>
      </c>
    </row>
    <row r="176" spans="2:25" x14ac:dyDescent="0.25">
      <c r="B176" s="8">
        <v>2017</v>
      </c>
      <c r="C176" s="8" t="s">
        <v>0</v>
      </c>
      <c r="E176" s="14"/>
      <c r="J176" s="58"/>
      <c r="K176" s="55"/>
      <c r="L176" s="67">
        <v>19406.232936392669</v>
      </c>
      <c r="M176" s="48"/>
      <c r="U176" s="81">
        <v>2017</v>
      </c>
      <c r="V176" s="81" t="s">
        <v>0</v>
      </c>
      <c r="W176" s="94">
        <v>39320</v>
      </c>
      <c r="X176" s="87">
        <f>W176/SUM(W176:W179)</f>
        <v>0.25353020826616801</v>
      </c>
      <c r="Y176" s="88">
        <f>Y173+(X173+X174+X175)*(Y177-Y173)</f>
        <v>22976.714305002362</v>
      </c>
    </row>
    <row r="177" spans="2:25" x14ac:dyDescent="0.25">
      <c r="B177" s="8"/>
      <c r="C177" s="8" t="s">
        <v>1</v>
      </c>
      <c r="E177" s="50"/>
      <c r="F177" s="72">
        <v>17617</v>
      </c>
      <c r="G177" s="72">
        <v>5416</v>
      </c>
      <c r="H177" s="74">
        <v>15050</v>
      </c>
      <c r="I177" s="74">
        <v>4798</v>
      </c>
      <c r="J177" s="58">
        <f t="shared" si="3"/>
        <v>1.1604695687222895</v>
      </c>
      <c r="K177" s="55">
        <f>SUM(D177:G177)</f>
        <v>23033</v>
      </c>
      <c r="L177" s="67">
        <v>19487.19999999999</v>
      </c>
      <c r="M177" s="48"/>
      <c r="U177" s="81"/>
      <c r="V177" s="81" t="s">
        <v>1</v>
      </c>
      <c r="W177" s="94">
        <v>42000</v>
      </c>
      <c r="X177" s="87">
        <f>W177/SUM(W176:W179)</f>
        <v>0.27081049713069832</v>
      </c>
      <c r="Y177" s="88">
        <v>23033</v>
      </c>
    </row>
    <row r="178" spans="2:25" x14ac:dyDescent="0.25">
      <c r="B178" s="8"/>
      <c r="C178" s="8" t="s">
        <v>2</v>
      </c>
      <c r="E178" s="14"/>
      <c r="J178" s="58"/>
      <c r="K178" s="55"/>
      <c r="L178" s="67">
        <v>19555.086168801285</v>
      </c>
      <c r="M178" s="48"/>
      <c r="U178" s="81"/>
      <c r="V178" s="81" t="s">
        <v>2</v>
      </c>
      <c r="W178" s="94">
        <v>38700</v>
      </c>
      <c r="X178" s="87">
        <f>W178/SUM(W176:W179)</f>
        <v>0.24953252949900059</v>
      </c>
      <c r="Y178" s="88">
        <f>Y177+X177*(Y181-Y177)</f>
        <v>23103.13991875685</v>
      </c>
    </row>
    <row r="179" spans="2:25" x14ac:dyDescent="0.25">
      <c r="B179" s="8"/>
      <c r="C179" s="8" t="s">
        <v>3</v>
      </c>
      <c r="E179" s="14"/>
      <c r="J179" s="58"/>
      <c r="K179" s="55"/>
      <c r="L179" s="67">
        <v>19628.112543595365</v>
      </c>
      <c r="M179" s="48"/>
      <c r="U179" s="81"/>
      <c r="V179" s="81" t="s">
        <v>3</v>
      </c>
      <c r="W179" s="94">
        <v>35070</v>
      </c>
      <c r="X179" s="87">
        <f>W179/SUM(W176:W179)</f>
        <v>0.22612676510413307</v>
      </c>
      <c r="Y179" s="88">
        <f>Y177+(X177+X178)*(Y181-Y177)</f>
        <v>23167.768843897091</v>
      </c>
    </row>
    <row r="180" spans="2:25" x14ac:dyDescent="0.25">
      <c r="B180" s="8">
        <v>2018</v>
      </c>
      <c r="C180" s="8" t="s">
        <v>0</v>
      </c>
      <c r="E180" s="14"/>
      <c r="J180" s="58"/>
      <c r="K180" s="55"/>
      <c r="L180" s="67">
        <v>19689.954539143073</v>
      </c>
      <c r="M180" s="48"/>
      <c r="U180" s="81">
        <v>2018</v>
      </c>
      <c r="V180" s="81" t="s">
        <v>0</v>
      </c>
      <c r="W180" s="94">
        <v>39300</v>
      </c>
      <c r="X180" s="87">
        <f>W180/SUM(W180:W183)</f>
        <v>0.24604019282539286</v>
      </c>
      <c r="Y180" s="88">
        <f>Y177+(X177+X178+X179)*(Y181-Y177)</f>
        <v>23226.335676059061</v>
      </c>
    </row>
    <row r="181" spans="2:25" x14ac:dyDescent="0.25">
      <c r="B181" s="8"/>
      <c r="C181" s="8" t="s">
        <v>1</v>
      </c>
      <c r="E181" s="14"/>
      <c r="F181" s="72">
        <v>17925</v>
      </c>
      <c r="G181" s="72">
        <v>5367</v>
      </c>
      <c r="H181" s="74">
        <v>15311</v>
      </c>
      <c r="I181" s="74">
        <v>4773</v>
      </c>
      <c r="J181" s="58">
        <f t="shared" ref="J181:J189" si="4">(F181+G181)/(H181+I181)</f>
        <v>1.1597291376219876</v>
      </c>
      <c r="K181" s="55">
        <f t="shared" ref="K181:K189" si="5">SUM(D181:G181)</f>
        <v>23292</v>
      </c>
      <c r="L181" s="67">
        <v>19764.948372093015</v>
      </c>
      <c r="M181" s="48"/>
      <c r="U181" s="81"/>
      <c r="V181" s="81" t="s">
        <v>1</v>
      </c>
      <c r="W181" s="94">
        <v>40500</v>
      </c>
      <c r="X181" s="87">
        <f>W181/SUM(W180:W183)</f>
        <v>0.25355287046891628</v>
      </c>
      <c r="Y181" s="88">
        <v>23292</v>
      </c>
    </row>
    <row r="182" spans="2:25" x14ac:dyDescent="0.25">
      <c r="B182" s="8"/>
      <c r="C182" s="8" t="s">
        <v>2</v>
      </c>
      <c r="E182" s="14"/>
      <c r="J182" s="58"/>
      <c r="K182" s="55"/>
      <c r="L182" s="67">
        <v>19826.976109726562</v>
      </c>
      <c r="M182" s="48"/>
      <c r="U182" s="81"/>
      <c r="V182" s="81" t="s">
        <v>2</v>
      </c>
      <c r="W182" s="94">
        <v>44520</v>
      </c>
      <c r="X182" s="87">
        <f>W182/SUM(W180:W183)</f>
        <v>0.27872034057471984</v>
      </c>
      <c r="Y182" s="88">
        <f>Y181+X181*(Y185-Y181)</f>
        <v>23353.773978195713</v>
      </c>
    </row>
    <row r="183" spans="2:25" x14ac:dyDescent="0.25">
      <c r="B183" s="8"/>
      <c r="C183" s="8" t="s">
        <v>3</v>
      </c>
      <c r="E183" s="14"/>
      <c r="J183" s="58"/>
      <c r="K183" s="55"/>
      <c r="L183" s="67">
        <v>19885.268517260269</v>
      </c>
      <c r="M183" s="48"/>
      <c r="U183" s="81"/>
      <c r="V183" s="81" t="s">
        <v>3</v>
      </c>
      <c r="W183" s="94">
        <v>35410</v>
      </c>
      <c r="X183" s="87">
        <f>W183/SUM(W180:W183)</f>
        <v>0.22168659613097103</v>
      </c>
      <c r="Y183" s="88">
        <f>Y181+(X181+X182)*(Y185-Y181)</f>
        <v>23421.679595708632</v>
      </c>
    </row>
    <row r="184" spans="2:25" x14ac:dyDescent="0.25">
      <c r="B184">
        <v>2019</v>
      </c>
      <c r="C184" s="8" t="s">
        <v>0</v>
      </c>
      <c r="E184" s="14"/>
      <c r="F184" s="47"/>
      <c r="G184" s="10"/>
      <c r="J184" s="58"/>
      <c r="K184" s="55"/>
      <c r="U184" s="29">
        <v>2019</v>
      </c>
      <c r="V184" s="81" t="s">
        <v>0</v>
      </c>
      <c r="W184" s="94">
        <v>37430</v>
      </c>
      <c r="X184" s="87">
        <f>W184/SUM(W184:W187)</f>
        <v>0.25459121207998914</v>
      </c>
      <c r="Y184" s="88">
        <f>Y181+(X181+X182+X183)*(Y185-Y181)</f>
        <v>23475.689881336042</v>
      </c>
    </row>
    <row r="185" spans="2:25" x14ac:dyDescent="0.25">
      <c r="C185" s="8" t="s">
        <v>1</v>
      </c>
      <c r="E185" s="14"/>
      <c r="F185" s="72">
        <v>18171.367075735841</v>
      </c>
      <c r="G185" s="72">
        <v>5364.2664437012263</v>
      </c>
      <c r="H185" s="59">
        <v>15544.36707573584</v>
      </c>
      <c r="I185" s="59">
        <v>4762.2664437012263</v>
      </c>
      <c r="J185" s="58">
        <f t="shared" si="4"/>
        <v>1.1590120783392912</v>
      </c>
      <c r="K185" s="55">
        <f t="shared" si="5"/>
        <v>23535.633519437069</v>
      </c>
      <c r="V185" s="81" t="s">
        <v>1</v>
      </c>
      <c r="W185" s="94">
        <v>38120</v>
      </c>
      <c r="X185" s="87">
        <f>W185/SUM(W184:W187)</f>
        <v>0.25928445109508913</v>
      </c>
      <c r="Y185" s="88">
        <v>23535.633519437069</v>
      </c>
    </row>
    <row r="186" spans="2:25" x14ac:dyDescent="0.25">
      <c r="C186" s="8" t="s">
        <v>2</v>
      </c>
      <c r="E186" s="14"/>
      <c r="J186" s="58"/>
      <c r="K186" s="55"/>
      <c r="V186" s="81" t="s">
        <v>2</v>
      </c>
      <c r="W186" s="94">
        <v>41770</v>
      </c>
      <c r="X186" s="87">
        <f>W186/SUM(W184:W187)</f>
        <v>0.28411100530540062</v>
      </c>
      <c r="Y186" s="88">
        <f>Y185+X185*(Y189-Y185)</f>
        <v>23599.253232666964</v>
      </c>
    </row>
    <row r="187" spans="2:25" x14ac:dyDescent="0.25">
      <c r="C187" s="8" t="s">
        <v>3</v>
      </c>
      <c r="E187" s="53"/>
      <c r="F187" s="47"/>
      <c r="G187" s="11"/>
      <c r="J187" s="58"/>
      <c r="K187" s="55"/>
      <c r="V187" s="81" t="s">
        <v>3</v>
      </c>
      <c r="W187" s="94">
        <v>29700</v>
      </c>
      <c r="X187" s="87">
        <f>W187/SUM(W184:W187)</f>
        <v>0.20201333151952117</v>
      </c>
      <c r="Y187" s="88">
        <f>Y185+(X185+X186)*(Y189-Y185)</f>
        <v>23668.964550127945</v>
      </c>
    </row>
    <row r="188" spans="2:25" x14ac:dyDescent="0.25">
      <c r="B188">
        <v>2020</v>
      </c>
      <c r="C188" s="8" t="s">
        <v>0</v>
      </c>
      <c r="E188" s="53"/>
      <c r="F188" s="47"/>
      <c r="G188" s="11"/>
      <c r="J188" s="58"/>
      <c r="K188" s="55"/>
      <c r="L188" s="13"/>
      <c r="U188" s="29">
        <v>2020</v>
      </c>
      <c r="V188" s="81" t="s">
        <v>0</v>
      </c>
      <c r="W188" s="94">
        <v>33120</v>
      </c>
      <c r="X188" s="87">
        <f>W188/SUM(W188:W191)</f>
        <v>0.2846828261990717</v>
      </c>
      <c r="Y188" s="88">
        <f>Y185+(X185+X186+X187)*(Y189-Y185)</f>
        <v>23718.531850309682</v>
      </c>
    </row>
    <row r="189" spans="2:25" x14ac:dyDescent="0.25">
      <c r="C189" s="8" t="s">
        <v>1</v>
      </c>
      <c r="E189" s="16"/>
      <c r="F189" s="72">
        <v>18347</v>
      </c>
      <c r="G189" s="72">
        <v>5434</v>
      </c>
      <c r="H189" s="59">
        <v>15723</v>
      </c>
      <c r="I189" s="59">
        <v>4813</v>
      </c>
      <c r="J189" s="58">
        <f t="shared" si="4"/>
        <v>1.1580151928320996</v>
      </c>
      <c r="K189" s="55">
        <f t="shared" si="5"/>
        <v>23781</v>
      </c>
      <c r="V189" s="81" t="s">
        <v>1</v>
      </c>
      <c r="W189" s="94">
        <v>14660</v>
      </c>
      <c r="X189" s="87">
        <f>W189/SUM(W188:W191)</f>
        <v>0.12600997077531373</v>
      </c>
      <c r="Y189" s="88">
        <v>23781</v>
      </c>
    </row>
    <row r="190" spans="2:25" x14ac:dyDescent="0.25">
      <c r="C190" s="8" t="s">
        <v>2</v>
      </c>
      <c r="E190" s="16"/>
      <c r="F190" s="47"/>
      <c r="G190" s="11"/>
      <c r="K190" s="13"/>
      <c r="V190" s="81" t="s">
        <v>2</v>
      </c>
      <c r="W190" s="94">
        <v>34980</v>
      </c>
      <c r="X190" s="87">
        <f>W190/SUM(W188:W191)</f>
        <v>0.30067044868488912</v>
      </c>
      <c r="Y190" s="88">
        <f>Y189+X189*(Y193-Y189)</f>
        <v>23815.078136496475</v>
      </c>
    </row>
    <row r="191" spans="2:25" x14ac:dyDescent="0.25">
      <c r="C191" s="8" t="s">
        <v>3</v>
      </c>
      <c r="E191" s="16"/>
      <c r="F191" s="47"/>
      <c r="G191" s="11"/>
      <c r="H191" s="57"/>
      <c r="I191" s="57"/>
      <c r="J191" s="60"/>
      <c r="K191" s="13"/>
      <c r="V191" s="81" t="s">
        <v>3</v>
      </c>
      <c r="W191" s="94">
        <v>33580</v>
      </c>
      <c r="X191" s="87">
        <f>W191/SUM(W188:W191)</f>
        <v>0.28863675434072544</v>
      </c>
      <c r="Y191" s="88">
        <f>Y189+(X189+X190)*(Y193-Y189)</f>
        <v>23896.391452638818</v>
      </c>
    </row>
    <row r="192" spans="2:25" x14ac:dyDescent="0.25">
      <c r="B192">
        <v>2021</v>
      </c>
      <c r="C192" s="8" t="s">
        <v>0</v>
      </c>
      <c r="E192" s="16"/>
      <c r="F192" s="47"/>
      <c r="G192" s="11"/>
      <c r="H192" s="57"/>
      <c r="I192" s="57"/>
      <c r="J192" s="60"/>
      <c r="K192" s="13"/>
      <c r="U192" s="29">
        <v>2021</v>
      </c>
      <c r="V192" s="81" t="s">
        <v>0</v>
      </c>
      <c r="W192" s="94">
        <v>41730</v>
      </c>
      <c r="X192" s="87">
        <f>W192/SUM(W192:W195)</f>
        <v>0.26537360890302064</v>
      </c>
      <c r="Y192" s="88">
        <f>Y189+(X189+X190+X191)*(Y193-Y189)</f>
        <v>23974.45037648272</v>
      </c>
    </row>
    <row r="193" spans="2:25" x14ac:dyDescent="0.25">
      <c r="C193" s="8" t="s">
        <v>1</v>
      </c>
      <c r="E193" s="16"/>
      <c r="F193" s="47"/>
      <c r="G193" s="11"/>
      <c r="H193" s="59">
        <v>15858</v>
      </c>
      <c r="I193" s="59">
        <v>4876</v>
      </c>
      <c r="J193" s="61">
        <v>1.1599999999999999</v>
      </c>
      <c r="K193" s="63">
        <f>(H193+I193)*J193</f>
        <v>24051.439999999999</v>
      </c>
      <c r="V193" s="81" t="s">
        <v>1</v>
      </c>
      <c r="W193" s="94">
        <v>42370</v>
      </c>
      <c r="X193" s="87">
        <f>W193/SUM(W192:W195)</f>
        <v>0.26944356120826707</v>
      </c>
      <c r="Y193" s="30">
        <v>24051.439999999999</v>
      </c>
    </row>
    <row r="194" spans="2:25" x14ac:dyDescent="0.25">
      <c r="C194" s="8" t="s">
        <v>2</v>
      </c>
      <c r="E194" s="16"/>
      <c r="F194" s="47"/>
      <c r="G194" s="11"/>
      <c r="H194" s="57"/>
      <c r="I194" s="57"/>
      <c r="J194" s="60"/>
      <c r="K194" s="71"/>
      <c r="V194" s="81" t="s">
        <v>2</v>
      </c>
      <c r="W194" s="94">
        <v>41220</v>
      </c>
      <c r="X194" s="87">
        <f>W194/SUM(W192:W195)</f>
        <v>0.26213036565977743</v>
      </c>
      <c r="Y194" s="88">
        <f>Y193+X193*(Y197-Y193)</f>
        <v>24107.487591053734</v>
      </c>
    </row>
    <row r="195" spans="2:25" x14ac:dyDescent="0.25">
      <c r="C195" s="8" t="s">
        <v>3</v>
      </c>
      <c r="E195" s="17"/>
      <c r="F195" s="47"/>
      <c r="G195" s="11"/>
      <c r="H195" s="11"/>
      <c r="I195" s="11"/>
      <c r="J195" s="66"/>
      <c r="K195" s="71"/>
      <c r="V195" s="81" t="s">
        <v>3</v>
      </c>
      <c r="W195" s="94">
        <v>31930</v>
      </c>
      <c r="X195" s="87">
        <f>W195/SUM(W192:W195)</f>
        <v>0.2030524642289348</v>
      </c>
      <c r="Y195" s="88">
        <f>Y193+(X193+X194)*(Y197-Y193)</f>
        <v>24162.013947042287</v>
      </c>
    </row>
    <row r="196" spans="2:25" x14ac:dyDescent="0.25">
      <c r="B196">
        <v>2022</v>
      </c>
      <c r="C196" s="8" t="s">
        <v>0</v>
      </c>
      <c r="E196" s="16"/>
      <c r="F196" s="47"/>
      <c r="G196" s="11"/>
      <c r="H196" s="11"/>
      <c r="I196" s="11"/>
      <c r="J196" s="66"/>
      <c r="K196" s="71"/>
      <c r="U196" s="29">
        <v>2022</v>
      </c>
      <c r="V196" s="81" t="s">
        <v>0</v>
      </c>
      <c r="W196" s="94">
        <v>38610</v>
      </c>
      <c r="X196" s="87">
        <f>W196/SUM(W196:W198)</f>
        <v>0.42077157802964255</v>
      </c>
      <c r="Y196" s="88">
        <f>Y193+(X193+X194+X195)*(Y197-Y193)</f>
        <v>24204.251369330366</v>
      </c>
    </row>
    <row r="197" spans="2:25" x14ac:dyDescent="0.25">
      <c r="C197" s="8" t="s">
        <v>1</v>
      </c>
      <c r="E197" s="16"/>
      <c r="F197" s="47"/>
      <c r="G197" s="11"/>
      <c r="H197" s="70">
        <f>(H193+I193)+(238496-59175)/1000</f>
        <v>20913.321</v>
      </c>
      <c r="I197" s="69"/>
      <c r="J197" s="64">
        <v>1.1599999999999999</v>
      </c>
      <c r="K197" s="63">
        <f>(H197+I197)*J197</f>
        <v>24259.452359999999</v>
      </c>
      <c r="V197" s="81" t="s">
        <v>1</v>
      </c>
      <c r="W197" s="94">
        <v>53150</v>
      </c>
      <c r="X197" s="87">
        <f>W197/SUM(W196:W198)</f>
        <v>0.5792284219703574</v>
      </c>
      <c r="Y197" s="30">
        <v>24259.452359999999</v>
      </c>
    </row>
    <row r="198" spans="2:25" x14ac:dyDescent="0.25">
      <c r="X198" s="87"/>
    </row>
  </sheetData>
  <phoneticPr fontId="3" type="noConversion"/>
  <hyperlinks>
    <hyperlink ref="D6" r:id="rId1" display="https://www.gov.uk/government/statistical-data-sets/live-tables-on-dwelling-stock-including-vacants" xr:uid="{5592CDE8-F828-4EDC-98BA-D9BDEBF418C7}"/>
    <hyperlink ref="E6" r:id="rId2" display="https://www.gov.uk/government/statistical-data-sets/live-tables-on-dwelling-stock-including-vacants" xr:uid="{1A8163F1-3961-401B-888A-ED8AF8D89F00}"/>
    <hyperlink ref="F6" r:id="rId3" display="https://www.ons.gov.uk/peoplepopulationandcommunity/housing/datasets/dwellingstockbytenureuk" xr:uid="{1F674E57-C9EC-4512-92F1-48AEF42DCAD5}"/>
    <hyperlink ref="G6" r:id="rId4" display="https://www.ons.gov.uk/peoplepopulationandcommunity/housing/datasets/dwellingstockbytenureuk" xr:uid="{2DABAB6D-78D0-40AF-9551-2CB332176E28}"/>
  </hyperlinks>
  <pageMargins left="0.7" right="0.7" top="0.75" bottom="0.75" header="0.3" footer="0.3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60D7F-FB19-4C00-A238-E2D843ABBF9D}">
  <dimension ref="B3:U17357"/>
  <sheetViews>
    <sheetView zoomScale="75" zoomScaleNormal="75" workbookViewId="0">
      <selection activeCell="W20" sqref="W20"/>
    </sheetView>
  </sheetViews>
  <sheetFormatPr defaultRowHeight="15" x14ac:dyDescent="0.25"/>
  <cols>
    <col min="1" max="1" width="2.7109375" customWidth="1"/>
    <col min="2" max="2" width="8.7109375" customWidth="1"/>
    <col min="3" max="3" width="4.7109375" customWidth="1"/>
    <col min="4" max="7" width="15.7109375" customWidth="1"/>
    <col min="8" max="8" width="15.7109375" style="95" customWidth="1"/>
    <col min="9" max="10" width="15.7109375" customWidth="1"/>
    <col min="11" max="11" width="2.7109375" customWidth="1"/>
    <col min="12" max="14" width="9.140625" style="29"/>
    <col min="15" max="15" width="2.7109375" style="29" customWidth="1"/>
    <col min="16" max="16" width="12.5703125" style="29" customWidth="1"/>
    <col min="17" max="17" width="9.140625" style="29"/>
    <col min="18" max="18" width="2.7109375" style="29" customWidth="1"/>
    <col min="19" max="21" width="12.5703125" style="29"/>
  </cols>
  <sheetData>
    <row r="3" spans="2:20" x14ac:dyDescent="0.25">
      <c r="D3" t="s">
        <v>4</v>
      </c>
      <c r="E3" t="s">
        <v>5</v>
      </c>
      <c r="F3" t="s">
        <v>6</v>
      </c>
      <c r="G3" t="s">
        <v>18</v>
      </c>
      <c r="H3" s="95" t="s">
        <v>7</v>
      </c>
      <c r="I3" t="s">
        <v>8</v>
      </c>
      <c r="J3" t="s">
        <v>9</v>
      </c>
      <c r="L3" s="29" t="s">
        <v>41</v>
      </c>
    </row>
    <row r="4" spans="2:20" ht="135" customHeight="1" x14ac:dyDescent="0.25">
      <c r="B4" s="2" t="s">
        <v>17</v>
      </c>
      <c r="C4" s="2"/>
      <c r="D4" s="3" t="s">
        <v>341</v>
      </c>
      <c r="E4" s="44"/>
      <c r="F4" s="22"/>
      <c r="G4" s="3"/>
      <c r="H4" s="96" t="s">
        <v>4</v>
      </c>
      <c r="I4" s="2"/>
      <c r="J4" s="2"/>
    </row>
    <row r="5" spans="2:20" ht="45" customHeight="1" x14ac:dyDescent="0.25">
      <c r="B5" s="2" t="s">
        <v>16</v>
      </c>
      <c r="C5" s="2"/>
      <c r="D5" s="3"/>
      <c r="E5" s="3"/>
      <c r="F5" s="3"/>
      <c r="G5" s="3"/>
      <c r="H5" s="97"/>
      <c r="I5" s="2"/>
      <c r="J5" s="2"/>
    </row>
    <row r="6" spans="2:20" ht="15.75" customHeight="1" x14ac:dyDescent="0.25">
      <c r="B6" s="2" t="s">
        <v>13</v>
      </c>
      <c r="C6" s="2"/>
      <c r="D6" s="20" t="s">
        <v>342</v>
      </c>
      <c r="E6" s="20"/>
      <c r="F6" s="23"/>
      <c r="G6" s="28"/>
      <c r="H6" s="97"/>
      <c r="I6" s="2"/>
      <c r="J6" s="2"/>
    </row>
    <row r="7" spans="2:20" ht="15.75" customHeight="1" x14ac:dyDescent="0.25">
      <c r="B7" s="2" t="s">
        <v>15</v>
      </c>
      <c r="C7" s="2"/>
      <c r="D7" s="3"/>
      <c r="E7" s="20"/>
      <c r="F7" s="23"/>
      <c r="G7" s="28"/>
      <c r="H7" s="97"/>
      <c r="I7" s="2"/>
      <c r="J7" s="2"/>
    </row>
    <row r="8" spans="2:20" x14ac:dyDescent="0.25">
      <c r="B8">
        <v>1975</v>
      </c>
      <c r="C8" s="4" t="s">
        <v>0</v>
      </c>
      <c r="D8" s="75">
        <v>10.783333333333333</v>
      </c>
      <c r="E8" s="45"/>
      <c r="H8" s="98">
        <f>SUM(D8:G8)</f>
        <v>10.783333333333333</v>
      </c>
      <c r="I8" s="75">
        <v>10.783333333333333</v>
      </c>
      <c r="J8" s="76">
        <f>H8-I8</f>
        <v>0</v>
      </c>
      <c r="L8" s="29">
        <v>1975</v>
      </c>
      <c r="M8" s="77" t="s">
        <v>0</v>
      </c>
      <c r="N8" s="40">
        <v>10.783333333333333</v>
      </c>
      <c r="P8" s="29" t="s">
        <v>77</v>
      </c>
      <c r="Q8" s="29">
        <v>11.25</v>
      </c>
      <c r="S8" s="78">
        <v>27395</v>
      </c>
      <c r="T8" s="29">
        <v>11.5</v>
      </c>
    </row>
    <row r="9" spans="2:20" x14ac:dyDescent="0.25">
      <c r="C9" s="4" t="s">
        <v>1</v>
      </c>
      <c r="D9" s="75">
        <v>9.9615384615384617</v>
      </c>
      <c r="E9" s="45"/>
      <c r="H9" s="98">
        <f t="shared" ref="H9:H72" si="0">SUM(D9:G9)</f>
        <v>9.9615384615384617</v>
      </c>
      <c r="I9" s="75">
        <v>9.9615384615384617</v>
      </c>
      <c r="J9" s="76">
        <f t="shared" ref="J9:J72" si="1">H9-I9</f>
        <v>0</v>
      </c>
      <c r="M9" s="77" t="s">
        <v>1</v>
      </c>
      <c r="N9" s="40">
        <v>9.9615384615384617</v>
      </c>
      <c r="P9" s="29" t="s">
        <v>78</v>
      </c>
      <c r="Q9" s="29">
        <v>11</v>
      </c>
      <c r="S9" s="78">
        <v>27396</v>
      </c>
      <c r="T9" s="29">
        <v>11.5</v>
      </c>
    </row>
    <row r="10" spans="2:20" x14ac:dyDescent="0.25">
      <c r="C10" s="4" t="s">
        <v>2</v>
      </c>
      <c r="D10" s="75">
        <v>10.706521739130435</v>
      </c>
      <c r="E10" s="45"/>
      <c r="H10" s="98">
        <f t="shared" si="0"/>
        <v>10.706521739130435</v>
      </c>
      <c r="I10" s="75">
        <v>10.706521739130435</v>
      </c>
      <c r="J10" s="76">
        <f t="shared" si="1"/>
        <v>0</v>
      </c>
      <c r="M10" s="77" t="s">
        <v>2</v>
      </c>
      <c r="N10" s="40">
        <v>10.706521739130435</v>
      </c>
      <c r="P10" s="29" t="s">
        <v>79</v>
      </c>
      <c r="Q10" s="29">
        <v>10.75</v>
      </c>
      <c r="S10" s="78">
        <v>27397</v>
      </c>
      <c r="T10" s="29">
        <v>11.5</v>
      </c>
    </row>
    <row r="11" spans="2:20" x14ac:dyDescent="0.25">
      <c r="C11" s="4" t="s">
        <v>3</v>
      </c>
      <c r="D11" s="75">
        <v>11.730978260869565</v>
      </c>
      <c r="E11" s="45"/>
      <c r="H11" s="98">
        <f t="shared" si="0"/>
        <v>11.730978260869565</v>
      </c>
      <c r="I11" s="75">
        <v>11.730978260869565</v>
      </c>
      <c r="J11" s="76">
        <f t="shared" si="1"/>
        <v>0</v>
      </c>
      <c r="M11" s="77" t="s">
        <v>3</v>
      </c>
      <c r="N11" s="40">
        <v>11.730978260869565</v>
      </c>
      <c r="P11" s="29" t="s">
        <v>80</v>
      </c>
      <c r="Q11" s="29">
        <v>10.5</v>
      </c>
      <c r="S11" s="78">
        <v>27398</v>
      </c>
      <c r="T11" s="29">
        <v>11.5</v>
      </c>
    </row>
    <row r="12" spans="2:20" x14ac:dyDescent="0.25">
      <c r="B12">
        <v>1976</v>
      </c>
      <c r="C12" s="4" t="s">
        <v>0</v>
      </c>
      <c r="D12" s="75">
        <v>9.8681318681318686</v>
      </c>
      <c r="E12" s="45"/>
      <c r="H12" s="98">
        <f t="shared" si="0"/>
        <v>9.8681318681318686</v>
      </c>
      <c r="I12" s="75">
        <v>9.8681318681318686</v>
      </c>
      <c r="J12" s="76">
        <f t="shared" si="1"/>
        <v>0</v>
      </c>
      <c r="L12" s="29">
        <v>1976</v>
      </c>
      <c r="M12" s="77" t="s">
        <v>0</v>
      </c>
      <c r="N12" s="40">
        <v>9.8681318681318686</v>
      </c>
      <c r="P12" s="29" t="s">
        <v>81</v>
      </c>
      <c r="Q12" s="29">
        <v>10.25</v>
      </c>
      <c r="S12" s="78">
        <v>27399</v>
      </c>
      <c r="T12" s="29">
        <v>11.5</v>
      </c>
    </row>
    <row r="13" spans="2:20" x14ac:dyDescent="0.25">
      <c r="C13" s="4" t="s">
        <v>1</v>
      </c>
      <c r="D13" s="75">
        <v>10.505494505494505</v>
      </c>
      <c r="E13" s="45"/>
      <c r="H13" s="98">
        <f t="shared" si="0"/>
        <v>10.505494505494505</v>
      </c>
      <c r="I13" s="75">
        <v>10.505494505494505</v>
      </c>
      <c r="J13" s="76">
        <f t="shared" si="1"/>
        <v>0</v>
      </c>
      <c r="M13" s="77" t="s">
        <v>1</v>
      </c>
      <c r="N13" s="40">
        <v>10.505494505494505</v>
      </c>
      <c r="P13" s="29" t="s">
        <v>82</v>
      </c>
      <c r="Q13" s="29">
        <v>10</v>
      </c>
      <c r="S13" s="78">
        <v>27400</v>
      </c>
      <c r="T13" s="29">
        <v>11.5</v>
      </c>
    </row>
    <row r="14" spans="2:20" x14ac:dyDescent="0.25">
      <c r="C14" s="4" t="s">
        <v>2</v>
      </c>
      <c r="D14" s="75">
        <v>11.793478260869565</v>
      </c>
      <c r="E14" s="45"/>
      <c r="H14" s="98">
        <f t="shared" si="0"/>
        <v>11.793478260869565</v>
      </c>
      <c r="I14" s="75">
        <v>11.793478260869565</v>
      </c>
      <c r="J14" s="76">
        <f t="shared" si="1"/>
        <v>0</v>
      </c>
      <c r="M14" s="77" t="s">
        <v>2</v>
      </c>
      <c r="N14" s="40">
        <v>11.793478260869565</v>
      </c>
      <c r="P14" s="29" t="s">
        <v>83</v>
      </c>
      <c r="Q14" s="29">
        <v>9.75</v>
      </c>
      <c r="S14" s="78">
        <v>27401</v>
      </c>
      <c r="T14" s="29">
        <v>11.5</v>
      </c>
    </row>
    <row r="15" spans="2:20" x14ac:dyDescent="0.25">
      <c r="C15" s="4" t="s">
        <v>3</v>
      </c>
      <c r="D15" s="75">
        <v>14.720108695652174</v>
      </c>
      <c r="E15" s="45"/>
      <c r="H15" s="98">
        <f t="shared" si="0"/>
        <v>14.720108695652174</v>
      </c>
      <c r="I15" s="75">
        <v>14.720108695652174</v>
      </c>
      <c r="J15" s="76">
        <f t="shared" si="1"/>
        <v>0</v>
      </c>
      <c r="M15" s="77" t="s">
        <v>3</v>
      </c>
      <c r="N15" s="40">
        <v>14.720108695652174</v>
      </c>
      <c r="P15" s="29" t="s">
        <v>84</v>
      </c>
      <c r="Q15" s="29">
        <v>10</v>
      </c>
      <c r="S15" s="78">
        <v>27402</v>
      </c>
      <c r="T15" s="29">
        <v>11.5</v>
      </c>
    </row>
    <row r="16" spans="2:20" x14ac:dyDescent="0.25">
      <c r="B16">
        <v>1977</v>
      </c>
      <c r="C16" s="4" t="s">
        <v>0</v>
      </c>
      <c r="D16" s="75">
        <v>12.324999999999999</v>
      </c>
      <c r="E16" s="45"/>
      <c r="H16" s="98">
        <f t="shared" si="0"/>
        <v>12.324999999999999</v>
      </c>
      <c r="I16" s="75">
        <v>12.324999999999999</v>
      </c>
      <c r="J16" s="76">
        <f t="shared" si="1"/>
        <v>0</v>
      </c>
      <c r="L16" s="29">
        <v>1977</v>
      </c>
      <c r="M16" s="77" t="s">
        <v>0</v>
      </c>
      <c r="N16" s="40">
        <v>12.324999999999999</v>
      </c>
      <c r="P16" s="29" t="s">
        <v>85</v>
      </c>
      <c r="Q16" s="29">
        <v>11</v>
      </c>
      <c r="S16" s="78">
        <v>27403</v>
      </c>
      <c r="T16" s="29">
        <v>11.5</v>
      </c>
    </row>
    <row r="17" spans="2:20" x14ac:dyDescent="0.25">
      <c r="C17" s="4" t="s">
        <v>1</v>
      </c>
      <c r="D17" s="75">
        <v>8.4368131868131861</v>
      </c>
      <c r="E17" s="45"/>
      <c r="H17" s="98">
        <f t="shared" si="0"/>
        <v>8.4368131868131861</v>
      </c>
      <c r="I17" s="75">
        <v>8.4368131868131861</v>
      </c>
      <c r="J17" s="76">
        <f t="shared" si="1"/>
        <v>0</v>
      </c>
      <c r="M17" s="77" t="s">
        <v>1</v>
      </c>
      <c r="N17" s="40">
        <v>8.4368131868131861</v>
      </c>
      <c r="P17" s="29" t="s">
        <v>86</v>
      </c>
      <c r="Q17" s="29">
        <v>12</v>
      </c>
      <c r="S17" s="78">
        <v>27404</v>
      </c>
      <c r="T17" s="29">
        <v>11.5</v>
      </c>
    </row>
    <row r="18" spans="2:20" x14ac:dyDescent="0.25">
      <c r="C18" s="4" t="s">
        <v>2</v>
      </c>
      <c r="D18" s="75">
        <v>7.2826086956521738</v>
      </c>
      <c r="E18" s="45"/>
      <c r="H18" s="98">
        <f t="shared" si="0"/>
        <v>7.2826086956521738</v>
      </c>
      <c r="I18" s="75">
        <v>7.2826086956521738</v>
      </c>
      <c r="J18" s="76">
        <f t="shared" si="1"/>
        <v>0</v>
      </c>
      <c r="M18" s="77" t="s">
        <v>2</v>
      </c>
      <c r="N18" s="40">
        <v>7.2826086956521738</v>
      </c>
      <c r="P18" s="29" t="s">
        <v>87</v>
      </c>
      <c r="Q18" s="29">
        <v>11.75</v>
      </c>
      <c r="S18" s="78">
        <v>27405</v>
      </c>
      <c r="T18" s="29">
        <v>11.5</v>
      </c>
    </row>
    <row r="19" spans="2:20" x14ac:dyDescent="0.25">
      <c r="C19" s="4" t="s">
        <v>3</v>
      </c>
      <c r="D19" s="75">
        <v>5.875</v>
      </c>
      <c r="E19" s="45"/>
      <c r="H19" s="98">
        <f t="shared" si="0"/>
        <v>5.875</v>
      </c>
      <c r="I19" s="75">
        <v>5.875</v>
      </c>
      <c r="J19" s="76">
        <f t="shared" si="1"/>
        <v>0</v>
      </c>
      <c r="M19" s="77" t="s">
        <v>3</v>
      </c>
      <c r="N19" s="40">
        <v>5.875</v>
      </c>
      <c r="P19" s="29" t="s">
        <v>88</v>
      </c>
      <c r="Q19" s="29">
        <v>11.5</v>
      </c>
      <c r="S19" s="78">
        <v>27406</v>
      </c>
      <c r="T19" s="29">
        <v>11.5</v>
      </c>
    </row>
    <row r="20" spans="2:20" x14ac:dyDescent="0.25">
      <c r="B20" s="5">
        <v>1978</v>
      </c>
      <c r="C20" s="4" t="s">
        <v>0</v>
      </c>
      <c r="D20" s="75">
        <v>6.5444444444444443</v>
      </c>
      <c r="E20" s="45"/>
      <c r="F20" s="14"/>
      <c r="G20" s="15"/>
      <c r="H20" s="98">
        <f t="shared" si="0"/>
        <v>6.5444444444444443</v>
      </c>
      <c r="I20" s="75">
        <v>6.5444444444444443</v>
      </c>
      <c r="J20" s="76">
        <f t="shared" si="1"/>
        <v>0</v>
      </c>
      <c r="L20" s="79">
        <v>1978</v>
      </c>
      <c r="M20" s="77" t="s">
        <v>0</v>
      </c>
      <c r="N20" s="40">
        <v>6.5444444444444443</v>
      </c>
      <c r="P20" s="29" t="s">
        <v>89</v>
      </c>
      <c r="Q20" s="29">
        <v>11.25</v>
      </c>
      <c r="S20" s="78">
        <v>27407</v>
      </c>
      <c r="T20" s="29">
        <v>11.5</v>
      </c>
    </row>
    <row r="21" spans="2:20" x14ac:dyDescent="0.25">
      <c r="B21" s="5"/>
      <c r="C21" s="4" t="s">
        <v>1</v>
      </c>
      <c r="D21" s="75">
        <v>8.5027472527472536</v>
      </c>
      <c r="E21" s="45"/>
      <c r="F21" s="14"/>
      <c r="G21" s="15"/>
      <c r="H21" s="98">
        <f t="shared" si="0"/>
        <v>8.5027472527472536</v>
      </c>
      <c r="I21" s="75">
        <v>8.5027472527472536</v>
      </c>
      <c r="J21" s="76">
        <f t="shared" si="1"/>
        <v>0</v>
      </c>
      <c r="L21" s="79"/>
      <c r="M21" s="77" t="s">
        <v>1</v>
      </c>
      <c r="N21" s="40">
        <v>8.5027472527472536</v>
      </c>
      <c r="P21" s="29" t="s">
        <v>90</v>
      </c>
      <c r="Q21" s="29">
        <v>11</v>
      </c>
      <c r="S21" s="78">
        <v>27408</v>
      </c>
      <c r="T21" s="29">
        <v>11.5</v>
      </c>
    </row>
    <row r="22" spans="2:20" x14ac:dyDescent="0.25">
      <c r="B22" s="5"/>
      <c r="C22" s="4" t="s">
        <v>2</v>
      </c>
      <c r="D22" s="75">
        <v>10</v>
      </c>
      <c r="E22" s="45"/>
      <c r="F22" s="14"/>
      <c r="G22" s="15"/>
      <c r="H22" s="98">
        <f t="shared" si="0"/>
        <v>10</v>
      </c>
      <c r="I22" s="75">
        <v>10</v>
      </c>
      <c r="J22" s="76">
        <f t="shared" si="1"/>
        <v>0</v>
      </c>
      <c r="L22" s="79"/>
      <c r="M22" s="77" t="s">
        <v>2</v>
      </c>
      <c r="N22" s="40">
        <v>10</v>
      </c>
      <c r="P22" s="29" t="s">
        <v>91</v>
      </c>
      <c r="Q22" s="29">
        <v>10.75</v>
      </c>
      <c r="S22" s="78">
        <v>27409</v>
      </c>
      <c r="T22" s="29">
        <v>11.5</v>
      </c>
    </row>
    <row r="23" spans="2:20" x14ac:dyDescent="0.25">
      <c r="B23" s="5"/>
      <c r="C23" s="4" t="s">
        <v>3</v>
      </c>
      <c r="D23" s="75">
        <v>11.440217391304348</v>
      </c>
      <c r="E23" s="45"/>
      <c r="F23" s="14"/>
      <c r="G23" s="15"/>
      <c r="H23" s="98">
        <f t="shared" si="0"/>
        <v>11.440217391304348</v>
      </c>
      <c r="I23" s="75">
        <v>11.440217391304348</v>
      </c>
      <c r="J23" s="76">
        <f t="shared" si="1"/>
        <v>0</v>
      </c>
      <c r="L23" s="79"/>
      <c r="M23" s="77" t="s">
        <v>3</v>
      </c>
      <c r="N23" s="40">
        <v>11.440217391304348</v>
      </c>
      <c r="P23" s="29" t="s">
        <v>92</v>
      </c>
      <c r="Q23" s="29">
        <v>10.5</v>
      </c>
      <c r="S23" s="78">
        <v>27410</v>
      </c>
      <c r="T23" s="29">
        <v>11.5</v>
      </c>
    </row>
    <row r="24" spans="2:20" x14ac:dyDescent="0.25">
      <c r="B24" s="5">
        <v>1979</v>
      </c>
      <c r="C24" s="4" t="s">
        <v>0</v>
      </c>
      <c r="D24" s="75">
        <v>13.022222222222222</v>
      </c>
      <c r="E24" s="45"/>
      <c r="F24" s="14"/>
      <c r="G24" s="15"/>
      <c r="H24" s="98">
        <f t="shared" si="0"/>
        <v>13.022222222222222</v>
      </c>
      <c r="I24" s="75">
        <v>13.022222222222222</v>
      </c>
      <c r="J24" s="76">
        <f t="shared" si="1"/>
        <v>0</v>
      </c>
      <c r="L24" s="79">
        <v>1979</v>
      </c>
      <c r="M24" s="77" t="s">
        <v>0</v>
      </c>
      <c r="N24" s="40">
        <v>13.022222222222222</v>
      </c>
      <c r="P24" s="29" t="s">
        <v>93</v>
      </c>
      <c r="Q24" s="29">
        <v>10</v>
      </c>
      <c r="S24" s="78">
        <v>27411</v>
      </c>
      <c r="T24" s="29">
        <v>11.5</v>
      </c>
    </row>
    <row r="25" spans="2:20" x14ac:dyDescent="0.25">
      <c r="B25" s="5"/>
      <c r="C25" s="4" t="s">
        <v>1</v>
      </c>
      <c r="D25" s="75">
        <v>12.43956043956044</v>
      </c>
      <c r="E25" s="45"/>
      <c r="F25" s="14"/>
      <c r="G25" s="15"/>
      <c r="H25" s="98">
        <f t="shared" si="0"/>
        <v>12.43956043956044</v>
      </c>
      <c r="I25" s="75">
        <v>12.43956043956044</v>
      </c>
      <c r="J25" s="76">
        <f t="shared" si="1"/>
        <v>0</v>
      </c>
      <c r="L25" s="79"/>
      <c r="M25" s="77" t="s">
        <v>1</v>
      </c>
      <c r="N25" s="40">
        <v>12.43956043956044</v>
      </c>
      <c r="P25" s="29" t="s">
        <v>94</v>
      </c>
      <c r="Q25" s="29">
        <v>9.5</v>
      </c>
      <c r="S25" s="78">
        <v>27412</v>
      </c>
      <c r="T25" s="29">
        <v>11.5</v>
      </c>
    </row>
    <row r="26" spans="2:20" x14ac:dyDescent="0.25">
      <c r="B26" s="5"/>
      <c r="C26" s="4" t="s">
        <v>2</v>
      </c>
      <c r="D26" s="75">
        <v>14</v>
      </c>
      <c r="E26" s="45"/>
      <c r="F26" s="14"/>
      <c r="G26" s="15"/>
      <c r="H26" s="98">
        <f t="shared" si="0"/>
        <v>14</v>
      </c>
      <c r="I26" s="75">
        <v>14</v>
      </c>
      <c r="J26" s="76">
        <f t="shared" si="1"/>
        <v>0</v>
      </c>
      <c r="L26" s="79"/>
      <c r="M26" s="77" t="s">
        <v>2</v>
      </c>
      <c r="N26" s="40">
        <v>14</v>
      </c>
      <c r="P26" s="29" t="s">
        <v>95</v>
      </c>
      <c r="Q26" s="29">
        <v>9.25</v>
      </c>
      <c r="S26" s="78">
        <v>27413</v>
      </c>
      <c r="T26" s="29">
        <v>11.5</v>
      </c>
    </row>
    <row r="27" spans="2:20" x14ac:dyDescent="0.25">
      <c r="B27" s="5"/>
      <c r="C27" s="4" t="s">
        <v>3</v>
      </c>
      <c r="D27" s="75">
        <v>15.532608695652174</v>
      </c>
      <c r="E27" s="45"/>
      <c r="F27" s="14"/>
      <c r="G27" s="15"/>
      <c r="H27" s="98">
        <f t="shared" si="0"/>
        <v>15.532608695652174</v>
      </c>
      <c r="I27" s="75">
        <v>15.532608695652174</v>
      </c>
      <c r="J27" s="76">
        <f t="shared" si="1"/>
        <v>0</v>
      </c>
      <c r="L27" s="79"/>
      <c r="M27" s="77" t="s">
        <v>3</v>
      </c>
      <c r="N27" s="40">
        <v>15.532608695652174</v>
      </c>
      <c r="P27" s="29" t="s">
        <v>96</v>
      </c>
      <c r="Q27" s="29">
        <v>9</v>
      </c>
      <c r="S27" s="78">
        <v>27414</v>
      </c>
      <c r="T27" s="29">
        <v>11.25</v>
      </c>
    </row>
    <row r="28" spans="2:20" x14ac:dyDescent="0.25">
      <c r="B28" s="5">
        <v>1980</v>
      </c>
      <c r="C28" s="4" t="s">
        <v>0</v>
      </c>
      <c r="D28" s="75">
        <v>17</v>
      </c>
      <c r="E28" s="45"/>
      <c r="F28" s="14"/>
      <c r="G28" s="15"/>
      <c r="H28" s="98">
        <f t="shared" si="0"/>
        <v>17</v>
      </c>
      <c r="I28" s="75">
        <v>17</v>
      </c>
      <c r="J28" s="76">
        <f t="shared" si="1"/>
        <v>0</v>
      </c>
      <c r="L28" s="79">
        <v>1980</v>
      </c>
      <c r="M28" s="77" t="s">
        <v>0</v>
      </c>
      <c r="N28" s="40">
        <v>17</v>
      </c>
      <c r="P28" s="29" t="s">
        <v>97</v>
      </c>
      <c r="Q28" s="29">
        <v>10.5</v>
      </c>
      <c r="S28" s="78">
        <v>27415</v>
      </c>
      <c r="T28" s="29">
        <v>11.25</v>
      </c>
    </row>
    <row r="29" spans="2:20" x14ac:dyDescent="0.25">
      <c r="B29" s="5"/>
      <c r="C29" s="4" t="s">
        <v>1</v>
      </c>
      <c r="D29" s="75">
        <v>17</v>
      </c>
      <c r="E29" s="45"/>
      <c r="F29" s="14"/>
      <c r="G29" s="15"/>
      <c r="H29" s="98">
        <f t="shared" si="0"/>
        <v>17</v>
      </c>
      <c r="I29" s="75">
        <v>17</v>
      </c>
      <c r="J29" s="76">
        <f t="shared" si="1"/>
        <v>0</v>
      </c>
      <c r="L29" s="79"/>
      <c r="M29" s="77" t="s">
        <v>1</v>
      </c>
      <c r="N29" s="40">
        <v>17</v>
      </c>
      <c r="P29" s="29" t="s">
        <v>98</v>
      </c>
      <c r="Q29" s="29">
        <v>11.5</v>
      </c>
      <c r="S29" s="78">
        <v>27416</v>
      </c>
      <c r="T29" s="29">
        <v>11.25</v>
      </c>
    </row>
    <row r="30" spans="2:20" x14ac:dyDescent="0.25">
      <c r="B30" s="5"/>
      <c r="C30" s="4" t="s">
        <v>2</v>
      </c>
      <c r="D30" s="75">
        <v>16.021739130434781</v>
      </c>
      <c r="E30" s="45"/>
      <c r="F30" s="14"/>
      <c r="G30" s="15"/>
      <c r="H30" s="98">
        <f t="shared" si="0"/>
        <v>16.021739130434781</v>
      </c>
      <c r="I30" s="75">
        <v>16.021739130434781</v>
      </c>
      <c r="J30" s="76">
        <f t="shared" si="1"/>
        <v>0</v>
      </c>
      <c r="L30" s="79"/>
      <c r="M30" s="77" t="s">
        <v>2</v>
      </c>
      <c r="N30" s="40">
        <v>16.021739130434781</v>
      </c>
      <c r="P30" s="29" t="s">
        <v>99</v>
      </c>
      <c r="Q30" s="29">
        <v>13</v>
      </c>
      <c r="S30" s="78">
        <v>27417</v>
      </c>
      <c r="T30" s="29">
        <v>11.25</v>
      </c>
    </row>
    <row r="31" spans="2:20" x14ac:dyDescent="0.25">
      <c r="B31" s="5"/>
      <c r="C31" s="4" t="s">
        <v>3</v>
      </c>
      <c r="D31" s="75">
        <v>15.195652173913043</v>
      </c>
      <c r="E31" s="45"/>
      <c r="F31" s="14"/>
      <c r="G31" s="15"/>
      <c r="H31" s="98">
        <f t="shared" si="0"/>
        <v>15.195652173913043</v>
      </c>
      <c r="I31" s="75">
        <v>15.195652173913043</v>
      </c>
      <c r="J31" s="76">
        <f t="shared" si="1"/>
        <v>0</v>
      </c>
      <c r="L31" s="79"/>
      <c r="M31" s="77" t="s">
        <v>3</v>
      </c>
      <c r="N31" s="40">
        <v>15.195652173913043</v>
      </c>
      <c r="P31" s="29" t="s">
        <v>100</v>
      </c>
      <c r="Q31" s="29">
        <v>15</v>
      </c>
      <c r="S31" s="78">
        <v>27418</v>
      </c>
      <c r="T31" s="29">
        <v>11.25</v>
      </c>
    </row>
    <row r="32" spans="2:20" x14ac:dyDescent="0.25">
      <c r="B32" s="5">
        <v>1981</v>
      </c>
      <c r="C32" s="4" t="s">
        <v>0</v>
      </c>
      <c r="D32" s="75">
        <v>13.533333333333333</v>
      </c>
      <c r="E32" s="45"/>
      <c r="F32" s="14"/>
      <c r="G32" s="15"/>
      <c r="H32" s="98">
        <f t="shared" si="0"/>
        <v>13.533333333333333</v>
      </c>
      <c r="I32" s="75">
        <v>13.533333333333333</v>
      </c>
      <c r="J32" s="76">
        <f t="shared" si="1"/>
        <v>0</v>
      </c>
      <c r="L32" s="79">
        <v>1981</v>
      </c>
      <c r="M32" s="77" t="s">
        <v>0</v>
      </c>
      <c r="N32" s="40">
        <v>13.533333333333333</v>
      </c>
      <c r="P32" s="29" t="s">
        <v>101</v>
      </c>
      <c r="Q32" s="29">
        <v>14.75</v>
      </c>
      <c r="S32" s="78">
        <v>27419</v>
      </c>
      <c r="T32" s="29">
        <v>11.25</v>
      </c>
    </row>
    <row r="33" spans="2:20" x14ac:dyDescent="0.25">
      <c r="B33" s="5"/>
      <c r="C33" s="4" t="s">
        <v>1</v>
      </c>
      <c r="D33" s="75">
        <v>12</v>
      </c>
      <c r="E33" s="45"/>
      <c r="F33" s="14"/>
      <c r="G33" s="15"/>
      <c r="H33" s="98">
        <f t="shared" si="0"/>
        <v>12</v>
      </c>
      <c r="I33" s="75">
        <v>12</v>
      </c>
      <c r="J33" s="76">
        <f t="shared" si="1"/>
        <v>0</v>
      </c>
      <c r="L33" s="79"/>
      <c r="M33" s="77" t="s">
        <v>1</v>
      </c>
      <c r="N33" s="40">
        <v>12</v>
      </c>
      <c r="P33" s="29" t="s">
        <v>102</v>
      </c>
      <c r="Q33" s="29">
        <v>14.5</v>
      </c>
      <c r="S33" s="78">
        <v>27420</v>
      </c>
      <c r="T33" s="29">
        <v>11.25</v>
      </c>
    </row>
    <row r="34" spans="2:20" x14ac:dyDescent="0.25">
      <c r="B34" s="5"/>
      <c r="C34" s="4" t="s">
        <v>2</v>
      </c>
      <c r="D34" s="75">
        <v>12.505326086956535</v>
      </c>
      <c r="E34" s="45"/>
      <c r="F34" s="14"/>
      <c r="G34" s="15"/>
      <c r="H34" s="98">
        <f t="shared" si="0"/>
        <v>12.505326086956535</v>
      </c>
      <c r="I34" s="75">
        <v>12.505326086956535</v>
      </c>
      <c r="J34" s="76">
        <f t="shared" si="1"/>
        <v>0</v>
      </c>
      <c r="L34" s="79"/>
      <c r="M34" s="77" t="s">
        <v>2</v>
      </c>
      <c r="N34" s="40">
        <v>12.505326086956535</v>
      </c>
      <c r="P34" s="29" t="s">
        <v>103</v>
      </c>
      <c r="Q34" s="29">
        <v>14.25</v>
      </c>
      <c r="S34" s="78">
        <v>27421</v>
      </c>
      <c r="T34" s="29">
        <v>11</v>
      </c>
    </row>
    <row r="35" spans="2:20" x14ac:dyDescent="0.25">
      <c r="B35" s="5"/>
      <c r="C35" s="4" t="s">
        <v>3</v>
      </c>
      <c r="D35" s="75">
        <v>14.599021739130453</v>
      </c>
      <c r="E35" s="45"/>
      <c r="F35" s="14"/>
      <c r="G35" s="15"/>
      <c r="H35" s="98">
        <f t="shared" si="0"/>
        <v>14.599021739130453</v>
      </c>
      <c r="I35" s="75">
        <v>14.599021739130453</v>
      </c>
      <c r="J35" s="76">
        <f t="shared" si="1"/>
        <v>0</v>
      </c>
      <c r="L35" s="79"/>
      <c r="M35" s="77" t="s">
        <v>3</v>
      </c>
      <c r="N35" s="40">
        <v>14.599021739130453</v>
      </c>
      <c r="P35" s="29" t="s">
        <v>104</v>
      </c>
      <c r="Q35" s="29">
        <v>14</v>
      </c>
      <c r="S35" s="78">
        <v>27422</v>
      </c>
      <c r="T35" s="29">
        <v>11</v>
      </c>
    </row>
    <row r="36" spans="2:20" x14ac:dyDescent="0.25">
      <c r="B36" s="5">
        <v>1982</v>
      </c>
      <c r="C36" s="4" t="s">
        <v>0</v>
      </c>
      <c r="D36" s="75">
        <v>13.794999999999996</v>
      </c>
      <c r="E36" s="45"/>
      <c r="F36" s="14"/>
      <c r="G36" s="15"/>
      <c r="H36" s="98">
        <f t="shared" si="0"/>
        <v>13.794999999999996</v>
      </c>
      <c r="I36" s="75">
        <v>13.794999999999996</v>
      </c>
      <c r="J36" s="76">
        <f t="shared" si="1"/>
        <v>0</v>
      </c>
      <c r="L36" s="79">
        <v>1982</v>
      </c>
      <c r="M36" s="77" t="s">
        <v>0</v>
      </c>
      <c r="N36" s="40">
        <v>13.794999999999996</v>
      </c>
      <c r="P36" s="29" t="s">
        <v>105</v>
      </c>
      <c r="Q36" s="29">
        <v>13.25</v>
      </c>
      <c r="S36" s="78">
        <v>27423</v>
      </c>
      <c r="T36" s="29">
        <v>11</v>
      </c>
    </row>
    <row r="37" spans="2:20" x14ac:dyDescent="0.25">
      <c r="B37" s="5"/>
      <c r="C37" s="4" t="s">
        <v>1</v>
      </c>
      <c r="D37" s="75">
        <v>13.021978021978034</v>
      </c>
      <c r="E37" s="45"/>
      <c r="F37" s="14"/>
      <c r="G37" s="15"/>
      <c r="H37" s="98">
        <f t="shared" si="0"/>
        <v>13.021978021978034</v>
      </c>
      <c r="I37" s="75">
        <v>13.021978021978034</v>
      </c>
      <c r="J37" s="76">
        <f t="shared" si="1"/>
        <v>0</v>
      </c>
      <c r="L37" s="79"/>
      <c r="M37" s="77" t="s">
        <v>1</v>
      </c>
      <c r="N37" s="40">
        <v>13.021978021978034</v>
      </c>
      <c r="P37" s="29" t="s">
        <v>106</v>
      </c>
      <c r="Q37" s="29">
        <v>12.25</v>
      </c>
      <c r="S37" s="78">
        <v>27424</v>
      </c>
      <c r="T37" s="29">
        <v>11</v>
      </c>
    </row>
    <row r="38" spans="2:20" x14ac:dyDescent="0.25">
      <c r="B38" s="5"/>
      <c r="C38" s="4" t="s">
        <v>2</v>
      </c>
      <c r="D38" s="75">
        <v>11.364239130434783</v>
      </c>
      <c r="E38" s="45"/>
      <c r="F38" s="14"/>
      <c r="G38" s="15"/>
      <c r="H38" s="98">
        <f t="shared" si="0"/>
        <v>11.364239130434783</v>
      </c>
      <c r="I38" s="75">
        <v>11.364239130434783</v>
      </c>
      <c r="J38" s="76">
        <f t="shared" si="1"/>
        <v>0</v>
      </c>
      <c r="L38" s="79"/>
      <c r="M38" s="77" t="s">
        <v>2</v>
      </c>
      <c r="N38" s="40">
        <v>11.364239130434783</v>
      </c>
      <c r="P38" s="29" t="s">
        <v>107</v>
      </c>
      <c r="Q38" s="29">
        <v>12</v>
      </c>
      <c r="S38" s="78">
        <v>27425</v>
      </c>
      <c r="T38" s="29">
        <v>11</v>
      </c>
    </row>
    <row r="39" spans="2:20" x14ac:dyDescent="0.25">
      <c r="B39" s="5"/>
      <c r="C39" s="4" t="s">
        <v>3</v>
      </c>
      <c r="D39" s="75">
        <v>9.7014130434782597</v>
      </c>
      <c r="E39" s="45"/>
      <c r="F39" s="14"/>
      <c r="G39" s="15"/>
      <c r="H39" s="98">
        <f t="shared" si="0"/>
        <v>9.7014130434782597</v>
      </c>
      <c r="I39" s="75">
        <v>9.7014130434782597</v>
      </c>
      <c r="J39" s="76">
        <f t="shared" si="1"/>
        <v>0</v>
      </c>
      <c r="L39" s="79"/>
      <c r="M39" s="77" t="s">
        <v>3</v>
      </c>
      <c r="N39" s="40">
        <v>9.7014130434782597</v>
      </c>
      <c r="P39" s="29" t="s">
        <v>108</v>
      </c>
      <c r="Q39" s="29">
        <v>11</v>
      </c>
      <c r="S39" s="78">
        <v>27426</v>
      </c>
      <c r="T39" s="29">
        <v>11</v>
      </c>
    </row>
    <row r="40" spans="2:20" x14ac:dyDescent="0.25">
      <c r="B40" s="5">
        <v>1983</v>
      </c>
      <c r="C40" s="4" t="s">
        <v>0</v>
      </c>
      <c r="D40" s="75">
        <v>10.794666666666656</v>
      </c>
      <c r="E40" s="45"/>
      <c r="F40" s="14"/>
      <c r="G40" s="15"/>
      <c r="H40" s="98">
        <f t="shared" si="0"/>
        <v>10.794666666666656</v>
      </c>
      <c r="I40" s="75">
        <v>10.794666666666656</v>
      </c>
      <c r="J40" s="76">
        <f t="shared" si="1"/>
        <v>0</v>
      </c>
      <c r="L40" s="79">
        <v>1983</v>
      </c>
      <c r="M40" s="77" t="s">
        <v>0</v>
      </c>
      <c r="N40" s="40">
        <v>10.794666666666656</v>
      </c>
      <c r="P40" s="29" t="s">
        <v>109</v>
      </c>
      <c r="Q40" s="29">
        <v>10.5</v>
      </c>
      <c r="S40" s="78">
        <v>27427</v>
      </c>
      <c r="T40" s="29">
        <v>11</v>
      </c>
    </row>
    <row r="41" spans="2:20" x14ac:dyDescent="0.25">
      <c r="B41" s="5"/>
      <c r="C41" s="4" t="s">
        <v>1</v>
      </c>
      <c r="D41" s="75">
        <v>10.03252747252745</v>
      </c>
      <c r="E41" s="45"/>
      <c r="F41" s="14"/>
      <c r="G41" s="15"/>
      <c r="H41" s="98">
        <f t="shared" si="0"/>
        <v>10.03252747252745</v>
      </c>
      <c r="I41" s="75">
        <v>10.03252747252745</v>
      </c>
      <c r="J41" s="76">
        <f t="shared" si="1"/>
        <v>0</v>
      </c>
      <c r="L41" s="79"/>
      <c r="M41" s="77" t="s">
        <v>1</v>
      </c>
      <c r="N41" s="40">
        <v>10.03252747252745</v>
      </c>
      <c r="P41" s="29" t="s">
        <v>110</v>
      </c>
      <c r="Q41" s="29">
        <v>9.5</v>
      </c>
      <c r="S41" s="78">
        <v>27428</v>
      </c>
      <c r="T41" s="29">
        <v>11</v>
      </c>
    </row>
    <row r="42" spans="2:20" x14ac:dyDescent="0.25">
      <c r="B42" s="5"/>
      <c r="C42" s="4" t="s">
        <v>2</v>
      </c>
      <c r="D42" s="75">
        <v>9.5586956521738902</v>
      </c>
      <c r="E42" s="45"/>
      <c r="F42" s="14"/>
      <c r="G42" s="15"/>
      <c r="H42" s="98">
        <f t="shared" si="0"/>
        <v>9.5586956521738902</v>
      </c>
      <c r="I42" s="75">
        <v>9.5586956521738902</v>
      </c>
      <c r="J42" s="76">
        <f t="shared" si="1"/>
        <v>0</v>
      </c>
      <c r="L42" s="79"/>
      <c r="M42" s="77" t="s">
        <v>2</v>
      </c>
      <c r="N42" s="40">
        <v>9.5586956521738902</v>
      </c>
      <c r="P42" s="29" t="s">
        <v>111</v>
      </c>
      <c r="Q42" s="29">
        <v>9.25</v>
      </c>
      <c r="S42" s="78">
        <v>27429</v>
      </c>
      <c r="T42" s="29">
        <v>11</v>
      </c>
    </row>
    <row r="43" spans="2:20" x14ac:dyDescent="0.25">
      <c r="B43" s="5"/>
      <c r="C43" s="4" t="s">
        <v>3</v>
      </c>
      <c r="D43" s="75">
        <v>9.0708695652173716</v>
      </c>
      <c r="E43" s="45"/>
      <c r="F43" s="14"/>
      <c r="G43" s="15"/>
      <c r="H43" s="98">
        <f t="shared" si="0"/>
        <v>9.0708695652173716</v>
      </c>
      <c r="I43" s="75">
        <v>9.0708695652173716</v>
      </c>
      <c r="J43" s="76">
        <f t="shared" si="1"/>
        <v>0</v>
      </c>
      <c r="L43" s="79"/>
      <c r="M43" s="77" t="s">
        <v>3</v>
      </c>
      <c r="N43" s="40">
        <v>9.0708695652173716</v>
      </c>
      <c r="P43" s="29" t="s">
        <v>112</v>
      </c>
      <c r="Q43" s="29">
        <v>9</v>
      </c>
      <c r="S43" s="78">
        <v>27430</v>
      </c>
      <c r="T43" s="29">
        <v>11</v>
      </c>
    </row>
    <row r="44" spans="2:20" x14ac:dyDescent="0.25">
      <c r="B44" s="5">
        <v>1984</v>
      </c>
      <c r="C44" s="4" t="s">
        <v>0</v>
      </c>
      <c r="D44" s="75">
        <v>8.9418681318681124</v>
      </c>
      <c r="E44" s="45"/>
      <c r="F44" s="14"/>
      <c r="G44" s="15"/>
      <c r="H44" s="98">
        <f t="shared" si="0"/>
        <v>8.9418681318681124</v>
      </c>
      <c r="I44" s="75">
        <v>8.9418681318681124</v>
      </c>
      <c r="J44" s="76">
        <f t="shared" si="1"/>
        <v>0</v>
      </c>
      <c r="L44" s="79">
        <v>1984</v>
      </c>
      <c r="M44" s="77" t="s">
        <v>0</v>
      </c>
      <c r="N44" s="40">
        <v>8.9418681318681124</v>
      </c>
      <c r="P44" s="29" t="s">
        <v>113</v>
      </c>
      <c r="Q44" s="29">
        <v>8.75</v>
      </c>
      <c r="S44" s="78">
        <v>27431</v>
      </c>
      <c r="T44" s="29">
        <v>11</v>
      </c>
    </row>
    <row r="45" spans="2:20" x14ac:dyDescent="0.25">
      <c r="B45" s="5"/>
      <c r="C45" s="4" t="s">
        <v>1</v>
      </c>
      <c r="D45" s="75">
        <v>8.8417582417582246</v>
      </c>
      <c r="E45" s="45"/>
      <c r="F45" s="14"/>
      <c r="G45" s="15"/>
      <c r="H45" s="98">
        <f t="shared" si="0"/>
        <v>8.8417582417582246</v>
      </c>
      <c r="I45" s="75">
        <v>8.8417582417582246</v>
      </c>
      <c r="J45" s="76">
        <f t="shared" si="1"/>
        <v>0</v>
      </c>
      <c r="L45" s="79"/>
      <c r="M45" s="77" t="s">
        <v>1</v>
      </c>
      <c r="N45" s="40">
        <v>8.8417582417582246</v>
      </c>
      <c r="P45" s="29" t="s">
        <v>114</v>
      </c>
      <c r="Q45" s="29">
        <v>8.25</v>
      </c>
      <c r="S45" s="78">
        <v>27432</v>
      </c>
      <c r="T45" s="29">
        <v>11</v>
      </c>
    </row>
    <row r="46" spans="2:20" x14ac:dyDescent="0.25">
      <c r="B46" s="5"/>
      <c r="C46" s="4" t="s">
        <v>2</v>
      </c>
      <c r="D46" s="75">
        <v>10.892934782608695</v>
      </c>
      <c r="E46" s="45"/>
      <c r="F46" s="14"/>
      <c r="G46" s="15"/>
      <c r="H46" s="98">
        <f t="shared" si="0"/>
        <v>10.892934782608695</v>
      </c>
      <c r="I46" s="75">
        <v>10.892934782608695</v>
      </c>
      <c r="J46" s="76">
        <f t="shared" si="1"/>
        <v>0</v>
      </c>
      <c r="L46" s="79"/>
      <c r="M46" s="77" t="s">
        <v>2</v>
      </c>
      <c r="N46" s="40">
        <v>10.892934782608695</v>
      </c>
      <c r="P46" s="29" t="s">
        <v>115</v>
      </c>
      <c r="Q46" s="29">
        <v>8</v>
      </c>
      <c r="S46" s="78">
        <v>27433</v>
      </c>
      <c r="T46" s="29">
        <v>11</v>
      </c>
    </row>
    <row r="47" spans="2:20" x14ac:dyDescent="0.25">
      <c r="B47" s="5"/>
      <c r="C47" s="4" t="s">
        <v>3</v>
      </c>
      <c r="D47" s="75">
        <v>9.9673913043478262</v>
      </c>
      <c r="E47" s="45"/>
      <c r="F47" s="14"/>
      <c r="G47" s="15"/>
      <c r="H47" s="98">
        <f t="shared" si="0"/>
        <v>9.9673913043478262</v>
      </c>
      <c r="I47" s="75">
        <v>9.9673913043478262</v>
      </c>
      <c r="J47" s="76">
        <f t="shared" si="1"/>
        <v>0</v>
      </c>
      <c r="L47" s="79"/>
      <c r="M47" s="77" t="s">
        <v>3</v>
      </c>
      <c r="N47" s="40">
        <v>9.9673913043478262</v>
      </c>
      <c r="P47" s="29" t="s">
        <v>116</v>
      </c>
      <c r="Q47" s="29">
        <v>7.5</v>
      </c>
      <c r="S47" s="78">
        <v>27434</v>
      </c>
      <c r="T47" s="29">
        <v>11</v>
      </c>
    </row>
    <row r="48" spans="2:20" x14ac:dyDescent="0.25">
      <c r="B48" s="5">
        <v>1985</v>
      </c>
      <c r="C48" s="4" t="s">
        <v>0</v>
      </c>
      <c r="D48" s="75">
        <v>12.847333333333344</v>
      </c>
      <c r="E48" s="45"/>
      <c r="F48" s="14"/>
      <c r="G48" s="15"/>
      <c r="H48" s="98">
        <f t="shared" si="0"/>
        <v>12.847333333333344</v>
      </c>
      <c r="I48" s="75">
        <v>12.847333333333344</v>
      </c>
      <c r="J48" s="76">
        <f t="shared" si="1"/>
        <v>0</v>
      </c>
      <c r="L48" s="79">
        <v>1985</v>
      </c>
      <c r="M48" s="77" t="s">
        <v>0</v>
      </c>
      <c r="N48" s="40">
        <v>12.847333333333344</v>
      </c>
      <c r="P48" s="29" t="s">
        <v>117</v>
      </c>
      <c r="Q48" s="29">
        <v>7</v>
      </c>
      <c r="S48" s="78">
        <v>27435</v>
      </c>
      <c r="T48" s="29">
        <v>10.75</v>
      </c>
    </row>
    <row r="49" spans="2:20" x14ac:dyDescent="0.25">
      <c r="B49" s="5"/>
      <c r="C49" s="4" t="s">
        <v>1</v>
      </c>
      <c r="D49" s="75">
        <v>12.478901098901108</v>
      </c>
      <c r="E49" s="45"/>
      <c r="F49" s="14"/>
      <c r="G49" s="15"/>
      <c r="H49" s="98">
        <f t="shared" si="0"/>
        <v>12.478901098901108</v>
      </c>
      <c r="I49" s="75">
        <v>12.478901098901108</v>
      </c>
      <c r="J49" s="76">
        <f t="shared" si="1"/>
        <v>0</v>
      </c>
      <c r="L49" s="79"/>
      <c r="M49" s="77" t="s">
        <v>1</v>
      </c>
      <c r="N49" s="40">
        <v>12.478901098901108</v>
      </c>
      <c r="P49" s="29" t="s">
        <v>118</v>
      </c>
      <c r="Q49" s="29">
        <v>6.5</v>
      </c>
      <c r="S49" s="78">
        <v>27436</v>
      </c>
      <c r="T49" s="29">
        <v>10.75</v>
      </c>
    </row>
    <row r="50" spans="2:20" x14ac:dyDescent="0.25">
      <c r="B50" s="5"/>
      <c r="C50" s="4" t="s">
        <v>2</v>
      </c>
      <c r="D50" s="75">
        <v>11.570217391304348</v>
      </c>
      <c r="E50" s="45"/>
      <c r="F50" s="14"/>
      <c r="G50" s="15"/>
      <c r="H50" s="98">
        <f t="shared" si="0"/>
        <v>11.570217391304348</v>
      </c>
      <c r="I50" s="75">
        <v>11.570217391304348</v>
      </c>
      <c r="J50" s="76">
        <f t="shared" si="1"/>
        <v>0</v>
      </c>
      <c r="L50" s="79"/>
      <c r="M50" s="77" t="s">
        <v>2</v>
      </c>
      <c r="N50" s="40">
        <v>11.570217391304348</v>
      </c>
      <c r="P50" s="29" t="s">
        <v>119</v>
      </c>
      <c r="Q50" s="29">
        <v>6</v>
      </c>
      <c r="S50" s="78">
        <v>27437</v>
      </c>
      <c r="T50" s="29">
        <v>10.75</v>
      </c>
    </row>
    <row r="51" spans="2:20" x14ac:dyDescent="0.25">
      <c r="B51" s="5"/>
      <c r="C51" s="4" t="s">
        <v>3</v>
      </c>
      <c r="D51" s="75">
        <v>11.38</v>
      </c>
      <c r="E51" s="45"/>
      <c r="F51" s="14"/>
      <c r="G51" s="15"/>
      <c r="H51" s="98">
        <f t="shared" si="0"/>
        <v>11.38</v>
      </c>
      <c r="I51" s="75">
        <v>11.38</v>
      </c>
      <c r="J51" s="76">
        <f t="shared" si="1"/>
        <v>0</v>
      </c>
      <c r="L51" s="79"/>
      <c r="M51" s="77" t="s">
        <v>3</v>
      </c>
      <c r="N51" s="40">
        <v>11.38</v>
      </c>
      <c r="P51" s="29" t="s">
        <v>120</v>
      </c>
      <c r="Q51" s="29">
        <v>5.5</v>
      </c>
      <c r="S51" s="78">
        <v>27438</v>
      </c>
      <c r="T51" s="29">
        <v>10.75</v>
      </c>
    </row>
    <row r="52" spans="2:20" x14ac:dyDescent="0.25">
      <c r="B52" s="5">
        <v>1986</v>
      </c>
      <c r="C52" s="4" t="s">
        <v>0</v>
      </c>
      <c r="D52" s="75">
        <v>12.080000000000004</v>
      </c>
      <c r="E52" s="45"/>
      <c r="F52" s="14"/>
      <c r="G52" s="15"/>
      <c r="H52" s="98">
        <f t="shared" si="0"/>
        <v>12.080000000000004</v>
      </c>
      <c r="I52" s="75">
        <v>12.080000000000004</v>
      </c>
      <c r="J52" s="76">
        <f t="shared" si="1"/>
        <v>0</v>
      </c>
      <c r="L52" s="79">
        <v>1986</v>
      </c>
      <c r="M52" s="77" t="s">
        <v>0</v>
      </c>
      <c r="N52" s="40">
        <v>12.080000000000004</v>
      </c>
      <c r="P52" s="29" t="s">
        <v>121</v>
      </c>
      <c r="Q52" s="29">
        <v>5</v>
      </c>
      <c r="S52" s="78">
        <v>27439</v>
      </c>
      <c r="T52" s="29">
        <v>10.75</v>
      </c>
    </row>
    <row r="53" spans="2:20" x14ac:dyDescent="0.25">
      <c r="B53" s="5"/>
      <c r="C53" s="4" t="s">
        <v>1</v>
      </c>
      <c r="D53" s="75">
        <v>10.314065934065932</v>
      </c>
      <c r="E53" s="45"/>
      <c r="F53" s="14"/>
      <c r="G53" s="15"/>
      <c r="H53" s="98">
        <f t="shared" si="0"/>
        <v>10.314065934065932</v>
      </c>
      <c r="I53" s="75">
        <v>10.314065934065932</v>
      </c>
      <c r="J53" s="76">
        <f t="shared" si="1"/>
        <v>0</v>
      </c>
      <c r="L53" s="79"/>
      <c r="M53" s="77" t="s">
        <v>1</v>
      </c>
      <c r="N53" s="40">
        <v>10.314065934065932</v>
      </c>
      <c r="P53" s="29" t="s">
        <v>122</v>
      </c>
      <c r="Q53" s="29">
        <v>7</v>
      </c>
      <c r="S53" s="78">
        <v>27440</v>
      </c>
      <c r="T53" s="29">
        <v>10.75</v>
      </c>
    </row>
    <row r="54" spans="2:20" x14ac:dyDescent="0.25">
      <c r="B54" s="5"/>
      <c r="C54" s="4" t="s">
        <v>2</v>
      </c>
      <c r="D54" s="75">
        <v>9.8799999999999972</v>
      </c>
      <c r="E54" s="45"/>
      <c r="F54" s="14"/>
      <c r="G54" s="15"/>
      <c r="H54" s="98">
        <f t="shared" si="0"/>
        <v>9.8799999999999972</v>
      </c>
      <c r="I54" s="75">
        <v>9.8799999999999972</v>
      </c>
      <c r="J54" s="76">
        <f t="shared" si="1"/>
        <v>0</v>
      </c>
      <c r="L54" s="79"/>
      <c r="M54" s="77" t="s">
        <v>2</v>
      </c>
      <c r="N54" s="40">
        <v>9.8799999999999972</v>
      </c>
      <c r="P54" s="29" t="s">
        <v>123</v>
      </c>
      <c r="Q54" s="29">
        <v>6.5</v>
      </c>
      <c r="S54" s="78">
        <v>27441</v>
      </c>
      <c r="T54" s="29">
        <v>10.75</v>
      </c>
    </row>
    <row r="55" spans="2:20" x14ac:dyDescent="0.25">
      <c r="B55" s="5"/>
      <c r="C55" s="4" t="s">
        <v>3</v>
      </c>
      <c r="D55" s="75">
        <v>10.727826086956519</v>
      </c>
      <c r="E55" s="45"/>
      <c r="F55" s="14"/>
      <c r="G55" s="15"/>
      <c r="H55" s="98">
        <f t="shared" si="0"/>
        <v>10.727826086956519</v>
      </c>
      <c r="I55" s="75">
        <v>10.727826086956519</v>
      </c>
      <c r="J55" s="76">
        <f t="shared" si="1"/>
        <v>0</v>
      </c>
      <c r="L55" s="79"/>
      <c r="M55" s="77" t="s">
        <v>3</v>
      </c>
      <c r="N55" s="40">
        <v>10.727826086956519</v>
      </c>
      <c r="P55" s="29" t="s">
        <v>124</v>
      </c>
      <c r="Q55" s="29">
        <v>7.5</v>
      </c>
      <c r="S55" s="78">
        <v>27442</v>
      </c>
      <c r="T55" s="29">
        <v>10.5</v>
      </c>
    </row>
    <row r="56" spans="2:20" x14ac:dyDescent="0.25">
      <c r="B56" s="5">
        <v>1987</v>
      </c>
      <c r="C56" s="4" t="s">
        <v>0</v>
      </c>
      <c r="D56" s="75">
        <v>10.674444444444442</v>
      </c>
      <c r="E56" s="45"/>
      <c r="F56" s="14"/>
      <c r="G56" s="15"/>
      <c r="H56" s="98">
        <f t="shared" si="0"/>
        <v>10.674444444444442</v>
      </c>
      <c r="I56" s="75">
        <v>10.674444444444442</v>
      </c>
      <c r="J56" s="76">
        <f t="shared" si="1"/>
        <v>0</v>
      </c>
      <c r="L56" s="79">
        <v>1987</v>
      </c>
      <c r="M56" s="77" t="s">
        <v>0</v>
      </c>
      <c r="N56" s="40">
        <v>10.674444444444442</v>
      </c>
      <c r="P56" s="29" t="s">
        <v>125</v>
      </c>
      <c r="Q56" s="29">
        <v>8.75</v>
      </c>
      <c r="S56" s="78">
        <v>27443</v>
      </c>
      <c r="T56" s="29">
        <v>10.5</v>
      </c>
    </row>
    <row r="57" spans="2:20" x14ac:dyDescent="0.25">
      <c r="B57" s="5"/>
      <c r="C57" s="4" t="s">
        <v>1</v>
      </c>
      <c r="D57" s="75">
        <v>9.2316483516483476</v>
      </c>
      <c r="E57" s="45"/>
      <c r="F57" s="14"/>
      <c r="G57" s="15"/>
      <c r="H57" s="98">
        <f t="shared" si="0"/>
        <v>9.2316483516483476</v>
      </c>
      <c r="I57" s="75">
        <v>9.2316483516483476</v>
      </c>
      <c r="J57" s="76">
        <f t="shared" si="1"/>
        <v>0</v>
      </c>
      <c r="L57" s="79"/>
      <c r="M57" s="77" t="s">
        <v>1</v>
      </c>
      <c r="N57" s="40">
        <v>9.2316483516483476</v>
      </c>
      <c r="P57" s="29" t="s">
        <v>126</v>
      </c>
      <c r="Q57" s="29">
        <v>9</v>
      </c>
      <c r="S57" s="78">
        <v>27444</v>
      </c>
      <c r="T57" s="29">
        <v>10.5</v>
      </c>
    </row>
    <row r="58" spans="2:20" x14ac:dyDescent="0.25">
      <c r="B58" s="5"/>
      <c r="C58" s="4" t="s">
        <v>2</v>
      </c>
      <c r="D58" s="75">
        <v>9.4886956521739094</v>
      </c>
      <c r="E58" s="45"/>
      <c r="F58" s="14"/>
      <c r="G58" s="15"/>
      <c r="H58" s="98">
        <f t="shared" si="0"/>
        <v>9.4886956521739094</v>
      </c>
      <c r="I58" s="75">
        <v>9.4886956521739094</v>
      </c>
      <c r="J58" s="76">
        <f t="shared" si="1"/>
        <v>0</v>
      </c>
      <c r="L58" s="79"/>
      <c r="M58" s="77" t="s">
        <v>2</v>
      </c>
      <c r="N58" s="40">
        <v>9.4886956521739094</v>
      </c>
      <c r="P58" s="29" t="s">
        <v>127</v>
      </c>
      <c r="Q58" s="29">
        <v>10</v>
      </c>
      <c r="S58" s="78">
        <v>27445</v>
      </c>
      <c r="T58" s="29">
        <v>10.5</v>
      </c>
    </row>
    <row r="59" spans="2:20" x14ac:dyDescent="0.25">
      <c r="B59" s="5"/>
      <c r="C59" s="4" t="s">
        <v>3</v>
      </c>
      <c r="D59" s="75">
        <v>9.0267391304347786</v>
      </c>
      <c r="E59" s="45"/>
      <c r="F59" s="14"/>
      <c r="G59" s="15"/>
      <c r="H59" s="98">
        <f t="shared" si="0"/>
        <v>9.0267391304347786</v>
      </c>
      <c r="I59" s="75">
        <v>9.0267391304347786</v>
      </c>
      <c r="J59" s="76">
        <f t="shared" si="1"/>
        <v>0</v>
      </c>
      <c r="L59" s="79"/>
      <c r="M59" s="77" t="s">
        <v>3</v>
      </c>
      <c r="N59" s="40">
        <v>9.0267391304347786</v>
      </c>
      <c r="P59" s="29" t="s">
        <v>128</v>
      </c>
      <c r="Q59" s="29">
        <v>12.5</v>
      </c>
      <c r="S59" s="78">
        <v>27446</v>
      </c>
      <c r="T59" s="29">
        <v>10.5</v>
      </c>
    </row>
    <row r="60" spans="2:20" x14ac:dyDescent="0.25">
      <c r="B60" s="5">
        <v>1988</v>
      </c>
      <c r="C60" s="4" t="s">
        <v>0</v>
      </c>
      <c r="D60" s="75">
        <v>8.6272527472527436</v>
      </c>
      <c r="E60" s="45"/>
      <c r="F60" s="14"/>
      <c r="G60" s="15"/>
      <c r="H60" s="98">
        <f t="shared" si="0"/>
        <v>8.6272527472527436</v>
      </c>
      <c r="I60" s="75">
        <v>8.6272527472527436</v>
      </c>
      <c r="J60" s="76">
        <f t="shared" si="1"/>
        <v>0</v>
      </c>
      <c r="L60" s="79">
        <v>1988</v>
      </c>
      <c r="M60" s="77" t="s">
        <v>0</v>
      </c>
      <c r="N60" s="40">
        <v>8.6272527472527436</v>
      </c>
      <c r="P60" s="29" t="s">
        <v>129</v>
      </c>
      <c r="Q60" s="29">
        <v>14</v>
      </c>
      <c r="S60" s="78">
        <v>27447</v>
      </c>
      <c r="T60" s="29">
        <v>10.5</v>
      </c>
    </row>
    <row r="61" spans="2:20" x14ac:dyDescent="0.25">
      <c r="B61" s="5"/>
      <c r="C61" s="4" t="s">
        <v>1</v>
      </c>
      <c r="D61" s="75">
        <v>7.9789010989010958</v>
      </c>
      <c r="E61" s="45"/>
      <c r="F61" s="14"/>
      <c r="G61" s="15"/>
      <c r="H61" s="98">
        <f t="shared" si="0"/>
        <v>7.9789010989010958</v>
      </c>
      <c r="I61" s="75">
        <v>7.9789010989010958</v>
      </c>
      <c r="J61" s="76">
        <f t="shared" si="1"/>
        <v>0</v>
      </c>
      <c r="L61" s="79"/>
      <c r="M61" s="77" t="s">
        <v>1</v>
      </c>
      <c r="N61" s="40">
        <v>7.9789010989010958</v>
      </c>
      <c r="P61" s="29" t="s">
        <v>130</v>
      </c>
      <c r="Q61" s="29">
        <v>13</v>
      </c>
      <c r="S61" s="78">
        <v>27448</v>
      </c>
      <c r="T61" s="29">
        <v>10.5</v>
      </c>
    </row>
    <row r="62" spans="2:20" x14ac:dyDescent="0.25">
      <c r="B62" s="5"/>
      <c r="C62" s="4" t="s">
        <v>2</v>
      </c>
      <c r="D62" s="75">
        <v>10.901739130434779</v>
      </c>
      <c r="E62" s="45"/>
      <c r="F62" s="14"/>
      <c r="G62" s="15"/>
      <c r="H62" s="98">
        <f t="shared" si="0"/>
        <v>10.901739130434779</v>
      </c>
      <c r="I62" s="75">
        <v>10.901739130434779</v>
      </c>
      <c r="J62" s="76">
        <f t="shared" si="1"/>
        <v>0</v>
      </c>
      <c r="L62" s="79"/>
      <c r="M62" s="77" t="s">
        <v>2</v>
      </c>
      <c r="N62" s="40">
        <v>10.901739130434779</v>
      </c>
      <c r="P62" s="29" t="s">
        <v>131</v>
      </c>
      <c r="Q62" s="29">
        <v>12</v>
      </c>
      <c r="S62" s="78">
        <v>27449</v>
      </c>
      <c r="T62" s="29">
        <v>10.5</v>
      </c>
    </row>
    <row r="63" spans="2:20" x14ac:dyDescent="0.25">
      <c r="B63" s="5"/>
      <c r="C63" s="4" t="s">
        <v>3</v>
      </c>
      <c r="D63" s="75">
        <v>12.282173913043486</v>
      </c>
      <c r="E63" s="45"/>
      <c r="F63" s="14"/>
      <c r="G63" s="15"/>
      <c r="H63" s="98">
        <f t="shared" si="0"/>
        <v>12.282173913043486</v>
      </c>
      <c r="I63" s="75">
        <v>12.282173913043486</v>
      </c>
      <c r="J63" s="76">
        <f t="shared" si="1"/>
        <v>0</v>
      </c>
      <c r="L63" s="79"/>
      <c r="M63" s="77" t="s">
        <v>3</v>
      </c>
      <c r="N63" s="40">
        <v>12.282173913043486</v>
      </c>
      <c r="P63" s="29" t="s">
        <v>132</v>
      </c>
      <c r="Q63" s="29">
        <v>14</v>
      </c>
      <c r="S63" s="78">
        <v>27450</v>
      </c>
      <c r="T63" s="29">
        <v>10.5</v>
      </c>
    </row>
    <row r="64" spans="2:20" x14ac:dyDescent="0.25">
      <c r="B64" s="5">
        <v>1989</v>
      </c>
      <c r="C64" s="4" t="s">
        <v>0</v>
      </c>
      <c r="D64" s="75">
        <v>12.880000000000011</v>
      </c>
      <c r="E64" s="45"/>
      <c r="F64" s="14"/>
      <c r="G64" s="15"/>
      <c r="H64" s="98">
        <f t="shared" si="0"/>
        <v>12.880000000000011</v>
      </c>
      <c r="I64" s="75">
        <v>12.880000000000011</v>
      </c>
      <c r="J64" s="76">
        <f t="shared" si="1"/>
        <v>0</v>
      </c>
      <c r="L64" s="79">
        <v>1989</v>
      </c>
      <c r="M64" s="77" t="s">
        <v>0</v>
      </c>
      <c r="N64" s="40">
        <v>12.880000000000011</v>
      </c>
      <c r="P64" s="29" t="s">
        <v>133</v>
      </c>
      <c r="Q64" s="29">
        <v>17</v>
      </c>
      <c r="S64" s="78">
        <v>27451</v>
      </c>
      <c r="T64" s="29">
        <v>10.5</v>
      </c>
    </row>
    <row r="65" spans="2:20" x14ac:dyDescent="0.25">
      <c r="B65" s="5"/>
      <c r="C65" s="4" t="s">
        <v>1</v>
      </c>
      <c r="D65" s="75">
        <v>13.233736263736263</v>
      </c>
      <c r="E65" s="45"/>
      <c r="F65" s="14"/>
      <c r="G65" s="15"/>
      <c r="H65" s="98">
        <f t="shared" si="0"/>
        <v>13.233736263736263</v>
      </c>
      <c r="I65" s="75">
        <v>13.233736263736263</v>
      </c>
      <c r="J65" s="76">
        <f t="shared" si="1"/>
        <v>0</v>
      </c>
      <c r="L65" s="79"/>
      <c r="M65" s="77" t="s">
        <v>1</v>
      </c>
      <c r="N65" s="40">
        <v>13.233736263736263</v>
      </c>
      <c r="P65" s="29" t="s">
        <v>134</v>
      </c>
      <c r="Q65" s="29">
        <v>16</v>
      </c>
      <c r="S65" s="78">
        <v>27452</v>
      </c>
      <c r="T65" s="29">
        <v>10.5</v>
      </c>
    </row>
    <row r="66" spans="2:20" x14ac:dyDescent="0.25">
      <c r="B66" s="5"/>
      <c r="C66" s="4" t="s">
        <v>2</v>
      </c>
      <c r="D66" s="75">
        <v>13.759565217391305</v>
      </c>
      <c r="E66" s="45"/>
      <c r="F66" s="14"/>
      <c r="G66" s="15"/>
      <c r="H66" s="98">
        <f t="shared" si="0"/>
        <v>13.759565217391305</v>
      </c>
      <c r="I66" s="75">
        <v>13.759565217391305</v>
      </c>
      <c r="J66" s="76">
        <f t="shared" si="1"/>
        <v>0</v>
      </c>
      <c r="L66" s="79"/>
      <c r="M66" s="77" t="s">
        <v>2</v>
      </c>
      <c r="N66" s="40">
        <v>13.759565217391305</v>
      </c>
      <c r="P66" s="29" t="s">
        <v>135</v>
      </c>
      <c r="Q66" s="29">
        <v>14</v>
      </c>
      <c r="S66" s="78">
        <v>27453</v>
      </c>
      <c r="T66" s="29">
        <v>10.5</v>
      </c>
    </row>
    <row r="67" spans="2:20" x14ac:dyDescent="0.25">
      <c r="B67" s="5"/>
      <c r="C67" s="4" t="s">
        <v>3</v>
      </c>
      <c r="D67" s="75">
        <v>14.818586956521763</v>
      </c>
      <c r="E67" s="45"/>
      <c r="F67" s="14"/>
      <c r="G67" s="15"/>
      <c r="H67" s="98">
        <f t="shared" si="0"/>
        <v>14.818586956521763</v>
      </c>
      <c r="I67" s="75">
        <v>14.818586956521763</v>
      </c>
      <c r="J67" s="76">
        <f t="shared" si="1"/>
        <v>0</v>
      </c>
      <c r="L67" s="79"/>
      <c r="M67" s="77" t="s">
        <v>3</v>
      </c>
      <c r="N67" s="40">
        <v>14.818586956521763</v>
      </c>
      <c r="P67" s="29" t="s">
        <v>136</v>
      </c>
      <c r="Q67" s="29">
        <v>12</v>
      </c>
      <c r="S67" s="78">
        <v>27454</v>
      </c>
      <c r="T67" s="29">
        <v>10.5</v>
      </c>
    </row>
    <row r="68" spans="2:20" x14ac:dyDescent="0.25">
      <c r="B68" s="5">
        <v>1990</v>
      </c>
      <c r="C68" s="4" t="s">
        <v>0</v>
      </c>
      <c r="D68" s="75">
        <v>14.880000000000024</v>
      </c>
      <c r="E68" s="45"/>
      <c r="F68" s="14"/>
      <c r="G68" s="15"/>
      <c r="H68" s="98">
        <f t="shared" si="0"/>
        <v>14.880000000000024</v>
      </c>
      <c r="I68" s="75">
        <v>14.880000000000024</v>
      </c>
      <c r="J68" s="76">
        <f t="shared" si="1"/>
        <v>0</v>
      </c>
      <c r="L68" s="79">
        <v>1990</v>
      </c>
      <c r="M68" s="77" t="s">
        <v>0</v>
      </c>
      <c r="N68" s="40">
        <v>14.880000000000024</v>
      </c>
      <c r="P68" s="29" t="s">
        <v>137</v>
      </c>
      <c r="Q68" s="29">
        <v>12.69</v>
      </c>
      <c r="S68" s="78">
        <v>27455</v>
      </c>
      <c r="T68" s="29">
        <v>10.5</v>
      </c>
    </row>
    <row r="69" spans="2:20" x14ac:dyDescent="0.25">
      <c r="B69" s="5"/>
      <c r="C69" s="4" t="s">
        <v>1</v>
      </c>
      <c r="D69" s="75">
        <v>14.880000000000024</v>
      </c>
      <c r="E69" s="45"/>
      <c r="F69" s="14"/>
      <c r="G69" s="15"/>
      <c r="H69" s="98">
        <f t="shared" si="0"/>
        <v>14.880000000000024</v>
      </c>
      <c r="I69" s="75">
        <v>14.880000000000024</v>
      </c>
      <c r="J69" s="76">
        <f t="shared" si="1"/>
        <v>0</v>
      </c>
      <c r="L69" s="79"/>
      <c r="M69" s="77" t="s">
        <v>1</v>
      </c>
      <c r="N69" s="40">
        <v>14.880000000000024</v>
      </c>
      <c r="P69" s="29" t="s">
        <v>138</v>
      </c>
      <c r="Q69" s="29">
        <v>14</v>
      </c>
      <c r="S69" s="78">
        <v>27456</v>
      </c>
      <c r="T69" s="29">
        <v>10.5</v>
      </c>
    </row>
    <row r="70" spans="2:20" x14ac:dyDescent="0.25">
      <c r="B70" s="5"/>
      <c r="C70" s="4" t="s">
        <v>2</v>
      </c>
      <c r="D70" s="75">
        <v>14.880000000000026</v>
      </c>
      <c r="E70" s="45"/>
      <c r="F70" s="14"/>
      <c r="G70" s="15"/>
      <c r="H70" s="98">
        <f t="shared" si="0"/>
        <v>14.880000000000026</v>
      </c>
      <c r="I70" s="75">
        <v>14.880000000000026</v>
      </c>
      <c r="J70" s="76">
        <f t="shared" si="1"/>
        <v>0</v>
      </c>
      <c r="L70" s="79"/>
      <c r="M70" s="77" t="s">
        <v>2</v>
      </c>
      <c r="N70" s="40">
        <v>14.880000000000026</v>
      </c>
      <c r="P70" s="29" t="s">
        <v>139</v>
      </c>
      <c r="Q70" s="29">
        <v>15</v>
      </c>
      <c r="S70" s="78">
        <v>27457</v>
      </c>
      <c r="T70" s="29">
        <v>10.5</v>
      </c>
    </row>
    <row r="71" spans="2:20" x14ac:dyDescent="0.25">
      <c r="B71" s="5"/>
      <c r="C71" s="4" t="s">
        <v>3</v>
      </c>
      <c r="D71" s="75">
        <v>13.956086956521759</v>
      </c>
      <c r="E71" s="45"/>
      <c r="F71" s="14"/>
      <c r="G71" s="15"/>
      <c r="H71" s="98">
        <f t="shared" si="0"/>
        <v>13.956086956521759</v>
      </c>
      <c r="I71" s="75">
        <v>13.956086956521759</v>
      </c>
      <c r="J71" s="76">
        <f t="shared" si="1"/>
        <v>0</v>
      </c>
      <c r="L71" s="79"/>
      <c r="M71" s="77" t="s">
        <v>3</v>
      </c>
      <c r="N71" s="40">
        <v>13.956086956521759</v>
      </c>
      <c r="P71" s="29" t="s">
        <v>140</v>
      </c>
      <c r="Q71" s="29">
        <v>15.13</v>
      </c>
      <c r="S71" s="78">
        <v>27458</v>
      </c>
      <c r="T71" s="29">
        <v>10.5</v>
      </c>
    </row>
    <row r="72" spans="2:20" x14ac:dyDescent="0.25">
      <c r="B72" s="5">
        <v>1991</v>
      </c>
      <c r="C72" s="4" t="s">
        <v>0</v>
      </c>
      <c r="D72" s="75">
        <v>13.380000000000015</v>
      </c>
      <c r="E72" s="45"/>
      <c r="F72" s="14"/>
      <c r="G72" s="15"/>
      <c r="H72" s="98">
        <f t="shared" si="0"/>
        <v>13.380000000000015</v>
      </c>
      <c r="I72" s="75">
        <v>13.380000000000015</v>
      </c>
      <c r="J72" s="76">
        <f t="shared" si="1"/>
        <v>0</v>
      </c>
      <c r="L72" s="79">
        <v>1991</v>
      </c>
      <c r="M72" s="77" t="s">
        <v>0</v>
      </c>
      <c r="N72" s="40">
        <v>13.380000000000015</v>
      </c>
      <c r="P72" s="29" t="s">
        <v>141</v>
      </c>
      <c r="Q72" s="29">
        <v>15.06</v>
      </c>
      <c r="S72" s="78">
        <v>27459</v>
      </c>
      <c r="T72" s="29">
        <v>10.5</v>
      </c>
    </row>
    <row r="73" spans="2:20" x14ac:dyDescent="0.25">
      <c r="B73" s="5"/>
      <c r="C73" s="4" t="s">
        <v>1</v>
      </c>
      <c r="D73" s="75">
        <v>11.731648351648353</v>
      </c>
      <c r="E73" s="45"/>
      <c r="F73" s="14"/>
      <c r="G73" s="15"/>
      <c r="H73" s="98">
        <f t="shared" ref="H73:H136" si="2">SUM(D73:G73)</f>
        <v>11.731648351648353</v>
      </c>
      <c r="I73" s="75">
        <v>11.731648351648353</v>
      </c>
      <c r="J73" s="76">
        <f t="shared" ref="J73:J136" si="3">H73-I73</f>
        <v>0</v>
      </c>
      <c r="L73" s="79"/>
      <c r="M73" s="77" t="s">
        <v>1</v>
      </c>
      <c r="N73" s="40">
        <v>11.731648351648353</v>
      </c>
      <c r="P73" s="29" t="s">
        <v>142</v>
      </c>
      <c r="Q73" s="29">
        <v>14.63</v>
      </c>
      <c r="S73" s="78">
        <v>27460</v>
      </c>
      <c r="T73" s="29">
        <v>10.5</v>
      </c>
    </row>
    <row r="74" spans="2:20" x14ac:dyDescent="0.25">
      <c r="B74" s="5"/>
      <c r="C74" s="4" t="s">
        <v>2</v>
      </c>
      <c r="D74" s="75">
        <v>10.793043478260866</v>
      </c>
      <c r="E74" s="45"/>
      <c r="F74" s="14"/>
      <c r="G74" s="15"/>
      <c r="H74" s="98">
        <f t="shared" si="2"/>
        <v>10.793043478260866</v>
      </c>
      <c r="I74" s="75">
        <v>10.793043478260866</v>
      </c>
      <c r="J74" s="76">
        <f t="shared" si="3"/>
        <v>0</v>
      </c>
      <c r="L74" s="79"/>
      <c r="M74" s="77" t="s">
        <v>2</v>
      </c>
      <c r="N74" s="40">
        <v>10.793043478260866</v>
      </c>
      <c r="P74" s="29" t="s">
        <v>143</v>
      </c>
      <c r="Q74" s="29">
        <v>14.56</v>
      </c>
      <c r="S74" s="78">
        <v>27461</v>
      </c>
      <c r="T74" s="29">
        <v>10.5</v>
      </c>
    </row>
    <row r="75" spans="2:20" x14ac:dyDescent="0.25">
      <c r="B75" s="5"/>
      <c r="C75" s="4" t="s">
        <v>3</v>
      </c>
      <c r="D75" s="75">
        <v>10.379999999999997</v>
      </c>
      <c r="E75" s="45"/>
      <c r="F75" s="14"/>
      <c r="G75" s="15"/>
      <c r="H75" s="98">
        <f t="shared" si="2"/>
        <v>10.379999999999997</v>
      </c>
      <c r="I75" s="75">
        <v>10.379999999999997</v>
      </c>
      <c r="J75" s="76">
        <f t="shared" si="3"/>
        <v>0</v>
      </c>
      <c r="L75" s="79"/>
      <c r="M75" s="77" t="s">
        <v>3</v>
      </c>
      <c r="N75" s="40">
        <v>10.379999999999997</v>
      </c>
      <c r="P75" s="29" t="s">
        <v>144</v>
      </c>
      <c r="Q75" s="29">
        <v>14.38</v>
      </c>
      <c r="S75" s="78">
        <v>27462</v>
      </c>
      <c r="T75" s="29">
        <v>10.5</v>
      </c>
    </row>
    <row r="76" spans="2:20" x14ac:dyDescent="0.25">
      <c r="B76" s="5">
        <v>1992</v>
      </c>
      <c r="C76" s="4" t="s">
        <v>0</v>
      </c>
      <c r="D76" s="75">
        <v>10.379999999999997</v>
      </c>
      <c r="E76" s="45"/>
      <c r="F76" s="14"/>
      <c r="G76" s="15"/>
      <c r="H76" s="98">
        <f t="shared" si="2"/>
        <v>10.379999999999997</v>
      </c>
      <c r="I76" s="75">
        <v>10.379999999999997</v>
      </c>
      <c r="J76" s="76">
        <f t="shared" si="3"/>
        <v>0</v>
      </c>
      <c r="L76" s="79">
        <v>1992</v>
      </c>
      <c r="M76" s="77" t="s">
        <v>0</v>
      </c>
      <c r="N76" s="40">
        <v>10.379999999999997</v>
      </c>
      <c r="P76" s="29" t="s">
        <v>145</v>
      </c>
      <c r="Q76" s="29">
        <v>14.31</v>
      </c>
      <c r="S76" s="78">
        <v>27463</v>
      </c>
      <c r="T76" s="29">
        <v>10.25</v>
      </c>
    </row>
    <row r="77" spans="2:20" x14ac:dyDescent="0.25">
      <c r="B77" s="5"/>
      <c r="C77" s="4" t="s">
        <v>1</v>
      </c>
      <c r="D77" s="75">
        <v>10.066813186813183</v>
      </c>
      <c r="E77" s="45"/>
      <c r="F77" s="14"/>
      <c r="G77" s="15"/>
      <c r="H77" s="98">
        <f t="shared" si="2"/>
        <v>10.066813186813183</v>
      </c>
      <c r="I77" s="75">
        <v>10.066813186813183</v>
      </c>
      <c r="J77" s="76">
        <f t="shared" si="3"/>
        <v>0</v>
      </c>
      <c r="L77" s="79"/>
      <c r="M77" s="77" t="s">
        <v>1</v>
      </c>
      <c r="N77" s="40">
        <v>10.066813186813183</v>
      </c>
      <c r="P77" s="29" t="s">
        <v>146</v>
      </c>
      <c r="Q77" s="29">
        <v>14.25</v>
      </c>
      <c r="S77" s="78">
        <v>27464</v>
      </c>
      <c r="T77" s="29">
        <v>10.25</v>
      </c>
    </row>
    <row r="78" spans="2:20" x14ac:dyDescent="0.25">
      <c r="B78" s="5"/>
      <c r="C78" s="4" t="s">
        <v>2</v>
      </c>
      <c r="D78" s="75">
        <v>9.7821739130434757</v>
      </c>
      <c r="E78" s="45"/>
      <c r="F78" s="14"/>
      <c r="G78" s="15"/>
      <c r="H78" s="98">
        <f t="shared" si="2"/>
        <v>9.7821739130434757</v>
      </c>
      <c r="I78" s="75">
        <v>9.7821739130434757</v>
      </c>
      <c r="J78" s="76">
        <f t="shared" si="3"/>
        <v>0</v>
      </c>
      <c r="L78" s="79"/>
      <c r="M78" s="77" t="s">
        <v>2</v>
      </c>
      <c r="N78" s="40">
        <v>9.7821739130434757</v>
      </c>
      <c r="P78" s="29" t="s">
        <v>147</v>
      </c>
      <c r="Q78" s="29">
        <v>14.13</v>
      </c>
      <c r="S78" s="78">
        <v>27465</v>
      </c>
      <c r="T78" s="29">
        <v>10.25</v>
      </c>
    </row>
    <row r="79" spans="2:20" x14ac:dyDescent="0.25">
      <c r="B79" s="5"/>
      <c r="C79" s="4" t="s">
        <v>3</v>
      </c>
      <c r="D79" s="75">
        <v>7.5104347826086926</v>
      </c>
      <c r="E79" s="45"/>
      <c r="F79" s="14"/>
      <c r="G79" s="15"/>
      <c r="H79" s="98">
        <f t="shared" si="2"/>
        <v>7.5104347826086926</v>
      </c>
      <c r="I79" s="75">
        <v>7.5104347826086926</v>
      </c>
      <c r="J79" s="76">
        <f t="shared" si="3"/>
        <v>0</v>
      </c>
      <c r="L79" s="79"/>
      <c r="M79" s="77" t="s">
        <v>3</v>
      </c>
      <c r="N79" s="40">
        <v>7.5104347826086926</v>
      </c>
      <c r="P79" s="29" t="s">
        <v>148</v>
      </c>
      <c r="Q79" s="29">
        <v>14</v>
      </c>
      <c r="S79" s="78">
        <v>27466</v>
      </c>
      <c r="T79" s="29">
        <v>10.25</v>
      </c>
    </row>
    <row r="80" spans="2:20" x14ac:dyDescent="0.25">
      <c r="B80" s="5">
        <v>1993</v>
      </c>
      <c r="C80" s="4" t="s">
        <v>0</v>
      </c>
      <c r="D80" s="75">
        <v>6.1577777777777749</v>
      </c>
      <c r="E80" s="45"/>
      <c r="F80" s="14"/>
      <c r="G80" s="15"/>
      <c r="H80" s="98">
        <f t="shared" si="2"/>
        <v>6.1577777777777749</v>
      </c>
      <c r="I80" s="75">
        <v>6.1577777777777749</v>
      </c>
      <c r="J80" s="76">
        <f t="shared" si="3"/>
        <v>0</v>
      </c>
      <c r="L80" s="79">
        <v>1993</v>
      </c>
      <c r="M80" s="77" t="s">
        <v>0</v>
      </c>
      <c r="N80" s="40">
        <v>6.1577777777777749</v>
      </c>
      <c r="P80" s="29" t="s">
        <v>149</v>
      </c>
      <c r="Q80" s="29">
        <v>13.88</v>
      </c>
      <c r="S80" s="78">
        <v>27467</v>
      </c>
      <c r="T80" s="29">
        <v>10.25</v>
      </c>
    </row>
    <row r="81" spans="2:20" x14ac:dyDescent="0.25">
      <c r="B81" s="5"/>
      <c r="C81" s="4" t="s">
        <v>1</v>
      </c>
      <c r="D81" s="75">
        <v>5.8799999999999963</v>
      </c>
      <c r="E81" s="45"/>
      <c r="F81" s="14"/>
      <c r="G81" s="15"/>
      <c r="H81" s="98">
        <f t="shared" si="2"/>
        <v>5.8799999999999963</v>
      </c>
      <c r="I81" s="75">
        <v>5.8799999999999963</v>
      </c>
      <c r="J81" s="76">
        <f t="shared" si="3"/>
        <v>0</v>
      </c>
      <c r="L81" s="79"/>
      <c r="M81" s="77" t="s">
        <v>1</v>
      </c>
      <c r="N81" s="40">
        <v>5.8799999999999963</v>
      </c>
      <c r="P81" s="29" t="s">
        <v>150</v>
      </c>
      <c r="Q81" s="29">
        <v>13.81</v>
      </c>
      <c r="S81" s="78">
        <v>27468</v>
      </c>
      <c r="T81" s="29">
        <v>10.25</v>
      </c>
    </row>
    <row r="82" spans="2:20" x14ac:dyDescent="0.25">
      <c r="B82" s="5"/>
      <c r="C82" s="4" t="s">
        <v>2</v>
      </c>
      <c r="D82" s="75">
        <v>5.8799999999999963</v>
      </c>
      <c r="E82" s="45"/>
      <c r="F82" s="14"/>
      <c r="G82" s="15"/>
      <c r="H82" s="98">
        <f t="shared" si="2"/>
        <v>5.8799999999999963</v>
      </c>
      <c r="I82" s="75">
        <v>5.8799999999999963</v>
      </c>
      <c r="J82" s="76">
        <f t="shared" si="3"/>
        <v>0</v>
      </c>
      <c r="L82" s="79"/>
      <c r="M82" s="77" t="s">
        <v>2</v>
      </c>
      <c r="N82" s="40">
        <v>5.8799999999999963</v>
      </c>
      <c r="P82" s="29" t="s">
        <v>151</v>
      </c>
      <c r="Q82" s="29">
        <v>13.63</v>
      </c>
      <c r="S82" s="78">
        <v>27469</v>
      </c>
      <c r="T82" s="29">
        <v>10.25</v>
      </c>
    </row>
    <row r="83" spans="2:20" x14ac:dyDescent="0.25">
      <c r="B83" s="5"/>
      <c r="C83" s="4" t="s">
        <v>3</v>
      </c>
      <c r="D83" s="75">
        <v>5.6680434782608664</v>
      </c>
      <c r="E83" s="45"/>
      <c r="F83" s="14"/>
      <c r="G83" s="15"/>
      <c r="H83" s="98">
        <f t="shared" si="2"/>
        <v>5.6680434782608664</v>
      </c>
      <c r="I83" s="75">
        <v>5.6680434782608664</v>
      </c>
      <c r="J83" s="76">
        <f t="shared" si="3"/>
        <v>0</v>
      </c>
      <c r="L83" s="79"/>
      <c r="M83" s="77" t="s">
        <v>3</v>
      </c>
      <c r="N83" s="40">
        <v>5.6680434782608664</v>
      </c>
      <c r="P83" s="29" t="s">
        <v>152</v>
      </c>
      <c r="Q83" s="29">
        <v>13.25</v>
      </c>
      <c r="S83" s="78">
        <v>27470</v>
      </c>
      <c r="T83" s="29">
        <v>10.25</v>
      </c>
    </row>
    <row r="84" spans="2:20" x14ac:dyDescent="0.25">
      <c r="B84" s="5">
        <v>1994</v>
      </c>
      <c r="C84" s="4" t="s">
        <v>0</v>
      </c>
      <c r="D84" s="75">
        <v>5.2355555555555524</v>
      </c>
      <c r="E84" s="45"/>
      <c r="F84" s="14"/>
      <c r="G84" s="15"/>
      <c r="H84" s="98">
        <f t="shared" si="2"/>
        <v>5.2355555555555524</v>
      </c>
      <c r="I84" s="75">
        <v>5.2355555555555524</v>
      </c>
      <c r="J84" s="76">
        <f t="shared" si="3"/>
        <v>0</v>
      </c>
      <c r="L84" s="79">
        <v>1994</v>
      </c>
      <c r="M84" s="77" t="s">
        <v>0</v>
      </c>
      <c r="N84" s="40">
        <v>5.2355555555555524</v>
      </c>
      <c r="P84" s="29" t="s">
        <v>153</v>
      </c>
      <c r="Q84" s="29">
        <v>13.13</v>
      </c>
      <c r="S84" s="78">
        <v>27471</v>
      </c>
      <c r="T84" s="29">
        <v>10.25</v>
      </c>
    </row>
    <row r="85" spans="2:20" x14ac:dyDescent="0.25">
      <c r="B85" s="5"/>
      <c r="C85" s="4" t="s">
        <v>1</v>
      </c>
      <c r="D85" s="75">
        <v>5.1299999999999963</v>
      </c>
      <c r="E85" s="45"/>
      <c r="F85" s="14"/>
      <c r="G85" s="15"/>
      <c r="H85" s="98">
        <f t="shared" si="2"/>
        <v>5.1299999999999963</v>
      </c>
      <c r="I85" s="75">
        <v>5.1299999999999963</v>
      </c>
      <c r="J85" s="76">
        <f t="shared" si="3"/>
        <v>0</v>
      </c>
      <c r="L85" s="79"/>
      <c r="M85" s="77" t="s">
        <v>1</v>
      </c>
      <c r="N85" s="40">
        <v>5.1299999999999963</v>
      </c>
      <c r="P85" s="29" t="s">
        <v>154</v>
      </c>
      <c r="Q85" s="29">
        <v>13</v>
      </c>
      <c r="S85" s="78">
        <v>27472</v>
      </c>
      <c r="T85" s="29">
        <v>10.25</v>
      </c>
    </row>
    <row r="86" spans="2:20" x14ac:dyDescent="0.25">
      <c r="B86" s="5"/>
      <c r="C86" s="4" t="s">
        <v>2</v>
      </c>
      <c r="D86" s="75">
        <v>5.2332608695652141</v>
      </c>
      <c r="E86" s="45"/>
      <c r="F86" s="14"/>
      <c r="G86" s="15"/>
      <c r="H86" s="98">
        <f t="shared" si="2"/>
        <v>5.2332608695652141</v>
      </c>
      <c r="I86" s="75">
        <v>5.2332608695652141</v>
      </c>
      <c r="J86" s="76">
        <f t="shared" si="3"/>
        <v>0</v>
      </c>
      <c r="L86" s="79"/>
      <c r="M86" s="77" t="s">
        <v>2</v>
      </c>
      <c r="N86" s="40">
        <v>5.2332608695652141</v>
      </c>
      <c r="P86" s="29" t="s">
        <v>155</v>
      </c>
      <c r="Q86" s="29">
        <v>13.13</v>
      </c>
      <c r="S86" s="78">
        <v>27473</v>
      </c>
      <c r="T86" s="29">
        <v>10.25</v>
      </c>
    </row>
    <row r="87" spans="2:20" x14ac:dyDescent="0.25">
      <c r="B87" s="5"/>
      <c r="C87" s="4" t="s">
        <v>3</v>
      </c>
      <c r="D87" s="75">
        <v>5.7658695652173879</v>
      </c>
      <c r="E87" s="45"/>
      <c r="F87" s="14"/>
      <c r="G87" s="15"/>
      <c r="H87" s="98">
        <f t="shared" si="2"/>
        <v>5.7658695652173879</v>
      </c>
      <c r="I87" s="75">
        <v>5.7658695652173879</v>
      </c>
      <c r="J87" s="76">
        <f t="shared" si="3"/>
        <v>0</v>
      </c>
      <c r="L87" s="79"/>
      <c r="M87" s="77" t="s">
        <v>3</v>
      </c>
      <c r="N87" s="40">
        <v>5.7658695652173879</v>
      </c>
      <c r="P87" s="29" t="s">
        <v>156</v>
      </c>
      <c r="Q87" s="29">
        <v>12.63</v>
      </c>
      <c r="S87" s="78">
        <v>27474</v>
      </c>
      <c r="T87" s="29">
        <v>10.25</v>
      </c>
    </row>
    <row r="88" spans="2:20" x14ac:dyDescent="0.25">
      <c r="B88" s="5">
        <v>1995</v>
      </c>
      <c r="C88" s="4" t="s">
        <v>0</v>
      </c>
      <c r="D88" s="75">
        <v>6.4522222222222192</v>
      </c>
      <c r="E88" s="14"/>
      <c r="F88" s="14"/>
      <c r="G88" s="15"/>
      <c r="H88" s="98">
        <f t="shared" si="2"/>
        <v>6.4522222222222192</v>
      </c>
      <c r="I88" s="75">
        <v>6.4522222222222192</v>
      </c>
      <c r="J88" s="76">
        <f t="shared" si="3"/>
        <v>0</v>
      </c>
      <c r="L88" s="79">
        <v>1995</v>
      </c>
      <c r="M88" s="77" t="s">
        <v>0</v>
      </c>
      <c r="N88" s="40">
        <v>6.4522222222222192</v>
      </c>
      <c r="P88" s="29" t="s">
        <v>157</v>
      </c>
      <c r="Q88" s="29">
        <v>12.5</v>
      </c>
      <c r="S88" s="78">
        <v>27475</v>
      </c>
      <c r="T88" s="29">
        <v>10.25</v>
      </c>
    </row>
    <row r="89" spans="2:20" x14ac:dyDescent="0.25">
      <c r="B89" s="5"/>
      <c r="C89" s="4" t="s">
        <v>1</v>
      </c>
      <c r="D89" s="75">
        <v>6.6299999999999963</v>
      </c>
      <c r="E89" s="14"/>
      <c r="F89" s="14"/>
      <c r="G89" s="15"/>
      <c r="H89" s="98">
        <f t="shared" si="2"/>
        <v>6.6299999999999963</v>
      </c>
      <c r="I89" s="75">
        <v>6.6299999999999963</v>
      </c>
      <c r="J89" s="76">
        <f t="shared" si="3"/>
        <v>0</v>
      </c>
      <c r="L89" s="79"/>
      <c r="M89" s="77" t="s">
        <v>1</v>
      </c>
      <c r="N89" s="40">
        <v>6.6299999999999963</v>
      </c>
      <c r="P89" s="29" t="s">
        <v>158</v>
      </c>
      <c r="Q89" s="29">
        <v>12.25</v>
      </c>
      <c r="S89" s="78">
        <v>27476</v>
      </c>
      <c r="T89" s="29">
        <v>10.25</v>
      </c>
    </row>
    <row r="90" spans="2:20" x14ac:dyDescent="0.25">
      <c r="B90" s="5"/>
      <c r="C90" s="4" t="s">
        <v>2</v>
      </c>
      <c r="D90" s="75">
        <v>6.6299999999999963</v>
      </c>
      <c r="E90" s="14"/>
      <c r="F90" s="14"/>
      <c r="G90" s="15"/>
      <c r="H90" s="98">
        <f t="shared" si="2"/>
        <v>6.6299999999999963</v>
      </c>
      <c r="I90" s="75">
        <v>6.6299999999999963</v>
      </c>
      <c r="J90" s="76">
        <f t="shared" si="3"/>
        <v>0</v>
      </c>
      <c r="L90" s="79"/>
      <c r="M90" s="77" t="s">
        <v>2</v>
      </c>
      <c r="N90" s="40">
        <v>6.6299999999999963</v>
      </c>
      <c r="P90" s="29" t="s">
        <v>159</v>
      </c>
      <c r="Q90" s="29">
        <v>12.13</v>
      </c>
      <c r="S90" s="78">
        <v>27477</v>
      </c>
      <c r="T90" s="29">
        <v>10</v>
      </c>
    </row>
    <row r="91" spans="2:20" x14ac:dyDescent="0.25">
      <c r="B91" s="5"/>
      <c r="C91" s="4" t="s">
        <v>3</v>
      </c>
      <c r="D91" s="75">
        <v>6.5783695652173879</v>
      </c>
      <c r="E91" s="14"/>
      <c r="F91" s="14"/>
      <c r="G91" s="15"/>
      <c r="H91" s="98">
        <f t="shared" si="2"/>
        <v>6.5783695652173879</v>
      </c>
      <c r="I91" s="75">
        <v>6.5783695652173879</v>
      </c>
      <c r="J91" s="76">
        <f t="shared" si="3"/>
        <v>0</v>
      </c>
      <c r="L91" s="79"/>
      <c r="M91" s="77" t="s">
        <v>3</v>
      </c>
      <c r="N91" s="40">
        <v>6.5783695652173879</v>
      </c>
      <c r="P91" s="29" t="s">
        <v>160</v>
      </c>
      <c r="Q91" s="29">
        <v>12.06</v>
      </c>
      <c r="S91" s="78">
        <v>27478</v>
      </c>
      <c r="T91" s="29">
        <v>10</v>
      </c>
    </row>
    <row r="92" spans="2:20" x14ac:dyDescent="0.25">
      <c r="B92" s="5">
        <v>1996</v>
      </c>
      <c r="C92" s="4" t="s">
        <v>0</v>
      </c>
      <c r="D92" s="75">
        <v>6.1265934065934076</v>
      </c>
      <c r="E92" s="46"/>
      <c r="F92" s="14"/>
      <c r="G92" s="15"/>
      <c r="H92" s="98">
        <f t="shared" si="2"/>
        <v>6.1265934065934076</v>
      </c>
      <c r="I92" s="75">
        <v>6.1265934065934076</v>
      </c>
      <c r="J92" s="76">
        <f t="shared" si="3"/>
        <v>0</v>
      </c>
      <c r="L92" s="79">
        <v>1996</v>
      </c>
      <c r="M92" s="77" t="s">
        <v>0</v>
      </c>
      <c r="N92" s="40">
        <v>6.1265934065934076</v>
      </c>
      <c r="P92" s="29" t="s">
        <v>161</v>
      </c>
      <c r="Q92" s="29">
        <v>11.94</v>
      </c>
      <c r="S92" s="78">
        <v>27479</v>
      </c>
      <c r="T92" s="29">
        <v>10</v>
      </c>
    </row>
    <row r="93" spans="2:20" x14ac:dyDescent="0.25">
      <c r="B93" s="5"/>
      <c r="C93" s="4" t="s">
        <v>1</v>
      </c>
      <c r="D93" s="75">
        <v>5.871318681318682</v>
      </c>
      <c r="E93" s="46"/>
      <c r="F93" s="14"/>
      <c r="G93" s="15"/>
      <c r="H93" s="98">
        <f t="shared" si="2"/>
        <v>5.871318681318682</v>
      </c>
      <c r="I93" s="75">
        <v>5.871318681318682</v>
      </c>
      <c r="J93" s="76">
        <f t="shared" si="3"/>
        <v>0</v>
      </c>
      <c r="L93" s="79"/>
      <c r="M93" s="77" t="s">
        <v>1</v>
      </c>
      <c r="N93" s="40">
        <v>5.871318681318682</v>
      </c>
      <c r="P93" s="29" t="s">
        <v>162</v>
      </c>
      <c r="Q93" s="29">
        <v>11.81</v>
      </c>
      <c r="S93" s="78">
        <v>27480</v>
      </c>
      <c r="T93" s="29">
        <v>10</v>
      </c>
    </row>
    <row r="94" spans="2:20" x14ac:dyDescent="0.25">
      <c r="B94" s="5"/>
      <c r="C94" s="4" t="s">
        <v>2</v>
      </c>
      <c r="D94" s="75">
        <v>5.69</v>
      </c>
      <c r="E94" s="46"/>
      <c r="F94" s="14"/>
      <c r="G94" s="15"/>
      <c r="H94" s="98">
        <f t="shared" si="2"/>
        <v>5.69</v>
      </c>
      <c r="I94" s="75">
        <v>5.69</v>
      </c>
      <c r="J94" s="76">
        <f t="shared" si="3"/>
        <v>0</v>
      </c>
      <c r="L94" s="79"/>
      <c r="M94" s="77" t="s">
        <v>2</v>
      </c>
      <c r="N94" s="40">
        <v>5.69</v>
      </c>
      <c r="P94" s="29" t="s">
        <v>163</v>
      </c>
      <c r="Q94" s="29">
        <v>11.75</v>
      </c>
      <c r="S94" s="78">
        <v>27481</v>
      </c>
      <c r="T94" s="29">
        <v>10</v>
      </c>
    </row>
    <row r="95" spans="2:20" x14ac:dyDescent="0.25">
      <c r="B95" s="5"/>
      <c r="C95" s="4" t="s">
        <v>3</v>
      </c>
      <c r="D95" s="75">
        <v>5.8611956521739144</v>
      </c>
      <c r="E95" s="46"/>
      <c r="F95" s="14"/>
      <c r="G95" s="15"/>
      <c r="H95" s="98">
        <f t="shared" si="2"/>
        <v>5.8611956521739144</v>
      </c>
      <c r="I95" s="75">
        <v>5.8611956521739144</v>
      </c>
      <c r="J95" s="76">
        <f t="shared" si="3"/>
        <v>0</v>
      </c>
      <c r="L95" s="79"/>
      <c r="M95" s="77" t="s">
        <v>3</v>
      </c>
      <c r="N95" s="40">
        <v>5.8611956521739144</v>
      </c>
      <c r="P95" s="29" t="s">
        <v>164</v>
      </c>
      <c r="Q95" s="29">
        <v>11.63</v>
      </c>
      <c r="S95" s="78">
        <v>27482</v>
      </c>
      <c r="T95" s="29">
        <v>10</v>
      </c>
    </row>
    <row r="96" spans="2:20" x14ac:dyDescent="0.25">
      <c r="B96" s="5">
        <v>1997</v>
      </c>
      <c r="C96" s="4" t="s">
        <v>0</v>
      </c>
      <c r="D96" s="75">
        <v>5.94</v>
      </c>
      <c r="E96" s="46"/>
      <c r="F96" s="14"/>
      <c r="G96" s="15"/>
      <c r="H96" s="98">
        <f t="shared" si="2"/>
        <v>5.94</v>
      </c>
      <c r="I96" s="75">
        <v>5.94</v>
      </c>
      <c r="J96" s="76">
        <f t="shared" si="3"/>
        <v>0</v>
      </c>
      <c r="L96" s="79">
        <v>1997</v>
      </c>
      <c r="M96" s="77" t="s">
        <v>0</v>
      </c>
      <c r="N96" s="40">
        <v>5.94</v>
      </c>
      <c r="P96" s="29" t="s">
        <v>165</v>
      </c>
      <c r="Q96" s="29">
        <v>11.56</v>
      </c>
      <c r="S96" s="78">
        <v>27483</v>
      </c>
      <c r="T96" s="29">
        <v>10</v>
      </c>
    </row>
    <row r="97" spans="2:21" x14ac:dyDescent="0.25">
      <c r="B97" s="5"/>
      <c r="C97" s="4" t="s">
        <v>1</v>
      </c>
      <c r="D97" s="75">
        <v>6.1994505494505496</v>
      </c>
      <c r="E97" s="46"/>
      <c r="F97" s="6"/>
      <c r="G97" s="15"/>
      <c r="H97" s="98">
        <f t="shared" si="2"/>
        <v>6.1994505494505496</v>
      </c>
      <c r="I97" s="75">
        <v>6.1994505494505496</v>
      </c>
      <c r="J97" s="76">
        <f t="shared" si="3"/>
        <v>0</v>
      </c>
      <c r="L97" s="79"/>
      <c r="M97" s="77" t="s">
        <v>1</v>
      </c>
      <c r="N97" s="40">
        <v>6.1994505494505496</v>
      </c>
      <c r="P97" s="29" t="s">
        <v>166</v>
      </c>
      <c r="Q97" s="29">
        <v>11.5</v>
      </c>
      <c r="S97" s="78">
        <v>27484</v>
      </c>
      <c r="T97" s="29">
        <v>10</v>
      </c>
      <c r="U97" s="40">
        <f>AVERAGE(T8:T97)</f>
        <v>10.783333333333333</v>
      </c>
    </row>
    <row r="98" spans="2:21" x14ac:dyDescent="0.25">
      <c r="B98" s="5"/>
      <c r="C98" s="4" t="s">
        <v>2</v>
      </c>
      <c r="D98" s="75">
        <v>6.875</v>
      </c>
      <c r="E98" s="46"/>
      <c r="F98" s="6"/>
      <c r="G98" s="15"/>
      <c r="H98" s="98">
        <f t="shared" si="2"/>
        <v>6.875</v>
      </c>
      <c r="I98" s="75">
        <v>6.875</v>
      </c>
      <c r="J98" s="76">
        <f t="shared" si="3"/>
        <v>0</v>
      </c>
      <c r="L98" s="79"/>
      <c r="M98" s="77" t="s">
        <v>2</v>
      </c>
      <c r="N98" s="40">
        <v>6.875</v>
      </c>
      <c r="P98" s="29" t="s">
        <v>167</v>
      </c>
      <c r="Q98" s="29">
        <v>11.38</v>
      </c>
      <c r="S98" s="78">
        <v>27485</v>
      </c>
      <c r="T98" s="29">
        <v>10</v>
      </c>
    </row>
    <row r="99" spans="2:21" x14ac:dyDescent="0.25">
      <c r="B99" s="5"/>
      <c r="C99" s="4" t="s">
        <v>3</v>
      </c>
      <c r="D99" s="75">
        <v>7.1521739130434785</v>
      </c>
      <c r="E99" s="46"/>
      <c r="F99" s="6"/>
      <c r="G99" s="15"/>
      <c r="H99" s="98">
        <f t="shared" si="2"/>
        <v>7.1521739130434785</v>
      </c>
      <c r="I99" s="75">
        <v>7.1521739130434785</v>
      </c>
      <c r="J99" s="76">
        <f t="shared" si="3"/>
        <v>0</v>
      </c>
      <c r="L99" s="79"/>
      <c r="M99" s="77" t="s">
        <v>3</v>
      </c>
      <c r="N99" s="40">
        <v>7.1521739130434785</v>
      </c>
      <c r="P99" s="29" t="s">
        <v>168</v>
      </c>
      <c r="Q99" s="29">
        <v>11.25</v>
      </c>
      <c r="S99" s="78">
        <v>27486</v>
      </c>
      <c r="T99" s="29">
        <v>10</v>
      </c>
    </row>
    <row r="100" spans="2:21" x14ac:dyDescent="0.25">
      <c r="B100" s="5">
        <v>1998</v>
      </c>
      <c r="C100" s="4" t="s">
        <v>0</v>
      </c>
      <c r="D100" s="75">
        <v>7.25</v>
      </c>
      <c r="E100" s="46"/>
      <c r="F100" s="6"/>
      <c r="G100" s="15"/>
      <c r="H100" s="98">
        <f t="shared" si="2"/>
        <v>7.25</v>
      </c>
      <c r="I100" s="75">
        <v>7.25</v>
      </c>
      <c r="J100" s="76">
        <f t="shared" si="3"/>
        <v>0</v>
      </c>
      <c r="L100" s="79">
        <v>1998</v>
      </c>
      <c r="M100" s="77" t="s">
        <v>0</v>
      </c>
      <c r="N100" s="40">
        <v>7.25</v>
      </c>
      <c r="P100" s="29" t="s">
        <v>169</v>
      </c>
      <c r="Q100" s="29">
        <v>11.13</v>
      </c>
      <c r="S100" s="78">
        <v>27487</v>
      </c>
      <c r="T100" s="29">
        <v>10</v>
      </c>
    </row>
    <row r="101" spans="2:21" x14ac:dyDescent="0.25">
      <c r="B101" s="5"/>
      <c r="C101" s="4" t="s">
        <v>1</v>
      </c>
      <c r="D101" s="75">
        <v>7.3241758241758239</v>
      </c>
      <c r="E101" s="46"/>
      <c r="F101" s="6"/>
      <c r="G101" s="15"/>
      <c r="H101" s="98">
        <f t="shared" si="2"/>
        <v>7.3241758241758239</v>
      </c>
      <c r="I101" s="75">
        <v>7.3241758241758239</v>
      </c>
      <c r="J101" s="76">
        <f t="shared" si="3"/>
        <v>0</v>
      </c>
      <c r="L101" s="79"/>
      <c r="M101" s="77" t="s">
        <v>1</v>
      </c>
      <c r="N101" s="40">
        <v>7.3241758241758239</v>
      </c>
      <c r="P101" s="29" t="s">
        <v>170</v>
      </c>
      <c r="Q101" s="29">
        <v>11</v>
      </c>
      <c r="S101" s="78">
        <v>27488</v>
      </c>
      <c r="T101" s="29">
        <v>10</v>
      </c>
    </row>
    <row r="102" spans="2:21" x14ac:dyDescent="0.25">
      <c r="B102" s="5"/>
      <c r="C102" s="4" t="s">
        <v>2</v>
      </c>
      <c r="D102" s="75">
        <v>7.5</v>
      </c>
      <c r="E102" s="46"/>
      <c r="F102" s="6"/>
      <c r="G102" s="15"/>
      <c r="H102" s="98">
        <f t="shared" si="2"/>
        <v>7.5</v>
      </c>
      <c r="I102" s="75">
        <v>7.5</v>
      </c>
      <c r="J102" s="76">
        <f t="shared" si="3"/>
        <v>0</v>
      </c>
      <c r="L102" s="79"/>
      <c r="M102" s="77" t="s">
        <v>2</v>
      </c>
      <c r="N102" s="40">
        <v>7.5</v>
      </c>
      <c r="P102" s="29" t="s">
        <v>171</v>
      </c>
      <c r="Q102" s="29">
        <v>10.88</v>
      </c>
      <c r="S102" s="78">
        <v>27489</v>
      </c>
      <c r="T102" s="29">
        <v>10</v>
      </c>
    </row>
    <row r="103" spans="2:21" x14ac:dyDescent="0.25">
      <c r="B103" s="5"/>
      <c r="C103" s="4" t="s">
        <v>3</v>
      </c>
      <c r="D103" s="75">
        <v>6.8396739130434785</v>
      </c>
      <c r="E103" s="46"/>
      <c r="F103" s="6"/>
      <c r="G103" s="15"/>
      <c r="H103" s="98">
        <f t="shared" si="2"/>
        <v>6.8396739130434785</v>
      </c>
      <c r="I103" s="75">
        <v>6.8396739130434785</v>
      </c>
      <c r="J103" s="76">
        <f t="shared" si="3"/>
        <v>0</v>
      </c>
      <c r="L103" s="79"/>
      <c r="M103" s="77" t="s">
        <v>3</v>
      </c>
      <c r="N103" s="40">
        <v>6.8396739130434785</v>
      </c>
      <c r="P103" s="29" t="s">
        <v>172</v>
      </c>
      <c r="Q103" s="29">
        <v>10.63</v>
      </c>
      <c r="S103" s="78">
        <v>27490</v>
      </c>
      <c r="T103" s="29">
        <v>10</v>
      </c>
    </row>
    <row r="104" spans="2:21" x14ac:dyDescent="0.25">
      <c r="B104" s="5">
        <v>1999</v>
      </c>
      <c r="C104" s="4" t="s">
        <v>0</v>
      </c>
      <c r="D104" s="75">
        <v>5.7055555555555557</v>
      </c>
      <c r="E104" s="46"/>
      <c r="F104" s="6"/>
      <c r="G104" s="15"/>
      <c r="H104" s="98">
        <f t="shared" si="2"/>
        <v>5.7055555555555557</v>
      </c>
      <c r="I104" s="75">
        <v>5.7055555555555557</v>
      </c>
      <c r="J104" s="76">
        <f t="shared" si="3"/>
        <v>0</v>
      </c>
      <c r="L104" s="79">
        <v>1999</v>
      </c>
      <c r="M104" s="77" t="s">
        <v>0</v>
      </c>
      <c r="N104" s="40">
        <v>5.7055555555555557</v>
      </c>
      <c r="P104" s="29" t="s">
        <v>173</v>
      </c>
      <c r="Q104" s="29">
        <v>10.5</v>
      </c>
      <c r="S104" s="78">
        <v>27491</v>
      </c>
      <c r="T104" s="29">
        <v>10</v>
      </c>
    </row>
    <row r="105" spans="2:21" x14ac:dyDescent="0.25">
      <c r="B105" s="5"/>
      <c r="C105" s="4" t="s">
        <v>1</v>
      </c>
      <c r="D105" s="75">
        <v>5.2115384615384617</v>
      </c>
      <c r="E105" s="46"/>
      <c r="F105" s="6"/>
      <c r="G105" s="15"/>
      <c r="H105" s="98">
        <f t="shared" si="2"/>
        <v>5.2115384615384617</v>
      </c>
      <c r="I105" s="75">
        <v>5.2115384615384617</v>
      </c>
      <c r="J105" s="76">
        <f t="shared" si="3"/>
        <v>0</v>
      </c>
      <c r="L105" s="79"/>
      <c r="M105" s="77" t="s">
        <v>1</v>
      </c>
      <c r="N105" s="40">
        <v>5.2115384615384617</v>
      </c>
      <c r="P105" s="29" t="s">
        <v>174</v>
      </c>
      <c r="Q105" s="29">
        <v>10.38</v>
      </c>
      <c r="S105" s="78">
        <v>27492</v>
      </c>
      <c r="T105" s="29">
        <v>10</v>
      </c>
    </row>
    <row r="106" spans="2:21" x14ac:dyDescent="0.25">
      <c r="B106" s="5"/>
      <c r="C106" s="4" t="s">
        <v>2</v>
      </c>
      <c r="D106" s="75">
        <v>5.0625</v>
      </c>
      <c r="E106" s="46"/>
      <c r="F106" s="6"/>
      <c r="G106" s="15"/>
      <c r="H106" s="98">
        <f t="shared" si="2"/>
        <v>5.0625</v>
      </c>
      <c r="I106" s="75">
        <v>5.0625</v>
      </c>
      <c r="J106" s="76">
        <f t="shared" si="3"/>
        <v>0</v>
      </c>
      <c r="L106" s="79"/>
      <c r="M106" s="77" t="s">
        <v>2</v>
      </c>
      <c r="N106" s="40">
        <v>5.0625</v>
      </c>
      <c r="P106" s="29" t="s">
        <v>175</v>
      </c>
      <c r="Q106" s="29">
        <v>10.25</v>
      </c>
      <c r="S106" s="78">
        <v>27493</v>
      </c>
      <c r="T106" s="29">
        <v>10</v>
      </c>
    </row>
    <row r="107" spans="2:21" x14ac:dyDescent="0.25">
      <c r="B107" s="5"/>
      <c r="C107" s="4" t="s">
        <v>3</v>
      </c>
      <c r="D107" s="75">
        <v>5.4076086956521738</v>
      </c>
      <c r="E107" s="46"/>
      <c r="F107" s="6"/>
      <c r="G107" s="15"/>
      <c r="H107" s="98">
        <f t="shared" si="2"/>
        <v>5.4076086956521738</v>
      </c>
      <c r="I107" s="75">
        <v>5.4076086956521738</v>
      </c>
      <c r="J107" s="76">
        <f t="shared" si="3"/>
        <v>0</v>
      </c>
      <c r="L107" s="79"/>
      <c r="M107" s="77" t="s">
        <v>3</v>
      </c>
      <c r="N107" s="40">
        <v>5.4076086956521738</v>
      </c>
      <c r="P107" s="29" t="s">
        <v>176</v>
      </c>
      <c r="Q107" s="29">
        <v>10.130000000000001</v>
      </c>
      <c r="S107" s="78">
        <v>27494</v>
      </c>
      <c r="T107" s="29">
        <v>10</v>
      </c>
    </row>
    <row r="108" spans="2:21" x14ac:dyDescent="0.25">
      <c r="B108" s="5">
        <v>2000</v>
      </c>
      <c r="C108" s="4" t="s">
        <v>0</v>
      </c>
      <c r="D108" s="75">
        <v>5.8571428571428568</v>
      </c>
      <c r="E108" s="46"/>
      <c r="F108" s="6"/>
      <c r="G108" s="15"/>
      <c r="H108" s="98">
        <f t="shared" si="2"/>
        <v>5.8571428571428568</v>
      </c>
      <c r="I108" s="75">
        <v>5.8571428571428568</v>
      </c>
      <c r="J108" s="76">
        <f t="shared" si="3"/>
        <v>0</v>
      </c>
      <c r="L108" s="79">
        <v>2000</v>
      </c>
      <c r="M108" s="77" t="s">
        <v>0</v>
      </c>
      <c r="N108" s="40">
        <v>5.8571428571428568</v>
      </c>
      <c r="P108" s="29" t="s">
        <v>177</v>
      </c>
      <c r="Q108" s="29">
        <v>9.6300000000000008</v>
      </c>
      <c r="S108" s="78">
        <v>27495</v>
      </c>
      <c r="T108" s="29">
        <v>10</v>
      </c>
    </row>
    <row r="109" spans="2:21" x14ac:dyDescent="0.25">
      <c r="B109" s="5"/>
      <c r="C109" s="4" t="s">
        <v>1</v>
      </c>
      <c r="D109" s="75">
        <v>6</v>
      </c>
      <c r="E109" s="46"/>
      <c r="F109" s="6"/>
      <c r="G109" s="15"/>
      <c r="H109" s="98">
        <f t="shared" si="2"/>
        <v>6</v>
      </c>
      <c r="I109" s="75">
        <v>6</v>
      </c>
      <c r="J109" s="76">
        <f t="shared" si="3"/>
        <v>0</v>
      </c>
      <c r="L109" s="79"/>
      <c r="M109" s="77" t="s">
        <v>1</v>
      </c>
      <c r="N109" s="40">
        <v>6</v>
      </c>
      <c r="P109" s="29" t="s">
        <v>178</v>
      </c>
      <c r="Q109" s="29">
        <v>9.3800000000000008</v>
      </c>
      <c r="S109" s="78">
        <v>27496</v>
      </c>
      <c r="T109" s="29">
        <v>10</v>
      </c>
    </row>
    <row r="110" spans="2:21" x14ac:dyDescent="0.25">
      <c r="B110" s="5"/>
      <c r="C110" s="4" t="s">
        <v>2</v>
      </c>
      <c r="D110" s="75">
        <v>6</v>
      </c>
      <c r="E110" s="46"/>
      <c r="F110" s="6"/>
      <c r="G110" s="15"/>
      <c r="H110" s="98">
        <f t="shared" si="2"/>
        <v>6</v>
      </c>
      <c r="I110" s="75">
        <v>6</v>
      </c>
      <c r="J110" s="76">
        <f t="shared" si="3"/>
        <v>0</v>
      </c>
      <c r="L110" s="79"/>
      <c r="M110" s="77" t="s">
        <v>2</v>
      </c>
      <c r="N110" s="40">
        <v>6</v>
      </c>
      <c r="P110" s="29" t="s">
        <v>179</v>
      </c>
      <c r="Q110" s="29">
        <v>9.1300000000000008</v>
      </c>
      <c r="S110" s="78">
        <v>27497</v>
      </c>
      <c r="T110" s="29">
        <v>10</v>
      </c>
    </row>
    <row r="111" spans="2:21" x14ac:dyDescent="0.25">
      <c r="B111" s="5"/>
      <c r="C111" s="4" t="s">
        <v>3</v>
      </c>
      <c r="D111" s="75">
        <v>6</v>
      </c>
      <c r="E111" s="46"/>
      <c r="F111" s="6"/>
      <c r="G111" s="15"/>
      <c r="H111" s="98">
        <f t="shared" si="2"/>
        <v>6</v>
      </c>
      <c r="I111" s="75">
        <v>6</v>
      </c>
      <c r="J111" s="76">
        <f t="shared" si="3"/>
        <v>0</v>
      </c>
      <c r="L111" s="79"/>
      <c r="M111" s="77" t="s">
        <v>3</v>
      </c>
      <c r="N111" s="40">
        <v>6</v>
      </c>
      <c r="P111" s="29" t="s">
        <v>180</v>
      </c>
      <c r="Q111" s="29">
        <v>10</v>
      </c>
      <c r="S111" s="78">
        <v>27498</v>
      </c>
      <c r="T111" s="29">
        <v>10</v>
      </c>
    </row>
    <row r="112" spans="2:21" x14ac:dyDescent="0.25">
      <c r="B112" s="5">
        <v>2001</v>
      </c>
      <c r="C112" s="4" t="s">
        <v>0</v>
      </c>
      <c r="D112" s="75">
        <v>5.8555555555555552</v>
      </c>
      <c r="E112" s="46"/>
      <c r="F112" s="6"/>
      <c r="G112" s="15"/>
      <c r="H112" s="98">
        <f t="shared" si="2"/>
        <v>5.8555555555555552</v>
      </c>
      <c r="I112" s="75">
        <v>5.8555555555555552</v>
      </c>
      <c r="J112" s="76">
        <f t="shared" si="3"/>
        <v>0</v>
      </c>
      <c r="L112" s="79">
        <v>2001</v>
      </c>
      <c r="M112" s="77" t="s">
        <v>0</v>
      </c>
      <c r="N112" s="40">
        <v>5.8555555555555552</v>
      </c>
      <c r="P112" s="29" t="s">
        <v>181</v>
      </c>
      <c r="Q112" s="29">
        <v>11</v>
      </c>
      <c r="S112" s="78">
        <v>27499</v>
      </c>
      <c r="T112" s="29">
        <v>10</v>
      </c>
    </row>
    <row r="113" spans="2:20" x14ac:dyDescent="0.25">
      <c r="B113" s="5"/>
      <c r="C113" s="4" t="s">
        <v>1</v>
      </c>
      <c r="D113" s="75">
        <v>5.3681318681318677</v>
      </c>
      <c r="E113" s="46"/>
      <c r="F113" s="6"/>
      <c r="G113" s="15"/>
      <c r="H113" s="98">
        <f t="shared" si="2"/>
        <v>5.3681318681318677</v>
      </c>
      <c r="I113" s="75">
        <v>5.3681318681318677</v>
      </c>
      <c r="J113" s="76">
        <f t="shared" si="3"/>
        <v>0</v>
      </c>
      <c r="L113" s="79"/>
      <c r="M113" s="77" t="s">
        <v>1</v>
      </c>
      <c r="N113" s="40">
        <v>5.3681318681318677</v>
      </c>
      <c r="P113" s="29" t="s">
        <v>182</v>
      </c>
      <c r="Q113" s="29">
        <v>10.56</v>
      </c>
      <c r="S113" s="78">
        <v>27500</v>
      </c>
      <c r="T113" s="29">
        <v>10</v>
      </c>
    </row>
    <row r="114" spans="2:20" x14ac:dyDescent="0.25">
      <c r="B114" s="5"/>
      <c r="C114" s="4" t="s">
        <v>2</v>
      </c>
      <c r="D114" s="75">
        <v>5.0516304347826084</v>
      </c>
      <c r="E114" s="46"/>
      <c r="F114" s="6"/>
      <c r="G114" s="15"/>
      <c r="H114" s="98">
        <f t="shared" si="2"/>
        <v>5.0516304347826084</v>
      </c>
      <c r="I114" s="75">
        <v>5.0516304347826084</v>
      </c>
      <c r="J114" s="76">
        <f t="shared" si="3"/>
        <v>0</v>
      </c>
      <c r="L114" s="79"/>
      <c r="M114" s="77" t="s">
        <v>2</v>
      </c>
      <c r="N114" s="40">
        <v>5.0516304347826084</v>
      </c>
      <c r="P114" s="29" t="s">
        <v>183</v>
      </c>
      <c r="Q114" s="29">
        <v>10.31</v>
      </c>
      <c r="S114" s="78">
        <v>27501</v>
      </c>
      <c r="T114" s="29">
        <v>10</v>
      </c>
    </row>
    <row r="115" spans="2:20" x14ac:dyDescent="0.25">
      <c r="B115" s="5"/>
      <c r="C115" s="4" t="s">
        <v>3</v>
      </c>
      <c r="D115" s="75">
        <v>4.2146739130434785</v>
      </c>
      <c r="E115" s="46"/>
      <c r="F115" s="6"/>
      <c r="G115" s="15"/>
      <c r="H115" s="98">
        <f t="shared" si="2"/>
        <v>4.2146739130434785</v>
      </c>
      <c r="I115" s="75">
        <v>4.2146739130434785</v>
      </c>
      <c r="J115" s="76">
        <f t="shared" si="3"/>
        <v>0</v>
      </c>
      <c r="L115" s="79"/>
      <c r="M115" s="77" t="s">
        <v>3</v>
      </c>
      <c r="N115" s="40">
        <v>4.2146739130434785</v>
      </c>
      <c r="P115" s="29" t="s">
        <v>184</v>
      </c>
      <c r="Q115" s="29">
        <v>10.06</v>
      </c>
      <c r="S115" s="78">
        <v>27502</v>
      </c>
      <c r="T115" s="29">
        <v>10</v>
      </c>
    </row>
    <row r="116" spans="2:20" x14ac:dyDescent="0.25">
      <c r="B116" s="5">
        <v>2002</v>
      </c>
      <c r="C116" s="4" t="s">
        <v>0</v>
      </c>
      <c r="D116" s="75">
        <v>4</v>
      </c>
      <c r="E116" s="46"/>
      <c r="F116" s="6"/>
      <c r="G116" s="15"/>
      <c r="H116" s="98">
        <f t="shared" si="2"/>
        <v>4</v>
      </c>
      <c r="I116" s="75">
        <v>4</v>
      </c>
      <c r="J116" s="76">
        <f t="shared" si="3"/>
        <v>0</v>
      </c>
      <c r="L116" s="79">
        <v>2002</v>
      </c>
      <c r="M116" s="77" t="s">
        <v>0</v>
      </c>
      <c r="N116" s="40">
        <v>4</v>
      </c>
      <c r="P116" s="29" t="s">
        <v>185</v>
      </c>
      <c r="Q116" s="29">
        <v>9.81</v>
      </c>
      <c r="S116" s="78">
        <v>27503</v>
      </c>
      <c r="T116" s="29">
        <v>10</v>
      </c>
    </row>
    <row r="117" spans="2:20" x14ac:dyDescent="0.25">
      <c r="B117" s="5"/>
      <c r="C117" s="4" t="s">
        <v>1</v>
      </c>
      <c r="D117" s="75">
        <v>4</v>
      </c>
      <c r="E117" s="46"/>
      <c r="F117" s="6"/>
      <c r="G117" s="15"/>
      <c r="H117" s="98">
        <f t="shared" si="2"/>
        <v>4</v>
      </c>
      <c r="I117" s="75">
        <v>4</v>
      </c>
      <c r="J117" s="76">
        <f t="shared" si="3"/>
        <v>0</v>
      </c>
      <c r="L117" s="79"/>
      <c r="M117" s="77" t="s">
        <v>1</v>
      </c>
      <c r="N117" s="40">
        <v>4</v>
      </c>
      <c r="P117" s="29" t="s">
        <v>186</v>
      </c>
      <c r="Q117" s="29">
        <v>9.56</v>
      </c>
      <c r="S117" s="78">
        <v>27504</v>
      </c>
      <c r="T117" s="29">
        <v>10</v>
      </c>
    </row>
    <row r="118" spans="2:20" x14ac:dyDescent="0.25">
      <c r="B118" s="5"/>
      <c r="C118" s="4" t="s">
        <v>2</v>
      </c>
      <c r="D118" s="75">
        <v>4</v>
      </c>
      <c r="E118" s="46"/>
      <c r="F118" s="6"/>
      <c r="G118" s="15"/>
      <c r="H118" s="98">
        <f t="shared" si="2"/>
        <v>4</v>
      </c>
      <c r="I118" s="75">
        <v>4</v>
      </c>
      <c r="J118" s="76">
        <f t="shared" si="3"/>
        <v>0</v>
      </c>
      <c r="L118" s="79"/>
      <c r="M118" s="77" t="s">
        <v>2</v>
      </c>
      <c r="N118" s="40">
        <v>4</v>
      </c>
      <c r="P118" s="29" t="s">
        <v>187</v>
      </c>
      <c r="Q118" s="29">
        <v>9.44</v>
      </c>
      <c r="S118" s="78">
        <v>27505</v>
      </c>
      <c r="T118" s="29">
        <v>9.75</v>
      </c>
    </row>
    <row r="119" spans="2:20" x14ac:dyDescent="0.25">
      <c r="B119" s="5"/>
      <c r="C119" s="4" t="s">
        <v>3</v>
      </c>
      <c r="D119" s="75">
        <v>4</v>
      </c>
      <c r="E119" s="46"/>
      <c r="F119" s="6"/>
      <c r="G119" s="15"/>
      <c r="H119" s="98">
        <f t="shared" si="2"/>
        <v>4</v>
      </c>
      <c r="I119" s="75">
        <v>4</v>
      </c>
      <c r="J119" s="76">
        <f t="shared" si="3"/>
        <v>0</v>
      </c>
      <c r="L119" s="79"/>
      <c r="M119" s="77" t="s">
        <v>3</v>
      </c>
      <c r="N119" s="40">
        <v>4</v>
      </c>
      <c r="P119" s="29" t="s">
        <v>188</v>
      </c>
      <c r="Q119" s="29">
        <v>9.56</v>
      </c>
      <c r="S119" s="78">
        <v>27506</v>
      </c>
      <c r="T119" s="29">
        <v>9.75</v>
      </c>
    </row>
    <row r="120" spans="2:20" x14ac:dyDescent="0.25">
      <c r="B120" s="5">
        <v>2003</v>
      </c>
      <c r="C120" s="4" t="s">
        <v>0</v>
      </c>
      <c r="D120" s="75">
        <v>3.85</v>
      </c>
      <c r="E120" s="46"/>
      <c r="F120" s="6"/>
      <c r="G120" s="15"/>
      <c r="H120" s="98">
        <f t="shared" si="2"/>
        <v>3.85</v>
      </c>
      <c r="I120" s="75">
        <v>3.85</v>
      </c>
      <c r="J120" s="76">
        <f t="shared" si="3"/>
        <v>0</v>
      </c>
      <c r="L120" s="79">
        <v>2003</v>
      </c>
      <c r="M120" s="77" t="s">
        <v>0</v>
      </c>
      <c r="N120" s="40">
        <v>3.85</v>
      </c>
      <c r="P120" s="29" t="s">
        <v>189</v>
      </c>
      <c r="Q120" s="29">
        <v>9.06</v>
      </c>
      <c r="S120" s="78">
        <v>27507</v>
      </c>
      <c r="T120" s="29">
        <v>9.75</v>
      </c>
    </row>
    <row r="121" spans="2:20" x14ac:dyDescent="0.25">
      <c r="B121" s="5"/>
      <c r="C121" s="4" t="s">
        <v>1</v>
      </c>
      <c r="D121" s="75">
        <v>3.75</v>
      </c>
      <c r="E121" s="46"/>
      <c r="F121" s="6"/>
      <c r="G121" s="15"/>
      <c r="H121" s="98">
        <f t="shared" si="2"/>
        <v>3.75</v>
      </c>
      <c r="I121" s="75">
        <v>3.75</v>
      </c>
      <c r="J121" s="76">
        <f t="shared" si="3"/>
        <v>0</v>
      </c>
      <c r="L121" s="79"/>
      <c r="M121" s="77" t="s">
        <v>1</v>
      </c>
      <c r="N121" s="40">
        <v>3.75</v>
      </c>
      <c r="P121" s="29" t="s">
        <v>190</v>
      </c>
      <c r="Q121" s="29">
        <v>8.81</v>
      </c>
      <c r="S121" s="78">
        <v>27508</v>
      </c>
      <c r="T121" s="29">
        <v>9.75</v>
      </c>
    </row>
    <row r="122" spans="2:20" x14ac:dyDescent="0.25">
      <c r="B122" s="5"/>
      <c r="C122" s="4" t="s">
        <v>2</v>
      </c>
      <c r="D122" s="75">
        <v>3.5244565217391304</v>
      </c>
      <c r="E122" s="46"/>
      <c r="F122" s="6"/>
      <c r="G122" s="15"/>
      <c r="H122" s="98">
        <f t="shared" si="2"/>
        <v>3.5244565217391304</v>
      </c>
      <c r="I122" s="75">
        <v>3.5244565217391304</v>
      </c>
      <c r="J122" s="76">
        <f t="shared" si="3"/>
        <v>0</v>
      </c>
      <c r="L122" s="79"/>
      <c r="M122" s="77" t="s">
        <v>2</v>
      </c>
      <c r="N122" s="40">
        <v>3.5244565217391304</v>
      </c>
      <c r="P122" s="29" t="s">
        <v>191</v>
      </c>
      <c r="Q122" s="29">
        <v>8.56</v>
      </c>
      <c r="S122" s="78">
        <v>27509</v>
      </c>
      <c r="T122" s="29">
        <v>9.75</v>
      </c>
    </row>
    <row r="123" spans="2:20" x14ac:dyDescent="0.25">
      <c r="B123" s="5"/>
      <c r="C123" s="4" t="s">
        <v>3</v>
      </c>
      <c r="D123" s="75">
        <v>3.652173913043478</v>
      </c>
      <c r="E123" s="46"/>
      <c r="F123" s="6"/>
      <c r="G123" s="15"/>
      <c r="H123" s="98">
        <f t="shared" si="2"/>
        <v>3.652173913043478</v>
      </c>
      <c r="I123" s="75">
        <v>3.652173913043478</v>
      </c>
      <c r="J123" s="76">
        <f t="shared" si="3"/>
        <v>0</v>
      </c>
      <c r="L123" s="79"/>
      <c r="M123" s="77" t="s">
        <v>3</v>
      </c>
      <c r="N123" s="40">
        <v>3.652173913043478</v>
      </c>
      <c r="P123" s="29" t="s">
        <v>192</v>
      </c>
      <c r="Q123" s="29">
        <v>9.06</v>
      </c>
      <c r="S123" s="78">
        <v>27510</v>
      </c>
      <c r="T123" s="29">
        <v>9.75</v>
      </c>
    </row>
    <row r="124" spans="2:20" x14ac:dyDescent="0.25">
      <c r="B124" s="5">
        <v>2004</v>
      </c>
      <c r="C124" s="4" t="s">
        <v>0</v>
      </c>
      <c r="D124" s="75">
        <v>3.9038461538461537</v>
      </c>
      <c r="E124" s="46"/>
      <c r="F124" s="6"/>
      <c r="G124" s="15"/>
      <c r="H124" s="98">
        <f t="shared" si="2"/>
        <v>3.9038461538461537</v>
      </c>
      <c r="I124" s="75">
        <v>3.9038461538461537</v>
      </c>
      <c r="J124" s="76">
        <f t="shared" si="3"/>
        <v>0</v>
      </c>
      <c r="L124" s="79">
        <v>2004</v>
      </c>
      <c r="M124" s="77" t="s">
        <v>0</v>
      </c>
      <c r="N124" s="40">
        <v>3.9038461538461537</v>
      </c>
      <c r="P124" s="29" t="s">
        <v>193</v>
      </c>
      <c r="Q124" s="29">
        <v>8.8800000000000008</v>
      </c>
      <c r="S124" s="78">
        <v>27511</v>
      </c>
      <c r="T124" s="29">
        <v>9.75</v>
      </c>
    </row>
    <row r="125" spans="2:20" x14ac:dyDescent="0.25">
      <c r="B125" s="5"/>
      <c r="C125" s="4" t="s">
        <v>1</v>
      </c>
      <c r="D125" s="75">
        <v>4.2115384615384617</v>
      </c>
      <c r="E125" s="46"/>
      <c r="F125" s="6"/>
      <c r="G125" s="15"/>
      <c r="H125" s="98">
        <f t="shared" si="2"/>
        <v>4.2115384615384617</v>
      </c>
      <c r="I125" s="75">
        <v>4.2115384615384617</v>
      </c>
      <c r="J125" s="76">
        <f t="shared" si="3"/>
        <v>0</v>
      </c>
      <c r="L125" s="79"/>
      <c r="M125" s="77" t="s">
        <v>1</v>
      </c>
      <c r="N125" s="40">
        <v>4.2115384615384617</v>
      </c>
      <c r="P125" s="29" t="s">
        <v>194</v>
      </c>
      <c r="Q125" s="29">
        <v>10</v>
      </c>
      <c r="S125" s="78">
        <v>27512</v>
      </c>
      <c r="T125" s="29">
        <v>9.75</v>
      </c>
    </row>
    <row r="126" spans="2:20" x14ac:dyDescent="0.25">
      <c r="B126" s="5"/>
      <c r="C126" s="4" t="s">
        <v>2</v>
      </c>
      <c r="D126" s="75">
        <v>4.6548913043478262</v>
      </c>
      <c r="E126" s="46"/>
      <c r="F126" s="6"/>
      <c r="G126" s="15"/>
      <c r="H126" s="98">
        <f t="shared" si="2"/>
        <v>4.6548913043478262</v>
      </c>
      <c r="I126" s="75">
        <v>4.6548913043478262</v>
      </c>
      <c r="J126" s="76">
        <f t="shared" si="3"/>
        <v>0</v>
      </c>
      <c r="L126" s="79"/>
      <c r="M126" s="77" t="s">
        <v>2</v>
      </c>
      <c r="N126" s="40">
        <v>4.6548913043478262</v>
      </c>
      <c r="P126" s="29" t="s">
        <v>195</v>
      </c>
      <c r="Q126" s="29">
        <v>12</v>
      </c>
      <c r="S126" s="78">
        <v>27513</v>
      </c>
      <c r="T126" s="29">
        <v>9.75</v>
      </c>
    </row>
    <row r="127" spans="2:20" x14ac:dyDescent="0.25">
      <c r="B127" s="5"/>
      <c r="C127" s="4" t="s">
        <v>3</v>
      </c>
      <c r="D127" s="75">
        <v>4.75</v>
      </c>
      <c r="E127" s="46"/>
      <c r="F127" s="6"/>
      <c r="G127" s="15"/>
      <c r="H127" s="98">
        <f t="shared" si="2"/>
        <v>4.75</v>
      </c>
      <c r="I127" s="75">
        <v>4.75</v>
      </c>
      <c r="J127" s="76">
        <f t="shared" si="3"/>
        <v>0</v>
      </c>
      <c r="L127" s="79"/>
      <c r="M127" s="77" t="s">
        <v>3</v>
      </c>
      <c r="N127" s="40">
        <v>4.75</v>
      </c>
      <c r="P127" s="29" t="s">
        <v>196</v>
      </c>
      <c r="Q127" s="29">
        <v>11.5</v>
      </c>
      <c r="S127" s="78">
        <v>27514</v>
      </c>
      <c r="T127" s="29">
        <v>9.75</v>
      </c>
    </row>
    <row r="128" spans="2:20" x14ac:dyDescent="0.25">
      <c r="B128" s="5">
        <v>2005</v>
      </c>
      <c r="C128" s="4" t="s">
        <v>0</v>
      </c>
      <c r="D128" s="75">
        <v>4.75</v>
      </c>
      <c r="E128" s="46"/>
      <c r="F128" s="6"/>
      <c r="G128" s="15"/>
      <c r="H128" s="98">
        <f t="shared" si="2"/>
        <v>4.75</v>
      </c>
      <c r="I128" s="75">
        <v>4.75</v>
      </c>
      <c r="J128" s="76">
        <f t="shared" si="3"/>
        <v>0</v>
      </c>
      <c r="L128" s="79">
        <v>2005</v>
      </c>
      <c r="M128" s="77" t="s">
        <v>0</v>
      </c>
      <c r="N128" s="40">
        <v>4.75</v>
      </c>
      <c r="P128" s="29" t="s">
        <v>197</v>
      </c>
      <c r="Q128" s="29">
        <v>11</v>
      </c>
      <c r="S128" s="78">
        <v>27515</v>
      </c>
      <c r="T128" s="29">
        <v>9.75</v>
      </c>
    </row>
    <row r="129" spans="2:20" x14ac:dyDescent="0.25">
      <c r="B129" s="5"/>
      <c r="C129" s="4" t="s">
        <v>1</v>
      </c>
      <c r="D129" s="75">
        <v>4.75</v>
      </c>
      <c r="E129" s="46"/>
      <c r="F129" s="6"/>
      <c r="G129" s="15"/>
      <c r="H129" s="98">
        <f t="shared" si="2"/>
        <v>4.75</v>
      </c>
      <c r="I129" s="75">
        <v>4.75</v>
      </c>
      <c r="J129" s="76">
        <f t="shared" si="3"/>
        <v>0</v>
      </c>
      <c r="L129" s="79"/>
      <c r="M129" s="77" t="s">
        <v>1</v>
      </c>
      <c r="N129" s="40">
        <v>4.75</v>
      </c>
      <c r="P129" s="29" t="s">
        <v>198</v>
      </c>
      <c r="Q129" s="29">
        <v>10.75</v>
      </c>
      <c r="S129" s="78">
        <v>27516</v>
      </c>
      <c r="T129" s="29">
        <v>9.75</v>
      </c>
    </row>
    <row r="130" spans="2:20" x14ac:dyDescent="0.25">
      <c r="B130" s="5"/>
      <c r="C130" s="4" t="s">
        <v>2</v>
      </c>
      <c r="D130" s="75">
        <v>4.5923913043478262</v>
      </c>
      <c r="E130" s="46"/>
      <c r="F130" s="6"/>
      <c r="G130" s="15"/>
      <c r="H130" s="98">
        <f t="shared" si="2"/>
        <v>4.5923913043478262</v>
      </c>
      <c r="I130" s="75">
        <v>4.5923913043478262</v>
      </c>
      <c r="J130" s="76">
        <f t="shared" si="3"/>
        <v>0</v>
      </c>
      <c r="L130" s="79"/>
      <c r="M130" s="77" t="s">
        <v>2</v>
      </c>
      <c r="N130" s="40">
        <v>4.5923913043478262</v>
      </c>
      <c r="P130" s="29" t="s">
        <v>199</v>
      </c>
      <c r="Q130" s="29">
        <v>10.5</v>
      </c>
      <c r="S130" s="78">
        <v>27517</v>
      </c>
      <c r="T130" s="29">
        <v>9.75</v>
      </c>
    </row>
    <row r="131" spans="2:20" x14ac:dyDescent="0.25">
      <c r="B131" s="5"/>
      <c r="C131" s="4" t="s">
        <v>3</v>
      </c>
      <c r="D131" s="75">
        <v>4.5</v>
      </c>
      <c r="E131" s="46"/>
      <c r="F131" s="6"/>
      <c r="G131" s="15"/>
      <c r="H131" s="98">
        <f t="shared" si="2"/>
        <v>4.5</v>
      </c>
      <c r="I131" s="75">
        <v>4.5</v>
      </c>
      <c r="J131" s="76">
        <f t="shared" si="3"/>
        <v>0</v>
      </c>
      <c r="L131" s="79"/>
      <c r="M131" s="77" t="s">
        <v>3</v>
      </c>
      <c r="N131" s="40">
        <v>4.5</v>
      </c>
      <c r="P131" s="29" t="s">
        <v>200</v>
      </c>
      <c r="Q131" s="29">
        <v>10</v>
      </c>
      <c r="S131" s="78">
        <v>27518</v>
      </c>
      <c r="T131" s="29">
        <v>9.75</v>
      </c>
    </row>
    <row r="132" spans="2:20" x14ac:dyDescent="0.25">
      <c r="B132" s="5">
        <v>2006</v>
      </c>
      <c r="C132" s="4" t="s">
        <v>0</v>
      </c>
      <c r="D132" s="75">
        <v>4.5</v>
      </c>
      <c r="E132" s="46"/>
      <c r="F132" s="6"/>
      <c r="G132" s="15"/>
      <c r="H132" s="98">
        <f t="shared" si="2"/>
        <v>4.5</v>
      </c>
      <c r="I132" s="75">
        <v>4.5</v>
      </c>
      <c r="J132" s="76">
        <f t="shared" si="3"/>
        <v>0</v>
      </c>
      <c r="L132" s="79">
        <v>2006</v>
      </c>
      <c r="M132" s="77" t="s">
        <v>0</v>
      </c>
      <c r="N132" s="40">
        <v>4.5</v>
      </c>
      <c r="P132" s="29" t="s">
        <v>201</v>
      </c>
      <c r="Q132" s="29">
        <v>9.75</v>
      </c>
      <c r="S132" s="78">
        <v>27519</v>
      </c>
      <c r="T132" s="29">
        <v>10</v>
      </c>
    </row>
    <row r="133" spans="2:20" x14ac:dyDescent="0.25">
      <c r="B133" s="5"/>
      <c r="C133" s="4" t="s">
        <v>1</v>
      </c>
      <c r="D133" s="75">
        <v>4.5</v>
      </c>
      <c r="E133" s="46"/>
      <c r="F133" s="6"/>
      <c r="G133" s="15"/>
      <c r="H133" s="98">
        <f t="shared" si="2"/>
        <v>4.5</v>
      </c>
      <c r="I133" s="75">
        <v>4.5</v>
      </c>
      <c r="J133" s="76">
        <f t="shared" si="3"/>
        <v>0</v>
      </c>
      <c r="L133" s="79"/>
      <c r="M133" s="77" t="s">
        <v>1</v>
      </c>
      <c r="N133" s="40">
        <v>4.5</v>
      </c>
      <c r="P133" s="29" t="s">
        <v>202</v>
      </c>
      <c r="Q133" s="29">
        <v>9.5</v>
      </c>
      <c r="S133" s="78">
        <v>27520</v>
      </c>
      <c r="T133" s="29">
        <v>10</v>
      </c>
    </row>
    <row r="134" spans="2:20" x14ac:dyDescent="0.25">
      <c r="B134" s="5"/>
      <c r="C134" s="4" t="s">
        <v>2</v>
      </c>
      <c r="D134" s="75">
        <v>4.6603260869565215</v>
      </c>
      <c r="E134" s="46"/>
      <c r="F134" s="6"/>
      <c r="G134" s="15"/>
      <c r="H134" s="98">
        <f t="shared" si="2"/>
        <v>4.6603260869565215</v>
      </c>
      <c r="I134" s="75">
        <v>4.6603260869565215</v>
      </c>
      <c r="J134" s="76">
        <f t="shared" si="3"/>
        <v>0</v>
      </c>
      <c r="L134" s="79"/>
      <c r="M134" s="77" t="s">
        <v>2</v>
      </c>
      <c r="N134" s="40">
        <v>4.6603260869565215</v>
      </c>
      <c r="P134" s="29" t="s">
        <v>203</v>
      </c>
      <c r="Q134" s="29">
        <v>11.88</v>
      </c>
      <c r="S134" s="78">
        <v>27521</v>
      </c>
      <c r="T134" s="29">
        <v>10</v>
      </c>
    </row>
    <row r="135" spans="2:20" x14ac:dyDescent="0.25">
      <c r="B135" s="5"/>
      <c r="C135" s="4" t="s">
        <v>3</v>
      </c>
      <c r="D135" s="75">
        <v>4.8940217391304346</v>
      </c>
      <c r="E135" s="46"/>
      <c r="F135" s="6"/>
      <c r="G135" s="15"/>
      <c r="H135" s="98">
        <f t="shared" si="2"/>
        <v>4.8940217391304346</v>
      </c>
      <c r="I135" s="75">
        <v>4.8940217391304346</v>
      </c>
      <c r="J135" s="76">
        <f t="shared" si="3"/>
        <v>0</v>
      </c>
      <c r="L135" s="79"/>
      <c r="M135" s="77" t="s">
        <v>3</v>
      </c>
      <c r="N135" s="40">
        <v>4.8940217391304346</v>
      </c>
      <c r="P135" s="29" t="s">
        <v>204</v>
      </c>
      <c r="Q135" s="29">
        <v>13.88</v>
      </c>
      <c r="S135" s="78">
        <v>27522</v>
      </c>
      <c r="T135" s="29">
        <v>10</v>
      </c>
    </row>
    <row r="136" spans="2:20" x14ac:dyDescent="0.25">
      <c r="B136" s="5">
        <v>2007</v>
      </c>
      <c r="C136" s="4" t="s">
        <v>0</v>
      </c>
      <c r="D136" s="75">
        <v>5.2222222222222223</v>
      </c>
      <c r="E136" s="46"/>
      <c r="F136" s="6"/>
      <c r="G136" s="15"/>
      <c r="H136" s="98">
        <f t="shared" si="2"/>
        <v>5.2222222222222223</v>
      </c>
      <c r="I136" s="75">
        <v>5.2222222222222223</v>
      </c>
      <c r="J136" s="76">
        <f t="shared" si="3"/>
        <v>0</v>
      </c>
      <c r="L136" s="79">
        <v>2007</v>
      </c>
      <c r="M136" s="77" t="s">
        <v>0</v>
      </c>
      <c r="N136" s="40">
        <v>5.2222222222222223</v>
      </c>
      <c r="P136" s="29" t="s">
        <v>205</v>
      </c>
      <c r="Q136" s="29">
        <v>13.38</v>
      </c>
      <c r="S136" s="78">
        <v>27523</v>
      </c>
      <c r="T136" s="29">
        <v>10</v>
      </c>
    </row>
    <row r="137" spans="2:20" x14ac:dyDescent="0.25">
      <c r="B137" s="5"/>
      <c r="C137" s="4" t="s">
        <v>1</v>
      </c>
      <c r="D137" s="75">
        <v>5.3928571428571432</v>
      </c>
      <c r="E137" s="46"/>
      <c r="F137" s="6"/>
      <c r="G137" s="15"/>
      <c r="H137" s="98">
        <f t="shared" ref="H137:H197" si="4">SUM(D137:G137)</f>
        <v>5.3928571428571432</v>
      </c>
      <c r="I137" s="75">
        <v>5.3928571428571432</v>
      </c>
      <c r="J137" s="76">
        <f t="shared" ref="J137:J183" si="5">H137-I137</f>
        <v>0</v>
      </c>
      <c r="L137" s="79"/>
      <c r="M137" s="77" t="s">
        <v>1</v>
      </c>
      <c r="N137" s="40">
        <v>5.3928571428571432</v>
      </c>
      <c r="P137" s="29" t="s">
        <v>206</v>
      </c>
      <c r="Q137" s="29">
        <v>12.88</v>
      </c>
      <c r="S137" s="78">
        <v>27524</v>
      </c>
      <c r="T137" s="29">
        <v>10</v>
      </c>
    </row>
    <row r="138" spans="2:20" x14ac:dyDescent="0.25">
      <c r="B138" s="5"/>
      <c r="C138" s="4" t="s">
        <v>2</v>
      </c>
      <c r="D138" s="75">
        <v>5.7391304347826084</v>
      </c>
      <c r="E138" s="46"/>
      <c r="F138" s="6"/>
      <c r="G138" s="15"/>
      <c r="H138" s="98">
        <f t="shared" si="4"/>
        <v>5.7391304347826084</v>
      </c>
      <c r="I138" s="75">
        <v>5.7391304347826084</v>
      </c>
      <c r="J138" s="76">
        <f t="shared" si="5"/>
        <v>0</v>
      </c>
      <c r="L138" s="79"/>
      <c r="M138" s="77" t="s">
        <v>2</v>
      </c>
      <c r="N138" s="40">
        <v>5.7391304347826084</v>
      </c>
      <c r="P138" s="29" t="s">
        <v>207</v>
      </c>
      <c r="Q138" s="29">
        <v>12.38</v>
      </c>
      <c r="S138" s="78">
        <v>27525</v>
      </c>
      <c r="T138" s="29">
        <v>10</v>
      </c>
    </row>
    <row r="139" spans="2:20" x14ac:dyDescent="0.25">
      <c r="B139" s="5"/>
      <c r="C139" s="4" t="s">
        <v>3</v>
      </c>
      <c r="D139" s="75">
        <v>5.6793478260869561</v>
      </c>
      <c r="E139" s="46"/>
      <c r="F139" s="6"/>
      <c r="G139" s="15"/>
      <c r="H139" s="98">
        <f t="shared" si="4"/>
        <v>5.6793478260869561</v>
      </c>
      <c r="I139" s="75">
        <v>5.6793478260869561</v>
      </c>
      <c r="J139" s="76">
        <f t="shared" si="5"/>
        <v>0</v>
      </c>
      <c r="L139" s="79"/>
      <c r="M139" s="77" t="s">
        <v>3</v>
      </c>
      <c r="N139" s="40">
        <v>5.6793478260869561</v>
      </c>
      <c r="P139" s="29" t="s">
        <v>208</v>
      </c>
      <c r="Q139" s="29">
        <v>11.88</v>
      </c>
      <c r="S139" s="78">
        <v>27526</v>
      </c>
      <c r="T139" s="29">
        <v>10</v>
      </c>
    </row>
    <row r="140" spans="2:20" x14ac:dyDescent="0.25">
      <c r="B140" s="5">
        <v>2008</v>
      </c>
      <c r="C140" s="4" t="s">
        <v>0</v>
      </c>
      <c r="D140" s="75">
        <v>5.3516483516483513</v>
      </c>
      <c r="E140" s="46"/>
      <c r="F140" s="6"/>
      <c r="G140" s="15"/>
      <c r="H140" s="98">
        <f t="shared" si="4"/>
        <v>5.3516483516483513</v>
      </c>
      <c r="I140" s="75">
        <v>5.3516483516483513</v>
      </c>
      <c r="J140" s="76">
        <f t="shared" si="5"/>
        <v>0</v>
      </c>
      <c r="L140" s="79">
        <v>2008</v>
      </c>
      <c r="M140" s="77" t="s">
        <v>0</v>
      </c>
      <c r="N140" s="40">
        <v>5.3516483516483513</v>
      </c>
      <c r="P140" s="29" t="s">
        <v>209</v>
      </c>
      <c r="Q140" s="29">
        <v>11.38</v>
      </c>
      <c r="S140" s="78">
        <v>27527</v>
      </c>
      <c r="T140" s="29">
        <v>10</v>
      </c>
    </row>
    <row r="141" spans="2:20" x14ac:dyDescent="0.25">
      <c r="B141" s="5"/>
      <c r="C141" s="4" t="s">
        <v>1</v>
      </c>
      <c r="D141" s="75">
        <v>5.0247252747252746</v>
      </c>
      <c r="E141" s="46"/>
      <c r="F141" s="6"/>
      <c r="G141" s="15"/>
      <c r="H141" s="98">
        <f t="shared" si="4"/>
        <v>5.0247252747252746</v>
      </c>
      <c r="I141" s="75">
        <v>5.0247252747252746</v>
      </c>
      <c r="J141" s="76">
        <f t="shared" si="5"/>
        <v>0</v>
      </c>
      <c r="L141" s="79"/>
      <c r="M141" s="77" t="s">
        <v>1</v>
      </c>
      <c r="N141" s="40">
        <v>5.0247252747252746</v>
      </c>
      <c r="P141" s="29" t="s">
        <v>210</v>
      </c>
      <c r="Q141" s="29">
        <v>12.38</v>
      </c>
      <c r="S141" s="78">
        <v>27528</v>
      </c>
      <c r="T141" s="29">
        <v>10</v>
      </c>
    </row>
    <row r="142" spans="2:20" x14ac:dyDescent="0.25">
      <c r="B142" s="5"/>
      <c r="C142" s="4" t="s">
        <v>2</v>
      </c>
      <c r="D142" s="75">
        <v>5</v>
      </c>
      <c r="E142" s="46"/>
      <c r="F142" s="6"/>
      <c r="G142" s="15"/>
      <c r="H142" s="98">
        <f t="shared" si="4"/>
        <v>5</v>
      </c>
      <c r="I142" s="75">
        <v>5</v>
      </c>
      <c r="J142" s="76">
        <f t="shared" si="5"/>
        <v>0</v>
      </c>
      <c r="L142" s="79"/>
      <c r="M142" s="77" t="s">
        <v>2</v>
      </c>
      <c r="N142" s="40">
        <v>5</v>
      </c>
      <c r="P142" s="29" t="s">
        <v>211</v>
      </c>
      <c r="Q142" s="29">
        <v>11.38</v>
      </c>
      <c r="S142" s="78">
        <v>27529</v>
      </c>
      <c r="T142" s="29">
        <v>10</v>
      </c>
    </row>
    <row r="143" spans="2:20" x14ac:dyDescent="0.25">
      <c r="B143" s="5"/>
      <c r="C143" s="4" t="s">
        <v>3</v>
      </c>
      <c r="D143" s="75">
        <v>3.3206521739130435</v>
      </c>
      <c r="E143" s="46"/>
      <c r="F143" s="6"/>
      <c r="G143" s="15"/>
      <c r="H143" s="98">
        <f t="shared" si="4"/>
        <v>3.3206521739130435</v>
      </c>
      <c r="I143" s="75">
        <v>3.3206521739130435</v>
      </c>
      <c r="J143" s="76">
        <f t="shared" si="5"/>
        <v>0</v>
      </c>
      <c r="L143" s="79"/>
      <c r="M143" s="77" t="s">
        <v>3</v>
      </c>
      <c r="N143" s="40">
        <v>3.3206521739130435</v>
      </c>
      <c r="P143" s="29" t="s">
        <v>212</v>
      </c>
      <c r="Q143" s="29">
        <v>10.88</v>
      </c>
      <c r="S143" s="78">
        <v>27530</v>
      </c>
      <c r="T143" s="29">
        <v>10</v>
      </c>
    </row>
    <row r="144" spans="2:20" x14ac:dyDescent="0.25">
      <c r="B144" s="5">
        <v>2009</v>
      </c>
      <c r="C144" s="4" t="s">
        <v>0</v>
      </c>
      <c r="D144" s="75">
        <v>1.0833333333333333</v>
      </c>
      <c r="E144" s="46"/>
      <c r="F144" s="6"/>
      <c r="G144" s="15"/>
      <c r="H144" s="98">
        <f t="shared" si="4"/>
        <v>1.0833333333333333</v>
      </c>
      <c r="I144" s="75">
        <v>1.0833333333333333</v>
      </c>
      <c r="J144" s="76">
        <f t="shared" si="5"/>
        <v>0</v>
      </c>
      <c r="L144" s="79">
        <v>2009</v>
      </c>
      <c r="M144" s="77" t="s">
        <v>0</v>
      </c>
      <c r="N144" s="40">
        <v>1.0833333333333333</v>
      </c>
      <c r="P144" s="29" t="s">
        <v>213</v>
      </c>
      <c r="Q144" s="29">
        <v>10.38</v>
      </c>
      <c r="S144" s="78">
        <v>27531</v>
      </c>
      <c r="T144" s="29">
        <v>10</v>
      </c>
    </row>
    <row r="145" spans="2:20" x14ac:dyDescent="0.25">
      <c r="B145" s="5"/>
      <c r="C145" s="4" t="s">
        <v>1</v>
      </c>
      <c r="D145" s="75">
        <v>0.5</v>
      </c>
      <c r="E145" s="46"/>
      <c r="F145" s="6"/>
      <c r="G145" s="15"/>
      <c r="H145" s="98">
        <f t="shared" si="4"/>
        <v>0.5</v>
      </c>
      <c r="I145" s="75">
        <v>0.5</v>
      </c>
      <c r="J145" s="76">
        <f t="shared" si="5"/>
        <v>0</v>
      </c>
      <c r="L145" s="79"/>
      <c r="M145" s="77" t="s">
        <v>1</v>
      </c>
      <c r="N145" s="40">
        <v>0.5</v>
      </c>
      <c r="P145" s="29" t="s">
        <v>214</v>
      </c>
      <c r="Q145" s="29">
        <v>9.8800000000000008</v>
      </c>
      <c r="S145" s="78">
        <v>27532</v>
      </c>
      <c r="T145" s="29">
        <v>10</v>
      </c>
    </row>
    <row r="146" spans="2:20" x14ac:dyDescent="0.25">
      <c r="B146" s="5"/>
      <c r="C146" s="4" t="s">
        <v>2</v>
      </c>
      <c r="D146" s="75">
        <v>0.5</v>
      </c>
      <c r="E146" s="46"/>
      <c r="F146" s="6"/>
      <c r="G146" s="15"/>
      <c r="H146" s="98">
        <f t="shared" si="4"/>
        <v>0.5</v>
      </c>
      <c r="I146" s="75">
        <v>0.5</v>
      </c>
      <c r="J146" s="76">
        <f t="shared" si="5"/>
        <v>0</v>
      </c>
      <c r="L146" s="79"/>
      <c r="M146" s="77" t="s">
        <v>2</v>
      </c>
      <c r="N146" s="40">
        <v>0.5</v>
      </c>
      <c r="P146" s="29" t="s">
        <v>215</v>
      </c>
      <c r="Q146" s="29">
        <v>10.88</v>
      </c>
      <c r="S146" s="78">
        <v>27533</v>
      </c>
      <c r="T146" s="29">
        <v>10</v>
      </c>
    </row>
    <row r="147" spans="2:20" x14ac:dyDescent="0.25">
      <c r="B147" s="5"/>
      <c r="C147" s="4" t="s">
        <v>3</v>
      </c>
      <c r="D147" s="75">
        <v>0.5</v>
      </c>
      <c r="E147" s="46"/>
      <c r="F147" s="6"/>
      <c r="G147" s="15"/>
      <c r="H147" s="98">
        <f t="shared" si="4"/>
        <v>0.5</v>
      </c>
      <c r="I147" s="75">
        <v>0.5</v>
      </c>
      <c r="J147" s="76">
        <f t="shared" si="5"/>
        <v>0</v>
      </c>
      <c r="L147" s="79"/>
      <c r="M147" s="77" t="s">
        <v>3</v>
      </c>
      <c r="N147" s="40">
        <v>0.5</v>
      </c>
      <c r="P147" s="29" t="s">
        <v>216</v>
      </c>
      <c r="Q147" s="29">
        <v>10.38</v>
      </c>
      <c r="S147" s="78">
        <v>27534</v>
      </c>
      <c r="T147" s="29">
        <v>10</v>
      </c>
    </row>
    <row r="148" spans="2:20" x14ac:dyDescent="0.25">
      <c r="B148" s="5">
        <v>2010</v>
      </c>
      <c r="C148" s="4" t="s">
        <v>0</v>
      </c>
      <c r="D148" s="75">
        <v>0.5</v>
      </c>
      <c r="E148" s="46"/>
      <c r="F148" s="6"/>
      <c r="G148" s="15"/>
      <c r="H148" s="98">
        <f t="shared" si="4"/>
        <v>0.5</v>
      </c>
      <c r="I148" s="75">
        <v>0.5</v>
      </c>
      <c r="J148" s="76">
        <f t="shared" si="5"/>
        <v>0</v>
      </c>
      <c r="L148" s="79">
        <v>2010</v>
      </c>
      <c r="M148" s="77" t="s">
        <v>0</v>
      </c>
      <c r="N148" s="40">
        <v>0.5</v>
      </c>
      <c r="P148" s="29" t="s">
        <v>217</v>
      </c>
      <c r="Q148" s="29">
        <v>9.8800000000000008</v>
      </c>
      <c r="S148" s="78">
        <v>27535</v>
      </c>
      <c r="T148" s="29">
        <v>10</v>
      </c>
    </row>
    <row r="149" spans="2:20" x14ac:dyDescent="0.25">
      <c r="B149" s="5"/>
      <c r="C149" s="4" t="s">
        <v>1</v>
      </c>
      <c r="D149" s="75">
        <v>0.5</v>
      </c>
      <c r="E149" s="46"/>
      <c r="F149" s="6"/>
      <c r="G149" s="15"/>
      <c r="H149" s="98">
        <f t="shared" si="4"/>
        <v>0.5</v>
      </c>
      <c r="I149" s="75">
        <v>0.5</v>
      </c>
      <c r="J149" s="76">
        <f t="shared" si="5"/>
        <v>0</v>
      </c>
      <c r="L149" s="79"/>
      <c r="M149" s="77" t="s">
        <v>1</v>
      </c>
      <c r="N149" s="40">
        <v>0.5</v>
      </c>
      <c r="P149" s="29" t="s">
        <v>218</v>
      </c>
      <c r="Q149" s="29">
        <v>9.3800000000000008</v>
      </c>
      <c r="S149" s="78">
        <v>27536</v>
      </c>
      <c r="T149" s="29">
        <v>10</v>
      </c>
    </row>
    <row r="150" spans="2:20" x14ac:dyDescent="0.25">
      <c r="B150" s="5"/>
      <c r="C150" s="4" t="s">
        <v>2</v>
      </c>
      <c r="D150" s="75">
        <v>0.5</v>
      </c>
      <c r="E150" s="46"/>
      <c r="F150" s="6"/>
      <c r="G150" s="15"/>
      <c r="H150" s="98">
        <f t="shared" si="4"/>
        <v>0.5</v>
      </c>
      <c r="I150" s="75">
        <v>0.5</v>
      </c>
      <c r="J150" s="76">
        <f t="shared" si="5"/>
        <v>0</v>
      </c>
      <c r="L150" s="79"/>
      <c r="M150" s="77" t="s">
        <v>2</v>
      </c>
      <c r="N150" s="40">
        <v>0.5</v>
      </c>
      <c r="P150" s="29" t="s">
        <v>219</v>
      </c>
      <c r="Q150" s="29">
        <v>8.8800000000000008</v>
      </c>
      <c r="S150" s="78">
        <v>27537</v>
      </c>
      <c r="T150" s="29">
        <v>10</v>
      </c>
    </row>
    <row r="151" spans="2:20" x14ac:dyDescent="0.25">
      <c r="B151" s="5"/>
      <c r="C151" s="4" t="s">
        <v>3</v>
      </c>
      <c r="D151" s="75">
        <v>0.5</v>
      </c>
      <c r="E151" s="46"/>
      <c r="F151" s="6"/>
      <c r="G151" s="15"/>
      <c r="H151" s="98">
        <f t="shared" si="4"/>
        <v>0.5</v>
      </c>
      <c r="I151" s="75">
        <v>0.5</v>
      </c>
      <c r="J151" s="76">
        <f t="shared" si="5"/>
        <v>0</v>
      </c>
      <c r="L151" s="79"/>
      <c r="M151" s="77" t="s">
        <v>3</v>
      </c>
      <c r="N151" s="40">
        <v>0.5</v>
      </c>
      <c r="P151" s="29" t="s">
        <v>220</v>
      </c>
      <c r="Q151" s="29">
        <v>9.8800000000000008</v>
      </c>
      <c r="S151" s="78">
        <v>27538</v>
      </c>
      <c r="T151" s="29">
        <v>10</v>
      </c>
    </row>
    <row r="152" spans="2:20" x14ac:dyDescent="0.25">
      <c r="B152" s="5">
        <v>2011</v>
      </c>
      <c r="C152" s="4" t="s">
        <v>0</v>
      </c>
      <c r="D152" s="75">
        <v>0.5</v>
      </c>
      <c r="E152" s="46"/>
      <c r="F152" s="6"/>
      <c r="G152" s="15"/>
      <c r="H152" s="98">
        <f t="shared" si="4"/>
        <v>0.5</v>
      </c>
      <c r="I152" s="75">
        <v>0.5</v>
      </c>
      <c r="J152" s="76">
        <f t="shared" si="5"/>
        <v>0</v>
      </c>
      <c r="L152" s="79">
        <v>2011</v>
      </c>
      <c r="M152" s="77" t="s">
        <v>0</v>
      </c>
      <c r="N152" s="40">
        <v>0.5</v>
      </c>
      <c r="P152" s="29" t="s">
        <v>221</v>
      </c>
      <c r="Q152" s="29">
        <v>9.3800000000000008</v>
      </c>
      <c r="S152" s="78">
        <v>27539</v>
      </c>
      <c r="T152" s="29">
        <v>10</v>
      </c>
    </row>
    <row r="153" spans="2:20" x14ac:dyDescent="0.25">
      <c r="B153" s="5"/>
      <c r="C153" s="4" t="s">
        <v>1</v>
      </c>
      <c r="D153" s="75">
        <v>0.5</v>
      </c>
      <c r="E153" s="46"/>
      <c r="F153" s="12"/>
      <c r="G153" s="15"/>
      <c r="H153" s="98">
        <f t="shared" si="4"/>
        <v>0.5</v>
      </c>
      <c r="I153" s="75">
        <v>0.5</v>
      </c>
      <c r="J153" s="76">
        <f t="shared" si="5"/>
        <v>0</v>
      </c>
      <c r="L153" s="79"/>
      <c r="M153" s="77" t="s">
        <v>1</v>
      </c>
      <c r="N153" s="40">
        <v>0.5</v>
      </c>
      <c r="P153" s="29" t="s">
        <v>222</v>
      </c>
      <c r="Q153" s="29">
        <v>8.8800000000000008</v>
      </c>
      <c r="S153" s="78">
        <v>27540</v>
      </c>
      <c r="T153" s="29">
        <v>10</v>
      </c>
    </row>
    <row r="154" spans="2:20" x14ac:dyDescent="0.25">
      <c r="B154" s="5"/>
      <c r="C154" s="4" t="s">
        <v>2</v>
      </c>
      <c r="D154" s="75">
        <v>0.5</v>
      </c>
      <c r="E154" s="46"/>
      <c r="F154" s="12"/>
      <c r="G154" s="15"/>
      <c r="H154" s="98">
        <f t="shared" si="4"/>
        <v>0.5</v>
      </c>
      <c r="I154" s="75">
        <v>0.5</v>
      </c>
      <c r="J154" s="76">
        <f t="shared" si="5"/>
        <v>0</v>
      </c>
      <c r="L154" s="79"/>
      <c r="M154" s="77" t="s">
        <v>2</v>
      </c>
      <c r="N154" s="40">
        <v>0.5</v>
      </c>
      <c r="P154" s="29" t="s">
        <v>223</v>
      </c>
      <c r="Q154" s="29">
        <v>8.3800000000000008</v>
      </c>
      <c r="S154" s="78">
        <v>27541</v>
      </c>
      <c r="T154" s="29">
        <v>10</v>
      </c>
    </row>
    <row r="155" spans="2:20" x14ac:dyDescent="0.25">
      <c r="B155" s="5"/>
      <c r="C155" s="4" t="s">
        <v>3</v>
      </c>
      <c r="D155" s="75">
        <v>0.5</v>
      </c>
      <c r="E155" s="46"/>
      <c r="F155" s="12"/>
      <c r="G155" s="15"/>
      <c r="H155" s="98">
        <f t="shared" si="4"/>
        <v>0.5</v>
      </c>
      <c r="I155" s="75">
        <v>0.5</v>
      </c>
      <c r="J155" s="76">
        <f t="shared" si="5"/>
        <v>0</v>
      </c>
      <c r="L155" s="79"/>
      <c r="M155" s="77" t="s">
        <v>3</v>
      </c>
      <c r="N155" s="40">
        <v>0.5</v>
      </c>
      <c r="P155" s="29" t="s">
        <v>224</v>
      </c>
      <c r="Q155" s="29">
        <v>8.8800000000000008</v>
      </c>
      <c r="S155" s="78">
        <v>27542</v>
      </c>
      <c r="T155" s="29">
        <v>10</v>
      </c>
    </row>
    <row r="156" spans="2:20" x14ac:dyDescent="0.25">
      <c r="B156" s="5">
        <v>2012</v>
      </c>
      <c r="C156" s="4" t="s">
        <v>0</v>
      </c>
      <c r="D156" s="75">
        <v>0.5</v>
      </c>
      <c r="E156" s="46"/>
      <c r="F156" s="12"/>
      <c r="G156" s="15"/>
      <c r="H156" s="98">
        <f t="shared" si="4"/>
        <v>0.5</v>
      </c>
      <c r="I156" s="75">
        <v>0.5</v>
      </c>
      <c r="J156" s="76">
        <f t="shared" si="5"/>
        <v>0</v>
      </c>
      <c r="L156" s="79">
        <v>2012</v>
      </c>
      <c r="M156" s="77" t="s">
        <v>0</v>
      </c>
      <c r="N156" s="40">
        <v>0.5</v>
      </c>
      <c r="P156" s="29" t="s">
        <v>225</v>
      </c>
      <c r="Q156" s="29">
        <v>8.3800000000000008</v>
      </c>
      <c r="S156" s="78">
        <v>27543</v>
      </c>
      <c r="T156" s="29">
        <v>10</v>
      </c>
    </row>
    <row r="157" spans="2:20" x14ac:dyDescent="0.25">
      <c r="B157" s="5"/>
      <c r="C157" s="4" t="s">
        <v>1</v>
      </c>
      <c r="D157" s="75">
        <v>0.5</v>
      </c>
      <c r="E157" s="46"/>
      <c r="F157" s="12"/>
      <c r="G157" s="15"/>
      <c r="H157" s="98">
        <f t="shared" si="4"/>
        <v>0.5</v>
      </c>
      <c r="I157" s="75">
        <v>0.5</v>
      </c>
      <c r="J157" s="76">
        <f t="shared" si="5"/>
        <v>0</v>
      </c>
      <c r="L157" s="79"/>
      <c r="M157" s="77" t="s">
        <v>1</v>
      </c>
      <c r="N157" s="40">
        <v>0.5</v>
      </c>
      <c r="P157" s="29" t="s">
        <v>226</v>
      </c>
      <c r="Q157" s="29">
        <v>7.88</v>
      </c>
      <c r="S157" s="78">
        <v>27544</v>
      </c>
      <c r="T157" s="29">
        <v>10</v>
      </c>
    </row>
    <row r="158" spans="2:20" x14ac:dyDescent="0.25">
      <c r="B158" s="5"/>
      <c r="C158" s="4" t="s">
        <v>2</v>
      </c>
      <c r="D158" s="75">
        <v>0.5</v>
      </c>
      <c r="E158" s="46"/>
      <c r="F158" s="12"/>
      <c r="G158" s="15"/>
      <c r="H158" s="98">
        <f t="shared" si="4"/>
        <v>0.5</v>
      </c>
      <c r="I158" s="75">
        <v>0.5</v>
      </c>
      <c r="J158" s="76">
        <f t="shared" si="5"/>
        <v>0</v>
      </c>
      <c r="L158" s="79"/>
      <c r="M158" s="77" t="s">
        <v>2</v>
      </c>
      <c r="N158" s="40">
        <v>0.5</v>
      </c>
      <c r="P158" s="29" t="s">
        <v>227</v>
      </c>
      <c r="Q158" s="29">
        <v>7.38</v>
      </c>
      <c r="S158" s="78">
        <v>27545</v>
      </c>
      <c r="T158" s="29">
        <v>10</v>
      </c>
    </row>
    <row r="159" spans="2:20" x14ac:dyDescent="0.25">
      <c r="B159" s="5"/>
      <c r="C159" s="4" t="s">
        <v>3</v>
      </c>
      <c r="D159" s="75">
        <v>0.5</v>
      </c>
      <c r="E159" s="46"/>
      <c r="F159" s="12"/>
      <c r="G159" s="15"/>
      <c r="H159" s="98">
        <f t="shared" si="4"/>
        <v>0.5</v>
      </c>
      <c r="I159" s="75">
        <v>0.5</v>
      </c>
      <c r="J159" s="76">
        <f t="shared" si="5"/>
        <v>0</v>
      </c>
      <c r="L159" s="79"/>
      <c r="M159" s="77" t="s">
        <v>3</v>
      </c>
      <c r="N159" s="40">
        <v>0.5</v>
      </c>
      <c r="P159" s="29" t="s">
        <v>228</v>
      </c>
      <c r="Q159" s="29">
        <v>7.88</v>
      </c>
      <c r="S159" s="78">
        <v>27546</v>
      </c>
      <c r="T159" s="29">
        <v>10</v>
      </c>
    </row>
    <row r="160" spans="2:20" x14ac:dyDescent="0.25">
      <c r="B160" s="5">
        <v>2013</v>
      </c>
      <c r="C160" s="4" t="s">
        <v>0</v>
      </c>
      <c r="D160" s="75">
        <v>0.5</v>
      </c>
      <c r="E160" s="46"/>
      <c r="F160" s="12"/>
      <c r="G160" s="15"/>
      <c r="H160" s="98">
        <f t="shared" si="4"/>
        <v>0.5</v>
      </c>
      <c r="I160" s="75">
        <v>0.5</v>
      </c>
      <c r="J160" s="76">
        <f t="shared" si="5"/>
        <v>0</v>
      </c>
      <c r="L160" s="79">
        <v>2013</v>
      </c>
      <c r="M160" s="77" t="s">
        <v>0</v>
      </c>
      <c r="N160" s="40">
        <v>0.5</v>
      </c>
      <c r="P160" s="29" t="s">
        <v>229</v>
      </c>
      <c r="Q160" s="29">
        <v>8.3800000000000008</v>
      </c>
      <c r="S160" s="78">
        <v>27547</v>
      </c>
      <c r="T160" s="29">
        <v>10</v>
      </c>
    </row>
    <row r="161" spans="2:20" x14ac:dyDescent="0.25">
      <c r="B161" s="5"/>
      <c r="C161" s="4" t="s">
        <v>1</v>
      </c>
      <c r="D161" s="75">
        <v>0.5</v>
      </c>
      <c r="E161" s="46"/>
      <c r="F161" s="47"/>
      <c r="G161" s="15"/>
      <c r="H161" s="98">
        <f t="shared" si="4"/>
        <v>0.5</v>
      </c>
      <c r="I161" s="75">
        <v>0.5</v>
      </c>
      <c r="J161" s="76">
        <f t="shared" si="5"/>
        <v>0</v>
      </c>
      <c r="L161" s="79"/>
      <c r="M161" s="77" t="s">
        <v>1</v>
      </c>
      <c r="N161" s="40">
        <v>0.5</v>
      </c>
      <c r="P161" s="29" t="s">
        <v>230</v>
      </c>
      <c r="Q161" s="29">
        <v>8.8800000000000008</v>
      </c>
      <c r="S161" s="78">
        <v>27548</v>
      </c>
      <c r="T161" s="29">
        <v>10</v>
      </c>
    </row>
    <row r="162" spans="2:20" x14ac:dyDescent="0.25">
      <c r="B162" s="5"/>
      <c r="C162" s="4" t="s">
        <v>2</v>
      </c>
      <c r="D162" s="75">
        <v>0.5</v>
      </c>
      <c r="F162" s="47"/>
      <c r="G162" s="15"/>
      <c r="H162" s="98">
        <f t="shared" si="4"/>
        <v>0.5</v>
      </c>
      <c r="I162" s="75">
        <v>0.5</v>
      </c>
      <c r="J162" s="76">
        <f t="shared" si="5"/>
        <v>0</v>
      </c>
      <c r="L162" s="79"/>
      <c r="M162" s="77" t="s">
        <v>2</v>
      </c>
      <c r="N162" s="40">
        <v>0.5</v>
      </c>
      <c r="P162" s="29" t="s">
        <v>231</v>
      </c>
      <c r="Q162" s="29">
        <v>9.8800000000000008</v>
      </c>
      <c r="S162" s="78">
        <v>27549</v>
      </c>
      <c r="T162" s="29">
        <v>10</v>
      </c>
    </row>
    <row r="163" spans="2:20" x14ac:dyDescent="0.25">
      <c r="B163" s="5"/>
      <c r="C163" s="4" t="s">
        <v>3</v>
      </c>
      <c r="D163" s="75">
        <v>0.5</v>
      </c>
      <c r="F163" s="47"/>
      <c r="G163" s="15"/>
      <c r="H163" s="98">
        <f t="shared" si="4"/>
        <v>0.5</v>
      </c>
      <c r="I163" s="75">
        <v>0.5</v>
      </c>
      <c r="J163" s="76">
        <f t="shared" si="5"/>
        <v>0</v>
      </c>
      <c r="L163" s="79"/>
      <c r="M163" s="77" t="s">
        <v>3</v>
      </c>
      <c r="N163" s="40">
        <v>0.5</v>
      </c>
      <c r="P163" s="29" t="s">
        <v>232</v>
      </c>
      <c r="Q163" s="29">
        <v>10.38</v>
      </c>
      <c r="S163" s="78">
        <v>27550</v>
      </c>
      <c r="T163" s="29">
        <v>10</v>
      </c>
    </row>
    <row r="164" spans="2:20" x14ac:dyDescent="0.25">
      <c r="B164" s="5">
        <v>2014</v>
      </c>
      <c r="C164" s="4" t="s">
        <v>0</v>
      </c>
      <c r="D164" s="75">
        <v>0.5</v>
      </c>
      <c r="E164" s="14"/>
      <c r="F164" s="47"/>
      <c r="G164" s="15"/>
      <c r="H164" s="98">
        <f t="shared" si="4"/>
        <v>0.5</v>
      </c>
      <c r="I164" s="75">
        <v>0.5</v>
      </c>
      <c r="J164" s="76">
        <f t="shared" si="5"/>
        <v>0</v>
      </c>
      <c r="L164" s="79">
        <v>2014</v>
      </c>
      <c r="M164" s="77" t="s">
        <v>0</v>
      </c>
      <c r="N164" s="40">
        <v>0.5</v>
      </c>
      <c r="P164" s="29" t="s">
        <v>233</v>
      </c>
      <c r="Q164" s="29">
        <v>10.88</v>
      </c>
      <c r="S164" s="78">
        <v>27551</v>
      </c>
      <c r="T164" s="29">
        <v>10</v>
      </c>
    </row>
    <row r="165" spans="2:20" x14ac:dyDescent="0.25">
      <c r="B165" s="7"/>
      <c r="C165" s="4" t="s">
        <v>1</v>
      </c>
      <c r="D165" s="75">
        <v>0.5</v>
      </c>
      <c r="E165" s="14"/>
      <c r="F165" s="47"/>
      <c r="G165" s="15"/>
      <c r="H165" s="98">
        <f t="shared" si="4"/>
        <v>0.5</v>
      </c>
      <c r="I165" s="75">
        <v>0.5</v>
      </c>
      <c r="J165" s="76">
        <f t="shared" si="5"/>
        <v>0</v>
      </c>
      <c r="L165" s="80"/>
      <c r="M165" s="77" t="s">
        <v>1</v>
      </c>
      <c r="N165" s="40">
        <v>0.5</v>
      </c>
      <c r="P165" s="29" t="s">
        <v>234</v>
      </c>
      <c r="Q165" s="29">
        <v>11.88</v>
      </c>
      <c r="S165" s="78">
        <v>27552</v>
      </c>
      <c r="T165" s="29">
        <v>10</v>
      </c>
    </row>
    <row r="166" spans="2:20" x14ac:dyDescent="0.25">
      <c r="B166" s="8"/>
      <c r="C166" s="9" t="s">
        <v>2</v>
      </c>
      <c r="D166" s="75">
        <v>0.5</v>
      </c>
      <c r="E166" s="14"/>
      <c r="F166" s="47"/>
      <c r="G166" s="15"/>
      <c r="H166" s="98">
        <f t="shared" si="4"/>
        <v>0.5</v>
      </c>
      <c r="I166" s="75">
        <v>0.5</v>
      </c>
      <c r="J166" s="76">
        <f t="shared" si="5"/>
        <v>0</v>
      </c>
      <c r="L166" s="81"/>
      <c r="M166" s="82" t="s">
        <v>2</v>
      </c>
      <c r="N166" s="40">
        <v>0.5</v>
      </c>
      <c r="P166" s="29" t="s">
        <v>235</v>
      </c>
      <c r="Q166" s="29">
        <v>12.88</v>
      </c>
      <c r="S166" s="78">
        <v>27553</v>
      </c>
      <c r="T166" s="29">
        <v>10</v>
      </c>
    </row>
    <row r="167" spans="2:20" x14ac:dyDescent="0.25">
      <c r="B167" s="8"/>
      <c r="C167" s="8" t="s">
        <v>3</v>
      </c>
      <c r="D167" s="75">
        <v>0.5</v>
      </c>
      <c r="E167" s="14"/>
      <c r="F167" s="47"/>
      <c r="G167" s="15"/>
      <c r="H167" s="98">
        <f t="shared" si="4"/>
        <v>0.5</v>
      </c>
      <c r="I167" s="75">
        <v>0.5</v>
      </c>
      <c r="J167" s="76">
        <f t="shared" si="5"/>
        <v>0</v>
      </c>
      <c r="L167" s="81"/>
      <c r="M167" s="81" t="s">
        <v>3</v>
      </c>
      <c r="N167" s="40">
        <v>0.5</v>
      </c>
      <c r="P167" s="29" t="s">
        <v>236</v>
      </c>
      <c r="Q167" s="29">
        <v>13.75</v>
      </c>
      <c r="S167" s="78">
        <v>27554</v>
      </c>
      <c r="T167" s="29">
        <v>10</v>
      </c>
    </row>
    <row r="168" spans="2:20" x14ac:dyDescent="0.25">
      <c r="B168" s="8">
        <v>2015</v>
      </c>
      <c r="C168" s="8" t="s">
        <v>0</v>
      </c>
      <c r="D168" s="75">
        <v>0.5</v>
      </c>
      <c r="E168" s="14"/>
      <c r="F168" s="47"/>
      <c r="G168" s="15"/>
      <c r="H168" s="98">
        <f t="shared" si="4"/>
        <v>0.5</v>
      </c>
      <c r="I168" s="75">
        <v>0.5</v>
      </c>
      <c r="J168" s="76">
        <f t="shared" si="5"/>
        <v>0</v>
      </c>
      <c r="L168" s="81">
        <v>2015</v>
      </c>
      <c r="M168" s="81" t="s">
        <v>0</v>
      </c>
      <c r="N168" s="40">
        <v>0.5</v>
      </c>
      <c r="P168" s="29" t="s">
        <v>237</v>
      </c>
      <c r="Q168" s="29">
        <v>13.84</v>
      </c>
      <c r="S168" s="78">
        <v>27555</v>
      </c>
      <c r="T168" s="29">
        <v>10</v>
      </c>
    </row>
    <row r="169" spans="2:20" x14ac:dyDescent="0.25">
      <c r="B169" s="8"/>
      <c r="C169" s="8" t="s">
        <v>1</v>
      </c>
      <c r="D169" s="75">
        <v>0.5</v>
      </c>
      <c r="E169" s="14"/>
      <c r="F169" s="47"/>
      <c r="G169" s="15"/>
      <c r="H169" s="98">
        <f t="shared" si="4"/>
        <v>0.5</v>
      </c>
      <c r="I169" s="75">
        <v>0.5</v>
      </c>
      <c r="J169" s="76">
        <f t="shared" si="5"/>
        <v>0</v>
      </c>
      <c r="L169" s="81"/>
      <c r="M169" s="81" t="s">
        <v>1</v>
      </c>
      <c r="N169" s="40">
        <v>0.5</v>
      </c>
      <c r="P169" s="29" t="s">
        <v>238</v>
      </c>
      <c r="Q169" s="29">
        <v>13.88</v>
      </c>
      <c r="S169" s="78">
        <v>27556</v>
      </c>
      <c r="T169" s="29">
        <v>10</v>
      </c>
    </row>
    <row r="170" spans="2:20" x14ac:dyDescent="0.25">
      <c r="B170" s="8"/>
      <c r="C170" s="8" t="s">
        <v>2</v>
      </c>
      <c r="D170" s="75">
        <v>0.5</v>
      </c>
      <c r="E170" s="14"/>
      <c r="F170" s="47"/>
      <c r="G170" s="15"/>
      <c r="H170" s="98">
        <f t="shared" si="4"/>
        <v>0.5</v>
      </c>
      <c r="I170" s="75">
        <v>0.5</v>
      </c>
      <c r="J170" s="76">
        <f t="shared" si="5"/>
        <v>0</v>
      </c>
      <c r="L170" s="81"/>
      <c r="M170" s="81" t="s">
        <v>2</v>
      </c>
      <c r="N170" s="40">
        <v>0.5</v>
      </c>
      <c r="P170" s="29" t="s">
        <v>239</v>
      </c>
      <c r="Q170" s="29">
        <v>13.75</v>
      </c>
      <c r="S170" s="78">
        <v>27557</v>
      </c>
      <c r="T170" s="29">
        <v>10</v>
      </c>
    </row>
    <row r="171" spans="2:20" x14ac:dyDescent="0.25">
      <c r="B171" s="8"/>
      <c r="C171" s="8" t="s">
        <v>3</v>
      </c>
      <c r="D171" s="75">
        <v>0.5</v>
      </c>
      <c r="E171" s="14"/>
      <c r="F171" s="47"/>
      <c r="G171" s="15"/>
      <c r="H171" s="98">
        <f t="shared" si="4"/>
        <v>0.5</v>
      </c>
      <c r="I171" s="75">
        <v>0.5</v>
      </c>
      <c r="J171" s="76">
        <f t="shared" si="5"/>
        <v>0</v>
      </c>
      <c r="L171" s="81"/>
      <c r="M171" s="81" t="s">
        <v>3</v>
      </c>
      <c r="N171" s="40">
        <v>0.5</v>
      </c>
      <c r="P171" s="29" t="s">
        <v>240</v>
      </c>
      <c r="Q171" s="29">
        <v>14.88</v>
      </c>
      <c r="S171" s="78">
        <v>27558</v>
      </c>
      <c r="T171" s="29">
        <v>10</v>
      </c>
    </row>
    <row r="172" spans="2:20" x14ac:dyDescent="0.25">
      <c r="B172" s="8">
        <v>2016</v>
      </c>
      <c r="C172" s="8" t="s">
        <v>0</v>
      </c>
      <c r="D172" s="75">
        <v>0.5</v>
      </c>
      <c r="E172" s="14"/>
      <c r="F172" s="47"/>
      <c r="G172" s="15"/>
      <c r="H172" s="98">
        <f t="shared" si="4"/>
        <v>0.5</v>
      </c>
      <c r="I172" s="75">
        <v>0.5</v>
      </c>
      <c r="J172" s="76">
        <f t="shared" si="5"/>
        <v>0</v>
      </c>
      <c r="L172" s="81">
        <v>2016</v>
      </c>
      <c r="M172" s="81" t="s">
        <v>0</v>
      </c>
      <c r="N172" s="40">
        <v>0.5</v>
      </c>
      <c r="P172" s="29" t="s">
        <v>241</v>
      </c>
      <c r="Q172" s="29">
        <v>13.88</v>
      </c>
      <c r="S172" s="78">
        <v>27559</v>
      </c>
      <c r="T172" s="29">
        <v>10</v>
      </c>
    </row>
    <row r="173" spans="2:20" x14ac:dyDescent="0.25">
      <c r="B173" s="8"/>
      <c r="C173" s="8" t="s">
        <v>1</v>
      </c>
      <c r="D173" s="75">
        <v>0.5</v>
      </c>
      <c r="E173" s="14"/>
      <c r="F173" s="47"/>
      <c r="G173" s="15"/>
      <c r="H173" s="98">
        <f t="shared" si="4"/>
        <v>0.5</v>
      </c>
      <c r="I173" s="75">
        <v>0.5</v>
      </c>
      <c r="J173" s="76">
        <f t="shared" si="5"/>
        <v>0</v>
      </c>
      <c r="L173" s="81"/>
      <c r="M173" s="81" t="s">
        <v>1</v>
      </c>
      <c r="N173" s="40">
        <v>0.5</v>
      </c>
      <c r="P173" s="29" t="s">
        <v>242</v>
      </c>
      <c r="Q173" s="29">
        <v>13.38</v>
      </c>
      <c r="S173" s="78">
        <v>27560</v>
      </c>
      <c r="T173" s="29">
        <v>10</v>
      </c>
    </row>
    <row r="174" spans="2:20" x14ac:dyDescent="0.25">
      <c r="B174" s="8"/>
      <c r="C174" s="8" t="s">
        <v>2</v>
      </c>
      <c r="D174" s="75">
        <v>0.34239130434782611</v>
      </c>
      <c r="E174" s="14"/>
      <c r="F174" s="47"/>
      <c r="G174" s="15"/>
      <c r="H174" s="98">
        <f t="shared" si="4"/>
        <v>0.34239130434782611</v>
      </c>
      <c r="I174" s="75">
        <v>0.34239130434782611</v>
      </c>
      <c r="J174" s="76">
        <f t="shared" si="5"/>
        <v>0</v>
      </c>
      <c r="L174" s="81"/>
      <c r="M174" s="81" t="s">
        <v>2</v>
      </c>
      <c r="N174" s="40">
        <v>0.34239130434782611</v>
      </c>
      <c r="P174" s="29" t="s">
        <v>243</v>
      </c>
      <c r="Q174" s="29">
        <v>12.88</v>
      </c>
      <c r="S174" s="78">
        <v>27561</v>
      </c>
      <c r="T174" s="29">
        <v>10</v>
      </c>
    </row>
    <row r="175" spans="2:20" x14ac:dyDescent="0.25">
      <c r="B175" s="8"/>
      <c r="C175" s="8" t="s">
        <v>3</v>
      </c>
      <c r="D175" s="75">
        <v>0.25</v>
      </c>
      <c r="E175" s="14"/>
      <c r="F175" s="47"/>
      <c r="G175" s="15"/>
      <c r="H175" s="98">
        <f t="shared" si="4"/>
        <v>0.25</v>
      </c>
      <c r="I175" s="75">
        <v>0.25</v>
      </c>
      <c r="J175" s="76">
        <f t="shared" si="5"/>
        <v>0</v>
      </c>
      <c r="L175" s="81"/>
      <c r="M175" s="81" t="s">
        <v>3</v>
      </c>
      <c r="N175" s="40">
        <v>0.25</v>
      </c>
      <c r="P175" s="29" t="s">
        <v>244</v>
      </c>
      <c r="Q175" s="29">
        <v>12.38</v>
      </c>
      <c r="S175" s="78">
        <v>27562</v>
      </c>
      <c r="T175" s="29">
        <v>10</v>
      </c>
    </row>
    <row r="176" spans="2:20" x14ac:dyDescent="0.25">
      <c r="B176" s="8">
        <v>2017</v>
      </c>
      <c r="C176" s="8" t="s">
        <v>0</v>
      </c>
      <c r="D176" s="75">
        <v>0.25</v>
      </c>
      <c r="E176" s="14"/>
      <c r="F176" s="47"/>
      <c r="G176" s="10"/>
      <c r="H176" s="98">
        <f t="shared" si="4"/>
        <v>0.25</v>
      </c>
      <c r="I176" s="75">
        <v>0.25</v>
      </c>
      <c r="J176" s="76">
        <f t="shared" si="5"/>
        <v>0</v>
      </c>
      <c r="L176" s="81">
        <v>2017</v>
      </c>
      <c r="M176" s="81" t="s">
        <v>0</v>
      </c>
      <c r="N176" s="40">
        <v>0.25</v>
      </c>
      <c r="P176" s="29" t="s">
        <v>245</v>
      </c>
      <c r="Q176" s="29">
        <v>11.88</v>
      </c>
      <c r="S176" s="78">
        <v>27563</v>
      </c>
      <c r="T176" s="29">
        <v>10</v>
      </c>
    </row>
    <row r="177" spans="2:21" x14ac:dyDescent="0.25">
      <c r="B177" s="8"/>
      <c r="C177" s="8" t="s">
        <v>1</v>
      </c>
      <c r="D177" s="75">
        <v>0.25</v>
      </c>
      <c r="E177" s="14"/>
      <c r="F177" s="47"/>
      <c r="G177" s="10"/>
      <c r="H177" s="98">
        <f t="shared" si="4"/>
        <v>0.25</v>
      </c>
      <c r="I177" s="75">
        <v>0.25</v>
      </c>
      <c r="J177" s="76">
        <f t="shared" si="5"/>
        <v>0</v>
      </c>
      <c r="L177" s="81"/>
      <c r="M177" s="81" t="s">
        <v>1</v>
      </c>
      <c r="N177" s="40">
        <v>0.25</v>
      </c>
      <c r="P177" s="29" t="s">
        <v>246</v>
      </c>
      <c r="Q177" s="29">
        <v>11.38</v>
      </c>
      <c r="S177" s="78">
        <v>27564</v>
      </c>
      <c r="T177" s="29">
        <v>10</v>
      </c>
    </row>
    <row r="178" spans="2:21" x14ac:dyDescent="0.25">
      <c r="B178" s="8"/>
      <c r="C178" s="8" t="s">
        <v>2</v>
      </c>
      <c r="D178" s="75">
        <v>0.25</v>
      </c>
      <c r="E178" s="14"/>
      <c r="F178" s="47"/>
      <c r="G178" s="10"/>
      <c r="H178" s="98">
        <f t="shared" si="4"/>
        <v>0.25</v>
      </c>
      <c r="I178" s="75">
        <v>0.25</v>
      </c>
      <c r="J178" s="76">
        <f t="shared" si="5"/>
        <v>0</v>
      </c>
      <c r="L178" s="81"/>
      <c r="M178" s="81" t="s">
        <v>2</v>
      </c>
      <c r="N178" s="40">
        <v>0.25</v>
      </c>
      <c r="P178" s="29" t="s">
        <v>247</v>
      </c>
      <c r="Q178" s="29">
        <v>10.88</v>
      </c>
      <c r="S178" s="78">
        <v>27565</v>
      </c>
      <c r="T178" s="29">
        <v>10</v>
      </c>
    </row>
    <row r="179" spans="2:21" x14ac:dyDescent="0.25">
      <c r="B179" s="8"/>
      <c r="C179" s="8" t="s">
        <v>3</v>
      </c>
      <c r="D179" s="75">
        <v>0.41304347826086957</v>
      </c>
      <c r="E179" s="14"/>
      <c r="F179" s="47"/>
      <c r="G179" s="10"/>
      <c r="H179" s="98">
        <f t="shared" si="4"/>
        <v>0.41304347826086957</v>
      </c>
      <c r="I179" s="75">
        <v>0.41304347826086957</v>
      </c>
      <c r="J179" s="76">
        <f t="shared" si="5"/>
        <v>0</v>
      </c>
      <c r="L179" s="81"/>
      <c r="M179" s="81" t="s">
        <v>3</v>
      </c>
      <c r="N179" s="40">
        <v>0.41304347826086957</v>
      </c>
      <c r="P179" s="29" t="s">
        <v>248</v>
      </c>
      <c r="Q179" s="29">
        <v>10.38</v>
      </c>
      <c r="S179" s="78">
        <v>27566</v>
      </c>
      <c r="T179" s="29">
        <v>10</v>
      </c>
    </row>
    <row r="180" spans="2:21" x14ac:dyDescent="0.25">
      <c r="B180" s="8">
        <v>2018</v>
      </c>
      <c r="C180" s="8" t="s">
        <v>0</v>
      </c>
      <c r="D180" s="75">
        <v>0.5</v>
      </c>
      <c r="E180" s="14"/>
      <c r="F180" s="47"/>
      <c r="G180" s="10"/>
      <c r="H180" s="98">
        <f t="shared" si="4"/>
        <v>0.5</v>
      </c>
      <c r="I180" s="75">
        <v>0.5</v>
      </c>
      <c r="J180" s="76">
        <f t="shared" si="5"/>
        <v>0</v>
      </c>
      <c r="L180" s="81">
        <v>2018</v>
      </c>
      <c r="M180" s="81" t="s">
        <v>0</v>
      </c>
      <c r="N180" s="40">
        <v>0.5</v>
      </c>
      <c r="P180" s="29" t="s">
        <v>249</v>
      </c>
      <c r="Q180" s="29">
        <v>9.8800000000000008</v>
      </c>
      <c r="S180" s="78">
        <v>27567</v>
      </c>
      <c r="T180" s="29">
        <v>10</v>
      </c>
    </row>
    <row r="181" spans="2:21" x14ac:dyDescent="0.25">
      <c r="B181" s="8"/>
      <c r="C181" s="8" t="s">
        <v>1</v>
      </c>
      <c r="D181" s="75">
        <v>0.5</v>
      </c>
      <c r="E181" s="14"/>
      <c r="F181" s="47"/>
      <c r="G181" s="10"/>
      <c r="H181" s="98">
        <f t="shared" si="4"/>
        <v>0.5</v>
      </c>
      <c r="I181" s="75">
        <v>0.5</v>
      </c>
      <c r="J181" s="76">
        <f t="shared" si="5"/>
        <v>0</v>
      </c>
      <c r="L181" s="81"/>
      <c r="M181" s="81" t="s">
        <v>1</v>
      </c>
      <c r="N181" s="40">
        <v>0.5</v>
      </c>
      <c r="P181" s="29" t="s">
        <v>250</v>
      </c>
      <c r="Q181" s="29">
        <v>8.8800000000000008</v>
      </c>
      <c r="S181" s="78">
        <v>27568</v>
      </c>
      <c r="T181" s="29">
        <v>10</v>
      </c>
    </row>
    <row r="182" spans="2:21" x14ac:dyDescent="0.25">
      <c r="B182" s="8"/>
      <c r="C182" s="8" t="s">
        <v>2</v>
      </c>
      <c r="D182" s="75">
        <v>0.66304347826086951</v>
      </c>
      <c r="E182" s="14"/>
      <c r="F182" s="47"/>
      <c r="G182" s="10"/>
      <c r="H182" s="98">
        <f t="shared" si="4"/>
        <v>0.66304347826086951</v>
      </c>
      <c r="I182" s="75">
        <v>0.66304347826086951</v>
      </c>
      <c r="J182" s="76">
        <f t="shared" si="5"/>
        <v>0</v>
      </c>
      <c r="L182" s="81"/>
      <c r="M182" s="81" t="s">
        <v>2</v>
      </c>
      <c r="N182" s="40">
        <v>0.66304347826086951</v>
      </c>
      <c r="P182" s="29" t="s">
        <v>251</v>
      </c>
      <c r="Q182" s="29">
        <v>7.88</v>
      </c>
      <c r="S182" s="78">
        <v>27569</v>
      </c>
      <c r="T182" s="29">
        <v>10</v>
      </c>
    </row>
    <row r="183" spans="2:21" x14ac:dyDescent="0.25">
      <c r="B183" s="8"/>
      <c r="C183" s="8" t="s">
        <v>3</v>
      </c>
      <c r="D183" s="75">
        <v>0.75</v>
      </c>
      <c r="E183" s="14"/>
      <c r="F183" s="47"/>
      <c r="G183" s="10"/>
      <c r="H183" s="98">
        <f t="shared" si="4"/>
        <v>0.75</v>
      </c>
      <c r="I183" s="75">
        <v>0.75</v>
      </c>
      <c r="J183" s="76">
        <f t="shared" si="5"/>
        <v>0</v>
      </c>
      <c r="L183" s="81"/>
      <c r="M183" s="81" t="s">
        <v>3</v>
      </c>
      <c r="N183" s="40">
        <v>0.75</v>
      </c>
      <c r="P183" s="29" t="s">
        <v>252</v>
      </c>
      <c r="Q183" s="29">
        <v>6.88</v>
      </c>
      <c r="S183" s="78">
        <v>27570</v>
      </c>
      <c r="T183" s="29">
        <v>10</v>
      </c>
    </row>
    <row r="184" spans="2:21" x14ac:dyDescent="0.25">
      <c r="B184">
        <v>2019</v>
      </c>
      <c r="C184" s="8" t="s">
        <v>0</v>
      </c>
      <c r="D184" s="75">
        <v>0.75</v>
      </c>
      <c r="E184" s="14"/>
      <c r="F184" s="47"/>
      <c r="G184" s="11"/>
      <c r="H184" s="98">
        <f t="shared" si="4"/>
        <v>0.75</v>
      </c>
      <c r="L184" s="29">
        <v>2019</v>
      </c>
      <c r="M184" s="81" t="s">
        <v>0</v>
      </c>
      <c r="P184" s="29" t="s">
        <v>253</v>
      </c>
      <c r="Q184" s="29">
        <v>5.88</v>
      </c>
      <c r="S184" s="78">
        <v>27571</v>
      </c>
      <c r="T184" s="29">
        <v>10</v>
      </c>
    </row>
    <row r="185" spans="2:21" x14ac:dyDescent="0.25">
      <c r="C185" s="8" t="s">
        <v>1</v>
      </c>
      <c r="D185" s="75">
        <v>0.75</v>
      </c>
      <c r="E185" s="14"/>
      <c r="F185" s="47"/>
      <c r="G185" s="11"/>
      <c r="H185" s="98">
        <f t="shared" si="4"/>
        <v>0.75</v>
      </c>
      <c r="M185" s="81" t="s">
        <v>1</v>
      </c>
      <c r="P185" s="29" t="s">
        <v>254</v>
      </c>
      <c r="Q185" s="29">
        <v>5.38</v>
      </c>
      <c r="S185" s="78">
        <v>27572</v>
      </c>
      <c r="T185" s="29">
        <v>10</v>
      </c>
    </row>
    <row r="186" spans="2:21" x14ac:dyDescent="0.25">
      <c r="C186" s="8" t="s">
        <v>2</v>
      </c>
      <c r="D186" s="75">
        <v>0.75</v>
      </c>
      <c r="E186" s="12"/>
      <c r="F186" s="47"/>
      <c r="G186" s="11"/>
      <c r="H186" s="98">
        <f t="shared" si="4"/>
        <v>0.75</v>
      </c>
      <c r="M186" s="81" t="s">
        <v>2</v>
      </c>
      <c r="P186" s="29" t="s">
        <v>255</v>
      </c>
      <c r="Q186" s="29">
        <v>5.13</v>
      </c>
      <c r="S186" s="78">
        <v>27573</v>
      </c>
      <c r="T186" s="29">
        <v>10</v>
      </c>
    </row>
    <row r="187" spans="2:21" x14ac:dyDescent="0.25">
      <c r="C187" s="8" t="s">
        <v>3</v>
      </c>
      <c r="D187" s="75">
        <v>0.75</v>
      </c>
      <c r="E187" s="12"/>
      <c r="F187" s="47"/>
      <c r="G187" s="11"/>
      <c r="H187" s="98">
        <f t="shared" si="4"/>
        <v>0.75</v>
      </c>
      <c r="M187" s="81" t="s">
        <v>3</v>
      </c>
      <c r="P187" s="29" t="s">
        <v>256</v>
      </c>
      <c r="Q187" s="29">
        <v>5.63</v>
      </c>
      <c r="S187" s="78">
        <v>27574</v>
      </c>
      <c r="T187" s="29">
        <v>10</v>
      </c>
    </row>
    <row r="188" spans="2:21" x14ac:dyDescent="0.25">
      <c r="B188">
        <v>2020</v>
      </c>
      <c r="C188" s="8" t="s">
        <v>0</v>
      </c>
      <c r="D188" s="75">
        <v>0.61318681318681334</v>
      </c>
      <c r="E188" s="16"/>
      <c r="F188" s="47"/>
      <c r="G188" s="11"/>
      <c r="H188" s="98">
        <f t="shared" si="4"/>
        <v>0.61318681318681334</v>
      </c>
      <c r="L188" s="29">
        <v>2020</v>
      </c>
      <c r="M188" s="81" t="s">
        <v>0</v>
      </c>
      <c r="P188" s="29" t="s">
        <v>257</v>
      </c>
      <c r="Q188" s="29">
        <v>6.13</v>
      </c>
      <c r="S188" s="78">
        <v>27575</v>
      </c>
      <c r="T188" s="29">
        <v>10</v>
      </c>
      <c r="U188" s="40">
        <f>AVERAGE(T98:T188)</f>
        <v>9.9615384615384617</v>
      </c>
    </row>
    <row r="189" spans="2:21" x14ac:dyDescent="0.25">
      <c r="C189" s="8" t="s">
        <v>1</v>
      </c>
      <c r="D189" s="75">
        <v>9.9999999999999825E-2</v>
      </c>
      <c r="E189" s="16"/>
      <c r="F189" s="47"/>
      <c r="G189" s="11"/>
      <c r="H189" s="98">
        <f t="shared" si="4"/>
        <v>9.9999999999999825E-2</v>
      </c>
      <c r="M189" s="81" t="s">
        <v>1</v>
      </c>
      <c r="P189" s="29" t="s">
        <v>258</v>
      </c>
      <c r="Q189" s="29">
        <v>6.63</v>
      </c>
      <c r="S189" s="78">
        <v>27576</v>
      </c>
      <c r="T189" s="29">
        <v>10</v>
      </c>
    </row>
    <row r="190" spans="2:21" x14ac:dyDescent="0.25">
      <c r="C190" s="8" t="s">
        <v>2</v>
      </c>
      <c r="D190" s="75">
        <v>9.9999999999999825E-2</v>
      </c>
      <c r="E190" s="16"/>
      <c r="F190" s="47"/>
      <c r="G190" s="11"/>
      <c r="H190" s="98">
        <f t="shared" si="4"/>
        <v>9.9999999999999825E-2</v>
      </c>
      <c r="M190" s="81" t="s">
        <v>2</v>
      </c>
      <c r="P190" s="29" t="s">
        <v>259</v>
      </c>
      <c r="Q190" s="29">
        <v>6.38</v>
      </c>
      <c r="S190" s="78">
        <v>27577</v>
      </c>
      <c r="T190" s="29">
        <v>10</v>
      </c>
    </row>
    <row r="191" spans="2:21" x14ac:dyDescent="0.25">
      <c r="C191" s="8" t="s">
        <v>3</v>
      </c>
      <c r="D191" s="75">
        <v>9.9999999999999825E-2</v>
      </c>
      <c r="E191" s="16"/>
      <c r="F191" s="47"/>
      <c r="G191" s="11"/>
      <c r="H191" s="98">
        <f t="shared" si="4"/>
        <v>9.9999999999999825E-2</v>
      </c>
      <c r="M191" s="81" t="s">
        <v>3</v>
      </c>
      <c r="P191" s="29" t="s">
        <v>260</v>
      </c>
      <c r="Q191" s="29">
        <v>6.13</v>
      </c>
      <c r="S191" s="78">
        <v>27578</v>
      </c>
      <c r="T191" s="29">
        <v>10</v>
      </c>
    </row>
    <row r="192" spans="2:21" x14ac:dyDescent="0.25">
      <c r="B192">
        <v>2021</v>
      </c>
      <c r="C192" s="8" t="s">
        <v>0</v>
      </c>
      <c r="D192" s="75">
        <v>9.9999999999999825E-2</v>
      </c>
      <c r="E192" s="16"/>
      <c r="F192" s="47"/>
      <c r="G192" s="11"/>
      <c r="H192" s="98">
        <f t="shared" si="4"/>
        <v>9.9999999999999825E-2</v>
      </c>
      <c r="L192" s="29">
        <v>2021</v>
      </c>
      <c r="M192" s="81" t="s">
        <v>0</v>
      </c>
      <c r="P192" s="29" t="s">
        <v>261</v>
      </c>
      <c r="Q192" s="29">
        <v>5.94</v>
      </c>
      <c r="S192" s="78">
        <v>27579</v>
      </c>
      <c r="T192" s="29">
        <v>10</v>
      </c>
    </row>
    <row r="193" spans="2:20" x14ac:dyDescent="0.25">
      <c r="C193" s="8" t="s">
        <v>1</v>
      </c>
      <c r="D193" s="75">
        <v>9.9999999999999825E-2</v>
      </c>
      <c r="E193" s="16"/>
      <c r="F193" s="47"/>
      <c r="G193" s="11"/>
      <c r="H193" s="98">
        <f t="shared" si="4"/>
        <v>9.9999999999999825E-2</v>
      </c>
      <c r="M193" s="81" t="s">
        <v>1</v>
      </c>
      <c r="P193" s="29" t="s">
        <v>262</v>
      </c>
      <c r="Q193" s="29">
        <v>5.69</v>
      </c>
      <c r="S193" s="78">
        <v>27580</v>
      </c>
      <c r="T193" s="29">
        <v>10</v>
      </c>
    </row>
    <row r="194" spans="2:20" x14ac:dyDescent="0.25">
      <c r="C194" s="8" t="s">
        <v>2</v>
      </c>
      <c r="D194" s="75">
        <v>9.9999999999999825E-2</v>
      </c>
      <c r="E194" s="17"/>
      <c r="F194" s="47"/>
      <c r="G194" s="11"/>
      <c r="H194" s="98">
        <f t="shared" si="4"/>
        <v>9.9999999999999825E-2</v>
      </c>
      <c r="M194" s="81" t="s">
        <v>2</v>
      </c>
      <c r="P194" s="29" t="s">
        <v>263</v>
      </c>
      <c r="Q194" s="29">
        <v>5.94</v>
      </c>
      <c r="S194" s="78">
        <v>27581</v>
      </c>
      <c r="T194" s="29">
        <v>10</v>
      </c>
    </row>
    <row r="195" spans="2:20" x14ac:dyDescent="0.25">
      <c r="C195" s="8" t="s">
        <v>3</v>
      </c>
      <c r="D195" s="75">
        <v>0.12608695652173901</v>
      </c>
      <c r="E195" s="16"/>
      <c r="F195" s="47"/>
      <c r="G195" s="11"/>
      <c r="H195" s="98">
        <f t="shared" si="4"/>
        <v>0.12608695652173901</v>
      </c>
      <c r="M195" s="81" t="s">
        <v>3</v>
      </c>
      <c r="P195" s="29" t="s">
        <v>264</v>
      </c>
      <c r="Q195" s="29">
        <v>6.25</v>
      </c>
      <c r="S195" s="78">
        <v>27582</v>
      </c>
      <c r="T195" s="29">
        <v>10</v>
      </c>
    </row>
    <row r="196" spans="2:20" x14ac:dyDescent="0.25">
      <c r="B196">
        <v>2022</v>
      </c>
      <c r="C196" s="8" t="s">
        <v>0</v>
      </c>
      <c r="D196" s="75">
        <v>0.45</v>
      </c>
      <c r="E196" s="16"/>
      <c r="F196" s="47"/>
      <c r="G196" s="11"/>
      <c r="H196" s="98">
        <f t="shared" si="4"/>
        <v>0.45</v>
      </c>
      <c r="L196" s="29">
        <v>2022</v>
      </c>
      <c r="M196" s="81" t="s">
        <v>0</v>
      </c>
      <c r="P196" s="29" t="s">
        <v>265</v>
      </c>
      <c r="Q196" s="29">
        <v>6.5</v>
      </c>
      <c r="S196" s="78">
        <v>27583</v>
      </c>
      <c r="T196" s="29">
        <v>10</v>
      </c>
    </row>
    <row r="197" spans="2:20" x14ac:dyDescent="0.25">
      <c r="C197" s="8" t="s">
        <v>1</v>
      </c>
      <c r="D197" s="75">
        <v>0.94780219780219777</v>
      </c>
      <c r="E197" s="16"/>
      <c r="F197" s="47"/>
      <c r="G197" s="11"/>
      <c r="H197" s="98">
        <f t="shared" si="4"/>
        <v>0.94780219780219777</v>
      </c>
      <c r="M197" s="81" t="s">
        <v>1</v>
      </c>
      <c r="P197" s="29" t="s">
        <v>266</v>
      </c>
      <c r="Q197" s="29">
        <v>6.75</v>
      </c>
      <c r="S197" s="78">
        <v>27584</v>
      </c>
      <c r="T197" s="29">
        <v>10</v>
      </c>
    </row>
    <row r="198" spans="2:20" x14ac:dyDescent="0.25">
      <c r="P198" s="29" t="s">
        <v>267</v>
      </c>
      <c r="Q198" s="29">
        <v>7</v>
      </c>
      <c r="S198" s="78">
        <v>27585</v>
      </c>
      <c r="T198" s="29">
        <v>10</v>
      </c>
    </row>
    <row r="199" spans="2:20" x14ac:dyDescent="0.25">
      <c r="P199" s="29" t="s">
        <v>268</v>
      </c>
      <c r="Q199" s="29">
        <v>7.25</v>
      </c>
      <c r="S199" s="78">
        <v>27586</v>
      </c>
      <c r="T199" s="29">
        <v>10</v>
      </c>
    </row>
    <row r="200" spans="2:20" x14ac:dyDescent="0.25">
      <c r="P200" s="29" t="s">
        <v>269</v>
      </c>
      <c r="Q200" s="29">
        <v>7.5</v>
      </c>
      <c r="S200" s="78">
        <v>27587</v>
      </c>
      <c r="T200" s="29">
        <v>10</v>
      </c>
    </row>
    <row r="201" spans="2:20" x14ac:dyDescent="0.25">
      <c r="P201" s="29" t="s">
        <v>270</v>
      </c>
      <c r="Q201" s="29">
        <v>7.25</v>
      </c>
      <c r="S201" s="78">
        <v>27588</v>
      </c>
      <c r="T201" s="29">
        <v>10</v>
      </c>
    </row>
    <row r="202" spans="2:20" x14ac:dyDescent="0.25">
      <c r="P202" s="29" t="s">
        <v>271</v>
      </c>
      <c r="Q202" s="29">
        <v>6.75</v>
      </c>
      <c r="S202" s="78">
        <v>27589</v>
      </c>
      <c r="T202" s="29">
        <v>10</v>
      </c>
    </row>
    <row r="203" spans="2:20" x14ac:dyDescent="0.25">
      <c r="P203" s="29" t="s">
        <v>272</v>
      </c>
      <c r="Q203" s="29">
        <v>6.25</v>
      </c>
      <c r="S203" s="78">
        <v>27590</v>
      </c>
      <c r="T203" s="29">
        <v>10</v>
      </c>
    </row>
    <row r="204" spans="2:20" x14ac:dyDescent="0.25">
      <c r="P204" s="29" t="s">
        <v>273</v>
      </c>
      <c r="Q204" s="29">
        <v>6</v>
      </c>
      <c r="S204" s="78">
        <v>27591</v>
      </c>
      <c r="T204" s="29">
        <v>10</v>
      </c>
    </row>
    <row r="205" spans="2:20" x14ac:dyDescent="0.25">
      <c r="P205" s="29" t="s">
        <v>274</v>
      </c>
      <c r="Q205" s="29">
        <v>5.5</v>
      </c>
      <c r="S205" s="78">
        <v>27592</v>
      </c>
      <c r="T205" s="29">
        <v>10</v>
      </c>
    </row>
    <row r="206" spans="2:20" x14ac:dyDescent="0.25">
      <c r="P206" s="29" t="s">
        <v>275</v>
      </c>
      <c r="Q206" s="29">
        <v>5.25</v>
      </c>
      <c r="S206" s="78">
        <v>27593</v>
      </c>
      <c r="T206" s="29">
        <v>10</v>
      </c>
    </row>
    <row r="207" spans="2:20" x14ac:dyDescent="0.25">
      <c r="P207" s="29" t="s">
        <v>276</v>
      </c>
      <c r="Q207" s="29">
        <v>5</v>
      </c>
      <c r="S207" s="78">
        <v>27594</v>
      </c>
      <c r="T207" s="29">
        <v>10</v>
      </c>
    </row>
    <row r="208" spans="2:20" x14ac:dyDescent="0.25">
      <c r="P208" s="29" t="s">
        <v>277</v>
      </c>
      <c r="Q208" s="29">
        <v>5.25</v>
      </c>
      <c r="S208" s="78">
        <v>27595</v>
      </c>
      <c r="T208" s="29">
        <v>10</v>
      </c>
    </row>
    <row r="209" spans="16:20" x14ac:dyDescent="0.25">
      <c r="P209" s="29" t="s">
        <v>278</v>
      </c>
      <c r="Q209" s="29">
        <v>5.5</v>
      </c>
      <c r="S209" s="78">
        <v>27596</v>
      </c>
      <c r="T209" s="29">
        <v>10</v>
      </c>
    </row>
    <row r="210" spans="16:20" x14ac:dyDescent="0.25">
      <c r="P210" s="29" t="s">
        <v>279</v>
      </c>
      <c r="Q210" s="29">
        <v>5.75</v>
      </c>
      <c r="S210" s="78">
        <v>27597</v>
      </c>
      <c r="T210" s="29">
        <v>10</v>
      </c>
    </row>
    <row r="211" spans="16:20" x14ac:dyDescent="0.25">
      <c r="P211" s="29" t="s">
        <v>280</v>
      </c>
      <c r="Q211" s="29">
        <v>6</v>
      </c>
      <c r="S211" s="78">
        <v>27598</v>
      </c>
      <c r="T211" s="29">
        <v>10</v>
      </c>
    </row>
    <row r="212" spans="16:20" x14ac:dyDescent="0.25">
      <c r="P212" s="29" t="s">
        <v>281</v>
      </c>
      <c r="Q212" s="29">
        <v>5.75</v>
      </c>
      <c r="S212" s="78">
        <v>27599</v>
      </c>
      <c r="T212" s="29">
        <v>10</v>
      </c>
    </row>
    <row r="213" spans="16:20" x14ac:dyDescent="0.25">
      <c r="P213" s="29" t="s">
        <v>282</v>
      </c>
      <c r="Q213" s="29">
        <v>5.5</v>
      </c>
      <c r="S213" s="78">
        <v>27600</v>
      </c>
      <c r="T213" s="29">
        <v>10</v>
      </c>
    </row>
    <row r="214" spans="16:20" x14ac:dyDescent="0.25">
      <c r="P214" s="29" t="s">
        <v>283</v>
      </c>
      <c r="Q214" s="29">
        <v>5.25</v>
      </c>
      <c r="S214" s="78">
        <v>27601</v>
      </c>
      <c r="T214" s="29">
        <v>10</v>
      </c>
    </row>
    <row r="215" spans="16:20" x14ac:dyDescent="0.25">
      <c r="P215" s="29" t="s">
        <v>284</v>
      </c>
      <c r="Q215" s="29">
        <v>5</v>
      </c>
      <c r="S215" s="78">
        <v>27602</v>
      </c>
      <c r="T215" s="29">
        <v>10</v>
      </c>
    </row>
    <row r="216" spans="16:20" x14ac:dyDescent="0.25">
      <c r="P216" s="29" t="s">
        <v>285</v>
      </c>
      <c r="Q216" s="29">
        <v>4.75</v>
      </c>
      <c r="S216" s="78">
        <v>27603</v>
      </c>
      <c r="T216" s="29">
        <v>11</v>
      </c>
    </row>
    <row r="217" spans="16:20" x14ac:dyDescent="0.25">
      <c r="P217" s="29" t="s">
        <v>286</v>
      </c>
      <c r="Q217" s="29">
        <v>4.5</v>
      </c>
      <c r="S217" s="78">
        <v>27604</v>
      </c>
      <c r="T217" s="29">
        <v>11</v>
      </c>
    </row>
    <row r="218" spans="16:20" x14ac:dyDescent="0.25">
      <c r="P218" s="29" t="s">
        <v>287</v>
      </c>
      <c r="Q218" s="29">
        <v>4</v>
      </c>
      <c r="S218" s="78">
        <v>27605</v>
      </c>
      <c r="T218" s="29">
        <v>11</v>
      </c>
    </row>
    <row r="219" spans="16:20" x14ac:dyDescent="0.25">
      <c r="P219" s="29" t="s">
        <v>288</v>
      </c>
      <c r="Q219" s="29">
        <v>3.75</v>
      </c>
      <c r="S219" s="78">
        <v>27606</v>
      </c>
      <c r="T219" s="29">
        <v>11</v>
      </c>
    </row>
    <row r="220" spans="16:20" x14ac:dyDescent="0.25">
      <c r="P220" s="29" t="s">
        <v>289</v>
      </c>
      <c r="Q220" s="29">
        <v>3.5</v>
      </c>
      <c r="S220" s="78">
        <v>27607</v>
      </c>
      <c r="T220" s="29">
        <v>11</v>
      </c>
    </row>
    <row r="221" spans="16:20" x14ac:dyDescent="0.25">
      <c r="P221" s="29" t="s">
        <v>290</v>
      </c>
      <c r="Q221" s="29">
        <v>3.75</v>
      </c>
      <c r="S221" s="78">
        <v>27608</v>
      </c>
      <c r="T221" s="29">
        <v>11</v>
      </c>
    </row>
    <row r="222" spans="16:20" x14ac:dyDescent="0.25">
      <c r="P222" s="29" t="s">
        <v>291</v>
      </c>
      <c r="Q222" s="29">
        <v>4</v>
      </c>
      <c r="S222" s="78">
        <v>27609</v>
      </c>
      <c r="T222" s="29">
        <v>11</v>
      </c>
    </row>
    <row r="223" spans="16:20" x14ac:dyDescent="0.25">
      <c r="P223" s="29" t="s">
        <v>292</v>
      </c>
      <c r="Q223" s="29">
        <v>4.25</v>
      </c>
      <c r="S223" s="78">
        <v>27610</v>
      </c>
      <c r="T223" s="29">
        <v>11</v>
      </c>
    </row>
    <row r="224" spans="16:20" x14ac:dyDescent="0.25">
      <c r="P224" s="29" t="s">
        <v>293</v>
      </c>
      <c r="Q224" s="29">
        <v>4.5</v>
      </c>
      <c r="S224" s="78">
        <v>27611</v>
      </c>
      <c r="T224" s="29">
        <v>11</v>
      </c>
    </row>
    <row r="225" spans="16:20" x14ac:dyDescent="0.25">
      <c r="P225" s="29" t="s">
        <v>294</v>
      </c>
      <c r="Q225" s="29">
        <v>4.75</v>
      </c>
      <c r="S225" s="78">
        <v>27612</v>
      </c>
      <c r="T225" s="29">
        <v>11</v>
      </c>
    </row>
    <row r="226" spans="16:20" x14ac:dyDescent="0.25">
      <c r="P226" s="29" t="s">
        <v>295</v>
      </c>
      <c r="Q226" s="29">
        <v>4.5</v>
      </c>
      <c r="S226" s="78">
        <v>27613</v>
      </c>
      <c r="T226" s="29">
        <v>11</v>
      </c>
    </row>
    <row r="227" spans="16:20" x14ac:dyDescent="0.25">
      <c r="P227" s="29" t="s">
        <v>296</v>
      </c>
      <c r="Q227" s="29">
        <v>4.75</v>
      </c>
      <c r="S227" s="78">
        <v>27614</v>
      </c>
      <c r="T227" s="29">
        <v>11</v>
      </c>
    </row>
    <row r="228" spans="16:20" x14ac:dyDescent="0.25">
      <c r="P228" s="29" t="s">
        <v>297</v>
      </c>
      <c r="Q228" s="29">
        <v>5</v>
      </c>
      <c r="S228" s="78">
        <v>27615</v>
      </c>
      <c r="T228" s="29">
        <v>11</v>
      </c>
    </row>
    <row r="229" spans="16:20" x14ac:dyDescent="0.25">
      <c r="P229" s="29" t="s">
        <v>298</v>
      </c>
      <c r="Q229" s="29">
        <v>5.25</v>
      </c>
      <c r="S229" s="78">
        <v>27616</v>
      </c>
      <c r="T229" s="29">
        <v>11</v>
      </c>
    </row>
    <row r="230" spans="16:20" x14ac:dyDescent="0.25">
      <c r="P230" s="29" t="s">
        <v>299</v>
      </c>
      <c r="Q230" s="29">
        <v>5.5</v>
      </c>
      <c r="S230" s="78">
        <v>27617</v>
      </c>
      <c r="T230" s="29">
        <v>11</v>
      </c>
    </row>
    <row r="231" spans="16:20" x14ac:dyDescent="0.25">
      <c r="P231" s="29" t="s">
        <v>300</v>
      </c>
      <c r="Q231" s="29">
        <v>5.75</v>
      </c>
      <c r="S231" s="78">
        <v>27618</v>
      </c>
      <c r="T231" s="29">
        <v>11</v>
      </c>
    </row>
    <row r="232" spans="16:20" x14ac:dyDescent="0.25">
      <c r="P232" s="29" t="s">
        <v>301</v>
      </c>
      <c r="Q232" s="29">
        <v>5.5</v>
      </c>
      <c r="S232" s="78">
        <v>27619</v>
      </c>
      <c r="T232" s="29">
        <v>11</v>
      </c>
    </row>
    <row r="233" spans="16:20" x14ac:dyDescent="0.25">
      <c r="P233" s="29" t="s">
        <v>302</v>
      </c>
      <c r="Q233" s="29">
        <v>5.25</v>
      </c>
      <c r="S233" s="78">
        <v>27620</v>
      </c>
      <c r="T233" s="29">
        <v>11</v>
      </c>
    </row>
    <row r="234" spans="16:20" x14ac:dyDescent="0.25">
      <c r="P234" s="29" t="s">
        <v>303</v>
      </c>
      <c r="Q234" s="29">
        <v>5</v>
      </c>
      <c r="S234" s="78">
        <v>27621</v>
      </c>
      <c r="T234" s="29">
        <v>11</v>
      </c>
    </row>
    <row r="235" spans="16:20" x14ac:dyDescent="0.25">
      <c r="P235" s="29" t="s">
        <v>304</v>
      </c>
      <c r="Q235" s="29">
        <v>4.5</v>
      </c>
      <c r="S235" s="78">
        <v>27622</v>
      </c>
      <c r="T235" s="29">
        <v>11</v>
      </c>
    </row>
    <row r="236" spans="16:20" x14ac:dyDescent="0.25">
      <c r="P236" s="29" t="s">
        <v>305</v>
      </c>
      <c r="Q236" s="29">
        <v>3</v>
      </c>
      <c r="S236" s="78">
        <v>27623</v>
      </c>
      <c r="T236" s="29">
        <v>11</v>
      </c>
    </row>
    <row r="237" spans="16:20" x14ac:dyDescent="0.25">
      <c r="P237" s="29" t="s">
        <v>306</v>
      </c>
      <c r="Q237" s="29">
        <v>2</v>
      </c>
      <c r="S237" s="78">
        <v>27624</v>
      </c>
      <c r="T237" s="29">
        <v>11</v>
      </c>
    </row>
    <row r="238" spans="16:20" x14ac:dyDescent="0.25">
      <c r="P238" s="29" t="s">
        <v>307</v>
      </c>
      <c r="Q238" s="29">
        <v>1.5</v>
      </c>
      <c r="S238" s="78">
        <v>27625</v>
      </c>
      <c r="T238" s="29">
        <v>11</v>
      </c>
    </row>
    <row r="239" spans="16:20" x14ac:dyDescent="0.25">
      <c r="P239" s="29" t="s">
        <v>308</v>
      </c>
      <c r="Q239" s="29">
        <v>1</v>
      </c>
      <c r="S239" s="78">
        <v>27626</v>
      </c>
      <c r="T239" s="29">
        <v>11</v>
      </c>
    </row>
    <row r="240" spans="16:20" x14ac:dyDescent="0.25">
      <c r="P240" s="29" t="s">
        <v>309</v>
      </c>
      <c r="Q240" s="29">
        <v>0.5</v>
      </c>
      <c r="S240" s="78">
        <v>27627</v>
      </c>
      <c r="T240" s="29">
        <v>11</v>
      </c>
    </row>
    <row r="241" spans="16:20" x14ac:dyDescent="0.25">
      <c r="P241" s="29" t="s">
        <v>310</v>
      </c>
      <c r="Q241" s="29">
        <v>0.25</v>
      </c>
      <c r="S241" s="78">
        <v>27628</v>
      </c>
      <c r="T241" s="29">
        <v>11</v>
      </c>
    </row>
    <row r="242" spans="16:20" x14ac:dyDescent="0.25">
      <c r="P242" s="29" t="s">
        <v>311</v>
      </c>
      <c r="Q242" s="29">
        <v>0.5</v>
      </c>
      <c r="S242" s="78">
        <v>27629</v>
      </c>
      <c r="T242" s="29">
        <v>11</v>
      </c>
    </row>
    <row r="243" spans="16:20" x14ac:dyDescent="0.25">
      <c r="P243" s="29" t="s">
        <v>312</v>
      </c>
      <c r="Q243" s="29">
        <v>0.75</v>
      </c>
      <c r="S243" s="78">
        <v>27630</v>
      </c>
      <c r="T243" s="29">
        <v>11</v>
      </c>
    </row>
    <row r="244" spans="16:20" x14ac:dyDescent="0.25">
      <c r="P244" s="29" t="s">
        <v>313</v>
      </c>
      <c r="Q244" s="29">
        <v>0.25</v>
      </c>
      <c r="S244" s="78">
        <v>27631</v>
      </c>
      <c r="T244" s="29">
        <v>11</v>
      </c>
    </row>
    <row r="245" spans="16:20" x14ac:dyDescent="0.25">
      <c r="P245" s="29" t="s">
        <v>314</v>
      </c>
      <c r="Q245" s="29">
        <v>0.1</v>
      </c>
      <c r="S245" s="78">
        <v>27632</v>
      </c>
      <c r="T245" s="29">
        <v>11</v>
      </c>
    </row>
    <row r="246" spans="16:20" x14ac:dyDescent="0.25">
      <c r="P246" s="29" t="s">
        <v>315</v>
      </c>
      <c r="Q246" s="29">
        <v>0.25</v>
      </c>
      <c r="S246" s="78">
        <v>27633</v>
      </c>
      <c r="T246" s="29">
        <v>11</v>
      </c>
    </row>
    <row r="247" spans="16:20" x14ac:dyDescent="0.25">
      <c r="P247" s="29" t="s">
        <v>316</v>
      </c>
      <c r="Q247" s="29">
        <v>0.5</v>
      </c>
      <c r="S247" s="78">
        <v>27634</v>
      </c>
      <c r="T247" s="29">
        <v>11</v>
      </c>
    </row>
    <row r="248" spans="16:20" x14ac:dyDescent="0.25">
      <c r="P248" s="29" t="s">
        <v>317</v>
      </c>
      <c r="Q248" s="29">
        <v>0.75</v>
      </c>
      <c r="S248" s="78">
        <v>27635</v>
      </c>
      <c r="T248" s="29">
        <v>11</v>
      </c>
    </row>
    <row r="249" spans="16:20" x14ac:dyDescent="0.25">
      <c r="P249" s="29" t="s">
        <v>318</v>
      </c>
      <c r="Q249" s="29">
        <v>1</v>
      </c>
      <c r="S249" s="78">
        <v>27636</v>
      </c>
      <c r="T249" s="29">
        <v>11</v>
      </c>
    </row>
    <row r="250" spans="16:20" x14ac:dyDescent="0.25">
      <c r="P250" s="29" t="s">
        <v>319</v>
      </c>
      <c r="Q250" s="29">
        <v>1.25</v>
      </c>
      <c r="S250" s="78">
        <v>27637</v>
      </c>
      <c r="T250" s="29">
        <v>11</v>
      </c>
    </row>
    <row r="251" spans="16:20" x14ac:dyDescent="0.25">
      <c r="P251" s="29" t="s">
        <v>320</v>
      </c>
      <c r="Q251" s="29">
        <v>1.75</v>
      </c>
      <c r="S251" s="78">
        <v>27638</v>
      </c>
      <c r="T251" s="29">
        <v>11</v>
      </c>
    </row>
    <row r="252" spans="16:20" x14ac:dyDescent="0.25">
      <c r="P252" s="29" t="s">
        <v>321</v>
      </c>
      <c r="Q252" s="29">
        <v>2.25</v>
      </c>
      <c r="S252" s="78">
        <v>27639</v>
      </c>
      <c r="T252" s="29">
        <v>11</v>
      </c>
    </row>
    <row r="253" spans="16:20" x14ac:dyDescent="0.25">
      <c r="P253" s="29" t="s">
        <v>322</v>
      </c>
      <c r="Q253" s="29">
        <v>3</v>
      </c>
      <c r="S253" s="78">
        <v>27640</v>
      </c>
      <c r="T253" s="29">
        <v>11</v>
      </c>
    </row>
    <row r="254" spans="16:20" x14ac:dyDescent="0.25">
      <c r="P254" s="29" t="s">
        <v>323</v>
      </c>
      <c r="Q254" s="29">
        <v>3.5</v>
      </c>
      <c r="S254" s="78">
        <v>27641</v>
      </c>
      <c r="T254" s="29">
        <v>11</v>
      </c>
    </row>
    <row r="255" spans="16:20" x14ac:dyDescent="0.25">
      <c r="P255" s="29" t="s">
        <v>324</v>
      </c>
      <c r="Q255" s="29">
        <v>4</v>
      </c>
      <c r="S255" s="78">
        <v>27642</v>
      </c>
      <c r="T255" s="29">
        <v>11</v>
      </c>
    </row>
    <row r="256" spans="16:20" x14ac:dyDescent="0.25">
      <c r="P256" s="29" t="s">
        <v>325</v>
      </c>
      <c r="Q256" s="29">
        <v>4.25</v>
      </c>
      <c r="S256" s="78">
        <v>27643</v>
      </c>
      <c r="T256" s="29">
        <v>11</v>
      </c>
    </row>
    <row r="257" spans="19:20" x14ac:dyDescent="0.25">
      <c r="S257" s="78">
        <v>27644</v>
      </c>
      <c r="T257" s="29">
        <v>11</v>
      </c>
    </row>
    <row r="258" spans="19:20" x14ac:dyDescent="0.25">
      <c r="S258" s="78">
        <v>27645</v>
      </c>
      <c r="T258" s="29">
        <v>11</v>
      </c>
    </row>
    <row r="259" spans="19:20" x14ac:dyDescent="0.25">
      <c r="S259" s="78">
        <v>27646</v>
      </c>
      <c r="T259" s="29">
        <v>11</v>
      </c>
    </row>
    <row r="260" spans="19:20" x14ac:dyDescent="0.25">
      <c r="S260" s="78">
        <v>27647</v>
      </c>
      <c r="T260" s="29">
        <v>11</v>
      </c>
    </row>
    <row r="261" spans="19:20" x14ac:dyDescent="0.25">
      <c r="S261" s="78">
        <v>27648</v>
      </c>
      <c r="T261" s="29">
        <v>11</v>
      </c>
    </row>
    <row r="262" spans="19:20" x14ac:dyDescent="0.25">
      <c r="S262" s="78">
        <v>27649</v>
      </c>
      <c r="T262" s="29">
        <v>11</v>
      </c>
    </row>
    <row r="263" spans="19:20" x14ac:dyDescent="0.25">
      <c r="S263" s="78">
        <v>27650</v>
      </c>
      <c r="T263" s="29">
        <v>11</v>
      </c>
    </row>
    <row r="264" spans="19:20" x14ac:dyDescent="0.25">
      <c r="S264" s="78">
        <v>27651</v>
      </c>
      <c r="T264" s="29">
        <v>11</v>
      </c>
    </row>
    <row r="265" spans="19:20" x14ac:dyDescent="0.25">
      <c r="S265" s="78">
        <v>27652</v>
      </c>
      <c r="T265" s="29">
        <v>11</v>
      </c>
    </row>
    <row r="266" spans="19:20" x14ac:dyDescent="0.25">
      <c r="S266" s="78">
        <v>27653</v>
      </c>
      <c r="T266" s="29">
        <v>11</v>
      </c>
    </row>
    <row r="267" spans="19:20" x14ac:dyDescent="0.25">
      <c r="S267" s="78">
        <v>27654</v>
      </c>
      <c r="T267" s="29">
        <v>11</v>
      </c>
    </row>
    <row r="268" spans="19:20" x14ac:dyDescent="0.25">
      <c r="S268" s="78">
        <v>27655</v>
      </c>
      <c r="T268" s="29">
        <v>11</v>
      </c>
    </row>
    <row r="269" spans="19:20" x14ac:dyDescent="0.25">
      <c r="S269" s="78">
        <v>27656</v>
      </c>
      <c r="T269" s="29">
        <v>11</v>
      </c>
    </row>
    <row r="270" spans="19:20" x14ac:dyDescent="0.25">
      <c r="S270" s="78">
        <v>27657</v>
      </c>
      <c r="T270" s="29">
        <v>11</v>
      </c>
    </row>
    <row r="271" spans="19:20" x14ac:dyDescent="0.25">
      <c r="S271" s="78">
        <v>27658</v>
      </c>
      <c r="T271" s="29">
        <v>11</v>
      </c>
    </row>
    <row r="272" spans="19:20" x14ac:dyDescent="0.25">
      <c r="S272" s="78">
        <v>27659</v>
      </c>
      <c r="T272" s="29">
        <v>11</v>
      </c>
    </row>
    <row r="273" spans="19:21" x14ac:dyDescent="0.25">
      <c r="S273" s="78">
        <v>27660</v>
      </c>
      <c r="T273" s="29">
        <v>11</v>
      </c>
    </row>
    <row r="274" spans="19:21" x14ac:dyDescent="0.25">
      <c r="S274" s="78">
        <v>27661</v>
      </c>
      <c r="T274" s="29">
        <v>11</v>
      </c>
    </row>
    <row r="275" spans="19:21" x14ac:dyDescent="0.25">
      <c r="S275" s="78">
        <v>27662</v>
      </c>
      <c r="T275" s="29">
        <v>11</v>
      </c>
    </row>
    <row r="276" spans="19:21" x14ac:dyDescent="0.25">
      <c r="S276" s="78">
        <v>27663</v>
      </c>
      <c r="T276" s="29">
        <v>11</v>
      </c>
    </row>
    <row r="277" spans="19:21" x14ac:dyDescent="0.25">
      <c r="S277" s="78">
        <v>27664</v>
      </c>
      <c r="T277" s="29">
        <v>11</v>
      </c>
    </row>
    <row r="278" spans="19:21" x14ac:dyDescent="0.25">
      <c r="S278" s="78">
        <v>27665</v>
      </c>
      <c r="T278" s="29">
        <v>11</v>
      </c>
    </row>
    <row r="279" spans="19:21" x14ac:dyDescent="0.25">
      <c r="S279" s="78">
        <v>27666</v>
      </c>
      <c r="T279" s="29">
        <v>11</v>
      </c>
    </row>
    <row r="280" spans="19:21" x14ac:dyDescent="0.25">
      <c r="S280" s="78">
        <v>27667</v>
      </c>
      <c r="T280" s="29">
        <v>11</v>
      </c>
      <c r="U280" s="40">
        <f>AVERAGE(T189:T280)</f>
        <v>10.706521739130435</v>
      </c>
    </row>
    <row r="281" spans="19:21" x14ac:dyDescent="0.25">
      <c r="S281" s="78">
        <v>27668</v>
      </c>
      <c r="T281" s="29">
        <v>11</v>
      </c>
    </row>
    <row r="282" spans="19:21" x14ac:dyDescent="0.25">
      <c r="S282" s="78">
        <v>27669</v>
      </c>
      <c r="T282" s="29">
        <v>11</v>
      </c>
    </row>
    <row r="283" spans="19:21" x14ac:dyDescent="0.25">
      <c r="S283" s="78">
        <v>27670</v>
      </c>
      <c r="T283" s="29">
        <v>11</v>
      </c>
    </row>
    <row r="284" spans="19:21" x14ac:dyDescent="0.25">
      <c r="S284" s="78">
        <v>27671</v>
      </c>
      <c r="T284" s="29">
        <v>11</v>
      </c>
    </row>
    <row r="285" spans="19:21" x14ac:dyDescent="0.25">
      <c r="S285" s="78">
        <v>27672</v>
      </c>
      <c r="T285" s="29">
        <v>11</v>
      </c>
    </row>
    <row r="286" spans="19:21" x14ac:dyDescent="0.25">
      <c r="S286" s="78">
        <v>27673</v>
      </c>
      <c r="T286" s="29">
        <v>12</v>
      </c>
    </row>
    <row r="287" spans="19:21" x14ac:dyDescent="0.25">
      <c r="S287" s="78">
        <v>27674</v>
      </c>
      <c r="T287" s="29">
        <v>12</v>
      </c>
    </row>
    <row r="288" spans="19:21" x14ac:dyDescent="0.25">
      <c r="S288" s="78">
        <v>27675</v>
      </c>
      <c r="T288" s="29">
        <v>12</v>
      </c>
    </row>
    <row r="289" spans="19:20" x14ac:dyDescent="0.25">
      <c r="S289" s="78">
        <v>27676</v>
      </c>
      <c r="T289" s="29">
        <v>12</v>
      </c>
    </row>
    <row r="290" spans="19:20" x14ac:dyDescent="0.25">
      <c r="S290" s="78">
        <v>27677</v>
      </c>
      <c r="T290" s="29">
        <v>12</v>
      </c>
    </row>
    <row r="291" spans="19:20" x14ac:dyDescent="0.25">
      <c r="S291" s="78">
        <v>27678</v>
      </c>
      <c r="T291" s="29">
        <v>12</v>
      </c>
    </row>
    <row r="292" spans="19:20" x14ac:dyDescent="0.25">
      <c r="S292" s="78">
        <v>27679</v>
      </c>
      <c r="T292" s="29">
        <v>12</v>
      </c>
    </row>
    <row r="293" spans="19:20" x14ac:dyDescent="0.25">
      <c r="S293" s="78">
        <v>27680</v>
      </c>
      <c r="T293" s="29">
        <v>12</v>
      </c>
    </row>
    <row r="294" spans="19:20" x14ac:dyDescent="0.25">
      <c r="S294" s="78">
        <v>27681</v>
      </c>
      <c r="T294" s="29">
        <v>12</v>
      </c>
    </row>
    <row r="295" spans="19:20" x14ac:dyDescent="0.25">
      <c r="S295" s="78">
        <v>27682</v>
      </c>
      <c r="T295" s="29">
        <v>12</v>
      </c>
    </row>
    <row r="296" spans="19:20" x14ac:dyDescent="0.25">
      <c r="S296" s="78">
        <v>27683</v>
      </c>
      <c r="T296" s="29">
        <v>12</v>
      </c>
    </row>
    <row r="297" spans="19:20" x14ac:dyDescent="0.25">
      <c r="S297" s="78">
        <v>27684</v>
      </c>
      <c r="T297" s="29">
        <v>12</v>
      </c>
    </row>
    <row r="298" spans="19:20" x14ac:dyDescent="0.25">
      <c r="S298" s="78">
        <v>27685</v>
      </c>
      <c r="T298" s="29">
        <v>12</v>
      </c>
    </row>
    <row r="299" spans="19:20" x14ac:dyDescent="0.25">
      <c r="S299" s="78">
        <v>27686</v>
      </c>
      <c r="T299" s="29">
        <v>12</v>
      </c>
    </row>
    <row r="300" spans="19:20" x14ac:dyDescent="0.25">
      <c r="S300" s="78">
        <v>27687</v>
      </c>
      <c r="T300" s="29">
        <v>12</v>
      </c>
    </row>
    <row r="301" spans="19:20" x14ac:dyDescent="0.25">
      <c r="S301" s="78">
        <v>27688</v>
      </c>
      <c r="T301" s="29">
        <v>12</v>
      </c>
    </row>
    <row r="302" spans="19:20" x14ac:dyDescent="0.25">
      <c r="S302" s="78">
        <v>27689</v>
      </c>
      <c r="T302" s="29">
        <v>12</v>
      </c>
    </row>
    <row r="303" spans="19:20" x14ac:dyDescent="0.25">
      <c r="S303" s="78">
        <v>27690</v>
      </c>
      <c r="T303" s="29">
        <v>12</v>
      </c>
    </row>
    <row r="304" spans="19:20" x14ac:dyDescent="0.25">
      <c r="S304" s="78">
        <v>27691</v>
      </c>
      <c r="T304" s="29">
        <v>12</v>
      </c>
    </row>
    <row r="305" spans="19:20" x14ac:dyDescent="0.25">
      <c r="S305" s="78">
        <v>27692</v>
      </c>
      <c r="T305" s="29">
        <v>12</v>
      </c>
    </row>
    <row r="306" spans="19:20" x14ac:dyDescent="0.25">
      <c r="S306" s="78">
        <v>27693</v>
      </c>
      <c r="T306" s="29">
        <v>12</v>
      </c>
    </row>
    <row r="307" spans="19:20" x14ac:dyDescent="0.25">
      <c r="S307" s="78">
        <v>27694</v>
      </c>
      <c r="T307" s="29">
        <v>12</v>
      </c>
    </row>
    <row r="308" spans="19:20" x14ac:dyDescent="0.25">
      <c r="S308" s="78">
        <v>27695</v>
      </c>
      <c r="T308" s="29">
        <v>12</v>
      </c>
    </row>
    <row r="309" spans="19:20" x14ac:dyDescent="0.25">
      <c r="S309" s="78">
        <v>27696</v>
      </c>
      <c r="T309" s="29">
        <v>12</v>
      </c>
    </row>
    <row r="310" spans="19:20" x14ac:dyDescent="0.25">
      <c r="S310" s="78">
        <v>27697</v>
      </c>
      <c r="T310" s="29">
        <v>12</v>
      </c>
    </row>
    <row r="311" spans="19:20" x14ac:dyDescent="0.25">
      <c r="S311" s="78">
        <v>27698</v>
      </c>
      <c r="T311" s="29">
        <v>12</v>
      </c>
    </row>
    <row r="312" spans="19:20" x14ac:dyDescent="0.25">
      <c r="S312" s="78">
        <v>27699</v>
      </c>
      <c r="T312" s="29">
        <v>12</v>
      </c>
    </row>
    <row r="313" spans="19:20" x14ac:dyDescent="0.25">
      <c r="S313" s="78">
        <v>27700</v>
      </c>
      <c r="T313" s="29">
        <v>12</v>
      </c>
    </row>
    <row r="314" spans="19:20" x14ac:dyDescent="0.25">
      <c r="S314" s="78">
        <v>27701</v>
      </c>
      <c r="T314" s="29">
        <v>12</v>
      </c>
    </row>
    <row r="315" spans="19:20" x14ac:dyDescent="0.25">
      <c r="S315" s="78">
        <v>27702</v>
      </c>
      <c r="T315" s="29">
        <v>12</v>
      </c>
    </row>
    <row r="316" spans="19:20" x14ac:dyDescent="0.25">
      <c r="S316" s="78">
        <v>27703</v>
      </c>
      <c r="T316" s="29">
        <v>12</v>
      </c>
    </row>
    <row r="317" spans="19:20" x14ac:dyDescent="0.25">
      <c r="S317" s="78">
        <v>27704</v>
      </c>
      <c r="T317" s="29">
        <v>12</v>
      </c>
    </row>
    <row r="318" spans="19:20" x14ac:dyDescent="0.25">
      <c r="S318" s="78">
        <v>27705</v>
      </c>
      <c r="T318" s="29">
        <v>12</v>
      </c>
    </row>
    <row r="319" spans="19:20" x14ac:dyDescent="0.25">
      <c r="S319" s="78">
        <v>27706</v>
      </c>
      <c r="T319" s="29">
        <v>12</v>
      </c>
    </row>
    <row r="320" spans="19:20" x14ac:dyDescent="0.25">
      <c r="S320" s="78">
        <v>27707</v>
      </c>
      <c r="T320" s="29">
        <v>12</v>
      </c>
    </row>
    <row r="321" spans="19:20" x14ac:dyDescent="0.25">
      <c r="S321" s="78">
        <v>27708</v>
      </c>
      <c r="T321" s="29">
        <v>12</v>
      </c>
    </row>
    <row r="322" spans="19:20" x14ac:dyDescent="0.25">
      <c r="S322" s="78">
        <v>27709</v>
      </c>
      <c r="T322" s="29">
        <v>12</v>
      </c>
    </row>
    <row r="323" spans="19:20" x14ac:dyDescent="0.25">
      <c r="S323" s="78">
        <v>27710</v>
      </c>
      <c r="T323" s="29">
        <v>12</v>
      </c>
    </row>
    <row r="324" spans="19:20" x14ac:dyDescent="0.25">
      <c r="S324" s="78">
        <v>27711</v>
      </c>
      <c r="T324" s="29">
        <v>12</v>
      </c>
    </row>
    <row r="325" spans="19:20" x14ac:dyDescent="0.25">
      <c r="S325" s="78">
        <v>27712</v>
      </c>
      <c r="T325" s="29">
        <v>12</v>
      </c>
    </row>
    <row r="326" spans="19:20" x14ac:dyDescent="0.25">
      <c r="S326" s="78">
        <v>27713</v>
      </c>
      <c r="T326" s="29">
        <v>12</v>
      </c>
    </row>
    <row r="327" spans="19:20" x14ac:dyDescent="0.25">
      <c r="S327" s="78">
        <v>27714</v>
      </c>
      <c r="T327" s="29">
        <v>12</v>
      </c>
    </row>
    <row r="328" spans="19:20" x14ac:dyDescent="0.25">
      <c r="S328" s="78">
        <v>27715</v>
      </c>
      <c r="T328" s="29">
        <v>11.75</v>
      </c>
    </row>
    <row r="329" spans="19:20" x14ac:dyDescent="0.25">
      <c r="S329" s="78">
        <v>27716</v>
      </c>
      <c r="T329" s="29">
        <v>11.75</v>
      </c>
    </row>
    <row r="330" spans="19:20" x14ac:dyDescent="0.25">
      <c r="S330" s="78">
        <v>27717</v>
      </c>
      <c r="T330" s="29">
        <v>11.75</v>
      </c>
    </row>
    <row r="331" spans="19:20" x14ac:dyDescent="0.25">
      <c r="S331" s="78">
        <v>27718</v>
      </c>
      <c r="T331" s="29">
        <v>11.75</v>
      </c>
    </row>
    <row r="332" spans="19:20" x14ac:dyDescent="0.25">
      <c r="S332" s="78">
        <v>27719</v>
      </c>
      <c r="T332" s="29">
        <v>11.75</v>
      </c>
    </row>
    <row r="333" spans="19:20" x14ac:dyDescent="0.25">
      <c r="S333" s="78">
        <v>27720</v>
      </c>
      <c r="T333" s="29">
        <v>11.75</v>
      </c>
    </row>
    <row r="334" spans="19:20" x14ac:dyDescent="0.25">
      <c r="S334" s="78">
        <v>27721</v>
      </c>
      <c r="T334" s="29">
        <v>11.75</v>
      </c>
    </row>
    <row r="335" spans="19:20" x14ac:dyDescent="0.25">
      <c r="S335" s="78">
        <v>27722</v>
      </c>
      <c r="T335" s="29">
        <v>11.75</v>
      </c>
    </row>
    <row r="336" spans="19:20" x14ac:dyDescent="0.25">
      <c r="S336" s="78">
        <v>27723</v>
      </c>
      <c r="T336" s="29">
        <v>11.75</v>
      </c>
    </row>
    <row r="337" spans="19:20" x14ac:dyDescent="0.25">
      <c r="S337" s="78">
        <v>27724</v>
      </c>
      <c r="T337" s="29">
        <v>11.75</v>
      </c>
    </row>
    <row r="338" spans="19:20" x14ac:dyDescent="0.25">
      <c r="S338" s="78">
        <v>27725</v>
      </c>
      <c r="T338" s="29">
        <v>11.75</v>
      </c>
    </row>
    <row r="339" spans="19:20" x14ac:dyDescent="0.25">
      <c r="S339" s="78">
        <v>27726</v>
      </c>
      <c r="T339" s="29">
        <v>11.75</v>
      </c>
    </row>
    <row r="340" spans="19:20" x14ac:dyDescent="0.25">
      <c r="S340" s="78">
        <v>27727</v>
      </c>
      <c r="T340" s="29">
        <v>11.75</v>
      </c>
    </row>
    <row r="341" spans="19:20" x14ac:dyDescent="0.25">
      <c r="S341" s="78">
        <v>27728</v>
      </c>
      <c r="T341" s="29">
        <v>11.75</v>
      </c>
    </row>
    <row r="342" spans="19:20" x14ac:dyDescent="0.25">
      <c r="S342" s="78">
        <v>27729</v>
      </c>
      <c r="T342" s="29">
        <v>11.5</v>
      </c>
    </row>
    <row r="343" spans="19:20" x14ac:dyDescent="0.25">
      <c r="S343" s="78">
        <v>27730</v>
      </c>
      <c r="T343" s="29">
        <v>11.5</v>
      </c>
    </row>
    <row r="344" spans="19:20" x14ac:dyDescent="0.25">
      <c r="S344" s="78">
        <v>27731</v>
      </c>
      <c r="T344" s="29">
        <v>11.5</v>
      </c>
    </row>
    <row r="345" spans="19:20" x14ac:dyDescent="0.25">
      <c r="S345" s="78">
        <v>27732</v>
      </c>
      <c r="T345" s="29">
        <v>11.5</v>
      </c>
    </row>
    <row r="346" spans="19:20" x14ac:dyDescent="0.25">
      <c r="S346" s="78">
        <v>27733</v>
      </c>
      <c r="T346" s="29">
        <v>11.5</v>
      </c>
    </row>
    <row r="347" spans="19:20" x14ac:dyDescent="0.25">
      <c r="S347" s="78">
        <v>27734</v>
      </c>
      <c r="T347" s="29">
        <v>11.5</v>
      </c>
    </row>
    <row r="348" spans="19:20" x14ac:dyDescent="0.25">
      <c r="S348" s="78">
        <v>27735</v>
      </c>
      <c r="T348" s="29">
        <v>11.5</v>
      </c>
    </row>
    <row r="349" spans="19:20" x14ac:dyDescent="0.25">
      <c r="S349" s="78">
        <v>27736</v>
      </c>
      <c r="T349" s="29">
        <v>11.5</v>
      </c>
    </row>
    <row r="350" spans="19:20" x14ac:dyDescent="0.25">
      <c r="S350" s="78">
        <v>27737</v>
      </c>
      <c r="T350" s="29">
        <v>11.5</v>
      </c>
    </row>
    <row r="351" spans="19:20" x14ac:dyDescent="0.25">
      <c r="S351" s="78">
        <v>27738</v>
      </c>
      <c r="T351" s="29">
        <v>11.5</v>
      </c>
    </row>
    <row r="352" spans="19:20" x14ac:dyDescent="0.25">
      <c r="S352" s="78">
        <v>27739</v>
      </c>
      <c r="T352" s="29">
        <v>11.5</v>
      </c>
    </row>
    <row r="353" spans="19:20" x14ac:dyDescent="0.25">
      <c r="S353" s="78">
        <v>27740</v>
      </c>
      <c r="T353" s="29">
        <v>11.5</v>
      </c>
    </row>
    <row r="354" spans="19:20" x14ac:dyDescent="0.25">
      <c r="S354" s="78">
        <v>27741</v>
      </c>
      <c r="T354" s="29">
        <v>11.5</v>
      </c>
    </row>
    <row r="355" spans="19:20" x14ac:dyDescent="0.25">
      <c r="S355" s="78">
        <v>27742</v>
      </c>
      <c r="T355" s="29">
        <v>11.5</v>
      </c>
    </row>
    <row r="356" spans="19:20" x14ac:dyDescent="0.25">
      <c r="S356" s="78">
        <v>27743</v>
      </c>
      <c r="T356" s="29">
        <v>11.5</v>
      </c>
    </row>
    <row r="357" spans="19:20" x14ac:dyDescent="0.25">
      <c r="S357" s="78">
        <v>27744</v>
      </c>
      <c r="T357" s="29">
        <v>11.5</v>
      </c>
    </row>
    <row r="358" spans="19:20" x14ac:dyDescent="0.25">
      <c r="S358" s="78">
        <v>27745</v>
      </c>
      <c r="T358" s="29">
        <v>11.5</v>
      </c>
    </row>
    <row r="359" spans="19:20" x14ac:dyDescent="0.25">
      <c r="S359" s="78">
        <v>27746</v>
      </c>
      <c r="T359" s="29">
        <v>11.5</v>
      </c>
    </row>
    <row r="360" spans="19:20" x14ac:dyDescent="0.25">
      <c r="S360" s="78">
        <v>27747</v>
      </c>
      <c r="T360" s="29">
        <v>11.5</v>
      </c>
    </row>
    <row r="361" spans="19:20" x14ac:dyDescent="0.25">
      <c r="S361" s="78">
        <v>27748</v>
      </c>
      <c r="T361" s="29">
        <v>11.5</v>
      </c>
    </row>
    <row r="362" spans="19:20" x14ac:dyDescent="0.25">
      <c r="S362" s="78">
        <v>27749</v>
      </c>
      <c r="T362" s="29">
        <v>11.5</v>
      </c>
    </row>
    <row r="363" spans="19:20" x14ac:dyDescent="0.25">
      <c r="S363" s="78">
        <v>27750</v>
      </c>
      <c r="T363" s="29">
        <v>11.5</v>
      </c>
    </row>
    <row r="364" spans="19:20" x14ac:dyDescent="0.25">
      <c r="S364" s="78">
        <v>27751</v>
      </c>
      <c r="T364" s="29">
        <v>11.5</v>
      </c>
    </row>
    <row r="365" spans="19:20" x14ac:dyDescent="0.25">
      <c r="S365" s="78">
        <v>27752</v>
      </c>
      <c r="T365" s="29">
        <v>11.5</v>
      </c>
    </row>
    <row r="366" spans="19:20" x14ac:dyDescent="0.25">
      <c r="S366" s="78">
        <v>27753</v>
      </c>
      <c r="T366" s="29">
        <v>11.5</v>
      </c>
    </row>
    <row r="367" spans="19:20" x14ac:dyDescent="0.25">
      <c r="S367" s="78">
        <v>27754</v>
      </c>
      <c r="T367" s="29">
        <v>11.5</v>
      </c>
    </row>
    <row r="368" spans="19:20" x14ac:dyDescent="0.25">
      <c r="S368" s="78">
        <v>27755</v>
      </c>
      <c r="T368" s="29">
        <v>11.5</v>
      </c>
    </row>
    <row r="369" spans="19:21" x14ac:dyDescent="0.25">
      <c r="S369" s="78">
        <v>27756</v>
      </c>
      <c r="T369" s="29">
        <v>11.5</v>
      </c>
    </row>
    <row r="370" spans="19:21" x14ac:dyDescent="0.25">
      <c r="S370" s="78">
        <v>27757</v>
      </c>
      <c r="T370" s="29">
        <v>11.25</v>
      </c>
    </row>
    <row r="371" spans="19:21" x14ac:dyDescent="0.25">
      <c r="S371" s="78">
        <v>27758</v>
      </c>
      <c r="T371" s="29">
        <v>11.25</v>
      </c>
    </row>
    <row r="372" spans="19:21" x14ac:dyDescent="0.25">
      <c r="S372" s="78">
        <v>27759</v>
      </c>
      <c r="T372" s="29">
        <v>11.25</v>
      </c>
      <c r="U372" s="40">
        <f>AVERAGE(T281:T372)</f>
        <v>11.730978260869565</v>
      </c>
    </row>
    <row r="373" spans="19:21" x14ac:dyDescent="0.25">
      <c r="S373" s="78">
        <v>27760</v>
      </c>
      <c r="T373" s="29">
        <v>11.25</v>
      </c>
    </row>
    <row r="374" spans="19:21" x14ac:dyDescent="0.25">
      <c r="S374" s="78">
        <v>27761</v>
      </c>
      <c r="T374" s="29">
        <v>11.25</v>
      </c>
    </row>
    <row r="375" spans="19:21" x14ac:dyDescent="0.25">
      <c r="S375" s="78">
        <v>27762</v>
      </c>
      <c r="T375" s="29">
        <v>11.25</v>
      </c>
    </row>
    <row r="376" spans="19:21" x14ac:dyDescent="0.25">
      <c r="S376" s="78">
        <v>27763</v>
      </c>
      <c r="T376" s="29">
        <v>11.25</v>
      </c>
    </row>
    <row r="377" spans="19:21" x14ac:dyDescent="0.25">
      <c r="S377" s="78">
        <v>27764</v>
      </c>
      <c r="T377" s="29">
        <v>11</v>
      </c>
    </row>
    <row r="378" spans="19:21" x14ac:dyDescent="0.25">
      <c r="S378" s="78">
        <v>27765</v>
      </c>
      <c r="T378" s="29">
        <v>11</v>
      </c>
    </row>
    <row r="379" spans="19:21" x14ac:dyDescent="0.25">
      <c r="S379" s="78">
        <v>27766</v>
      </c>
      <c r="T379" s="29">
        <v>11</v>
      </c>
    </row>
    <row r="380" spans="19:21" x14ac:dyDescent="0.25">
      <c r="S380" s="78">
        <v>27767</v>
      </c>
      <c r="T380" s="29">
        <v>11</v>
      </c>
    </row>
    <row r="381" spans="19:21" x14ac:dyDescent="0.25">
      <c r="S381" s="78">
        <v>27768</v>
      </c>
      <c r="T381" s="29">
        <v>11</v>
      </c>
    </row>
    <row r="382" spans="19:21" x14ac:dyDescent="0.25">
      <c r="S382" s="78">
        <v>27769</v>
      </c>
      <c r="T382" s="29">
        <v>11</v>
      </c>
    </row>
    <row r="383" spans="19:21" x14ac:dyDescent="0.25">
      <c r="S383" s="78">
        <v>27770</v>
      </c>
      <c r="T383" s="29">
        <v>11</v>
      </c>
    </row>
    <row r="384" spans="19:21" x14ac:dyDescent="0.25">
      <c r="S384" s="78">
        <v>27771</v>
      </c>
      <c r="T384" s="29">
        <v>11</v>
      </c>
    </row>
    <row r="385" spans="19:20" x14ac:dyDescent="0.25">
      <c r="S385" s="78">
        <v>27772</v>
      </c>
      <c r="T385" s="29">
        <v>11</v>
      </c>
    </row>
    <row r="386" spans="19:20" x14ac:dyDescent="0.25">
      <c r="S386" s="78">
        <v>27773</v>
      </c>
      <c r="T386" s="29">
        <v>11</v>
      </c>
    </row>
    <row r="387" spans="19:20" x14ac:dyDescent="0.25">
      <c r="S387" s="78">
        <v>27774</v>
      </c>
      <c r="T387" s="29">
        <v>11</v>
      </c>
    </row>
    <row r="388" spans="19:20" x14ac:dyDescent="0.25">
      <c r="S388" s="78">
        <v>27775</v>
      </c>
      <c r="T388" s="29">
        <v>11</v>
      </c>
    </row>
    <row r="389" spans="19:20" x14ac:dyDescent="0.25">
      <c r="S389" s="78">
        <v>27776</v>
      </c>
      <c r="T389" s="29">
        <v>11</v>
      </c>
    </row>
    <row r="390" spans="19:20" x14ac:dyDescent="0.25">
      <c r="S390" s="78">
        <v>27777</v>
      </c>
      <c r="T390" s="29">
        <v>11</v>
      </c>
    </row>
    <row r="391" spans="19:20" x14ac:dyDescent="0.25">
      <c r="S391" s="78">
        <v>27778</v>
      </c>
      <c r="T391" s="29">
        <v>10.75</v>
      </c>
    </row>
    <row r="392" spans="19:20" x14ac:dyDescent="0.25">
      <c r="S392" s="78">
        <v>27779</v>
      </c>
      <c r="T392" s="29">
        <v>10.75</v>
      </c>
    </row>
    <row r="393" spans="19:20" x14ac:dyDescent="0.25">
      <c r="S393" s="78">
        <v>27780</v>
      </c>
      <c r="T393" s="29">
        <v>10.75</v>
      </c>
    </row>
    <row r="394" spans="19:20" x14ac:dyDescent="0.25">
      <c r="S394" s="78">
        <v>27781</v>
      </c>
      <c r="T394" s="29">
        <v>10.75</v>
      </c>
    </row>
    <row r="395" spans="19:20" x14ac:dyDescent="0.25">
      <c r="S395" s="78">
        <v>27782</v>
      </c>
      <c r="T395" s="29">
        <v>10.75</v>
      </c>
    </row>
    <row r="396" spans="19:20" x14ac:dyDescent="0.25">
      <c r="S396" s="78">
        <v>27783</v>
      </c>
      <c r="T396" s="29">
        <v>10.75</v>
      </c>
    </row>
    <row r="397" spans="19:20" x14ac:dyDescent="0.25">
      <c r="S397" s="78">
        <v>27784</v>
      </c>
      <c r="T397" s="29">
        <v>10.75</v>
      </c>
    </row>
    <row r="398" spans="19:20" x14ac:dyDescent="0.25">
      <c r="S398" s="78">
        <v>27785</v>
      </c>
      <c r="T398" s="29">
        <v>10.5</v>
      </c>
    </row>
    <row r="399" spans="19:20" x14ac:dyDescent="0.25">
      <c r="S399" s="78">
        <v>27786</v>
      </c>
      <c r="T399" s="29">
        <v>10.5</v>
      </c>
    </row>
    <row r="400" spans="19:20" x14ac:dyDescent="0.25">
      <c r="S400" s="78">
        <v>27787</v>
      </c>
      <c r="T400" s="29">
        <v>10.5</v>
      </c>
    </row>
    <row r="401" spans="19:20" x14ac:dyDescent="0.25">
      <c r="S401" s="78">
        <v>27788</v>
      </c>
      <c r="T401" s="29">
        <v>10.5</v>
      </c>
    </row>
    <row r="402" spans="19:20" x14ac:dyDescent="0.25">
      <c r="S402" s="78">
        <v>27789</v>
      </c>
      <c r="T402" s="29">
        <v>10.5</v>
      </c>
    </row>
    <row r="403" spans="19:20" x14ac:dyDescent="0.25">
      <c r="S403" s="78">
        <v>27790</v>
      </c>
      <c r="T403" s="29">
        <v>10.5</v>
      </c>
    </row>
    <row r="404" spans="19:20" x14ac:dyDescent="0.25">
      <c r="S404" s="78">
        <v>27791</v>
      </c>
      <c r="T404" s="29">
        <v>10.5</v>
      </c>
    </row>
    <row r="405" spans="19:20" x14ac:dyDescent="0.25">
      <c r="S405" s="78">
        <v>27792</v>
      </c>
      <c r="T405" s="29">
        <v>10</v>
      </c>
    </row>
    <row r="406" spans="19:20" x14ac:dyDescent="0.25">
      <c r="S406" s="78">
        <v>27793</v>
      </c>
      <c r="T406" s="29">
        <v>10</v>
      </c>
    </row>
    <row r="407" spans="19:20" x14ac:dyDescent="0.25">
      <c r="S407" s="78">
        <v>27794</v>
      </c>
      <c r="T407" s="29">
        <v>10</v>
      </c>
    </row>
    <row r="408" spans="19:20" x14ac:dyDescent="0.25">
      <c r="S408" s="78">
        <v>27795</v>
      </c>
      <c r="T408" s="29">
        <v>10</v>
      </c>
    </row>
    <row r="409" spans="19:20" x14ac:dyDescent="0.25">
      <c r="S409" s="78">
        <v>27796</v>
      </c>
      <c r="T409" s="29">
        <v>10</v>
      </c>
    </row>
    <row r="410" spans="19:20" x14ac:dyDescent="0.25">
      <c r="S410" s="78">
        <v>27797</v>
      </c>
      <c r="T410" s="29">
        <v>10</v>
      </c>
    </row>
    <row r="411" spans="19:20" x14ac:dyDescent="0.25">
      <c r="S411" s="78">
        <v>27798</v>
      </c>
      <c r="T411" s="29">
        <v>10</v>
      </c>
    </row>
    <row r="412" spans="19:20" x14ac:dyDescent="0.25">
      <c r="S412" s="78">
        <v>27799</v>
      </c>
      <c r="T412" s="29">
        <v>9.5</v>
      </c>
    </row>
    <row r="413" spans="19:20" x14ac:dyDescent="0.25">
      <c r="S413" s="78">
        <v>27800</v>
      </c>
      <c r="T413" s="29">
        <v>9.5</v>
      </c>
    </row>
    <row r="414" spans="19:20" x14ac:dyDescent="0.25">
      <c r="S414" s="78">
        <v>27801</v>
      </c>
      <c r="T414" s="29">
        <v>9.5</v>
      </c>
    </row>
    <row r="415" spans="19:20" x14ac:dyDescent="0.25">
      <c r="S415" s="78">
        <v>27802</v>
      </c>
      <c r="T415" s="29">
        <v>9.5</v>
      </c>
    </row>
    <row r="416" spans="19:20" x14ac:dyDescent="0.25">
      <c r="S416" s="78">
        <v>27803</v>
      </c>
      <c r="T416" s="29">
        <v>9.5</v>
      </c>
    </row>
    <row r="417" spans="19:20" x14ac:dyDescent="0.25">
      <c r="S417" s="78">
        <v>27804</v>
      </c>
      <c r="T417" s="29">
        <v>9.5</v>
      </c>
    </row>
    <row r="418" spans="19:20" x14ac:dyDescent="0.25">
      <c r="S418" s="78">
        <v>27805</v>
      </c>
      <c r="T418" s="29">
        <v>9.5</v>
      </c>
    </row>
    <row r="419" spans="19:20" x14ac:dyDescent="0.25">
      <c r="S419" s="78">
        <v>27806</v>
      </c>
      <c r="T419" s="29">
        <v>9.5</v>
      </c>
    </row>
    <row r="420" spans="19:20" x14ac:dyDescent="0.25">
      <c r="S420" s="78">
        <v>27807</v>
      </c>
      <c r="T420" s="29">
        <v>9.5</v>
      </c>
    </row>
    <row r="421" spans="19:20" x14ac:dyDescent="0.25">
      <c r="S421" s="78">
        <v>27808</v>
      </c>
      <c r="T421" s="29">
        <v>9.5</v>
      </c>
    </row>
    <row r="422" spans="19:20" x14ac:dyDescent="0.25">
      <c r="S422" s="78">
        <v>27809</v>
      </c>
      <c r="T422" s="29">
        <v>9.5</v>
      </c>
    </row>
    <row r="423" spans="19:20" x14ac:dyDescent="0.25">
      <c r="S423" s="78">
        <v>27810</v>
      </c>
      <c r="T423" s="29">
        <v>9.5</v>
      </c>
    </row>
    <row r="424" spans="19:20" x14ac:dyDescent="0.25">
      <c r="S424" s="78">
        <v>27811</v>
      </c>
      <c r="T424" s="29">
        <v>9.5</v>
      </c>
    </row>
    <row r="425" spans="19:20" x14ac:dyDescent="0.25">
      <c r="S425" s="78">
        <v>27812</v>
      </c>
      <c r="T425" s="29">
        <v>9.5</v>
      </c>
    </row>
    <row r="426" spans="19:20" x14ac:dyDescent="0.25">
      <c r="S426" s="78">
        <v>27813</v>
      </c>
      <c r="T426" s="29">
        <v>9.5</v>
      </c>
    </row>
    <row r="427" spans="19:20" x14ac:dyDescent="0.25">
      <c r="S427" s="78">
        <v>27814</v>
      </c>
      <c r="T427" s="29">
        <v>9.5</v>
      </c>
    </row>
    <row r="428" spans="19:20" x14ac:dyDescent="0.25">
      <c r="S428" s="78">
        <v>27815</v>
      </c>
      <c r="T428" s="29">
        <v>9.5</v>
      </c>
    </row>
    <row r="429" spans="19:20" x14ac:dyDescent="0.25">
      <c r="S429" s="78">
        <v>27816</v>
      </c>
      <c r="T429" s="29">
        <v>9.5</v>
      </c>
    </row>
    <row r="430" spans="19:20" x14ac:dyDescent="0.25">
      <c r="S430" s="78">
        <v>27817</v>
      </c>
      <c r="T430" s="29">
        <v>9.5</v>
      </c>
    </row>
    <row r="431" spans="19:20" x14ac:dyDescent="0.25">
      <c r="S431" s="78">
        <v>27818</v>
      </c>
      <c r="T431" s="29">
        <v>9.5</v>
      </c>
    </row>
    <row r="432" spans="19:20" x14ac:dyDescent="0.25">
      <c r="S432" s="78">
        <v>27819</v>
      </c>
      <c r="T432" s="29">
        <v>9.5</v>
      </c>
    </row>
    <row r="433" spans="19:20" x14ac:dyDescent="0.25">
      <c r="S433" s="78">
        <v>27820</v>
      </c>
      <c r="T433" s="29">
        <v>9.25</v>
      </c>
    </row>
    <row r="434" spans="19:20" x14ac:dyDescent="0.25">
      <c r="S434" s="78">
        <v>27821</v>
      </c>
      <c r="T434" s="29">
        <v>9.25</v>
      </c>
    </row>
    <row r="435" spans="19:20" x14ac:dyDescent="0.25">
      <c r="S435" s="78">
        <v>27822</v>
      </c>
      <c r="T435" s="29">
        <v>9.25</v>
      </c>
    </row>
    <row r="436" spans="19:20" x14ac:dyDescent="0.25">
      <c r="S436" s="78">
        <v>27823</v>
      </c>
      <c r="T436" s="29">
        <v>9.25</v>
      </c>
    </row>
    <row r="437" spans="19:20" x14ac:dyDescent="0.25">
      <c r="S437" s="78">
        <v>27824</v>
      </c>
      <c r="T437" s="29">
        <v>9.25</v>
      </c>
    </row>
    <row r="438" spans="19:20" x14ac:dyDescent="0.25">
      <c r="S438" s="78">
        <v>27825</v>
      </c>
      <c r="T438" s="29">
        <v>9.25</v>
      </c>
    </row>
    <row r="439" spans="19:20" x14ac:dyDescent="0.25">
      <c r="S439" s="78">
        <v>27826</v>
      </c>
      <c r="T439" s="29">
        <v>9.25</v>
      </c>
    </row>
    <row r="440" spans="19:20" x14ac:dyDescent="0.25">
      <c r="S440" s="78">
        <v>27827</v>
      </c>
      <c r="T440" s="29">
        <v>9</v>
      </c>
    </row>
    <row r="441" spans="19:20" x14ac:dyDescent="0.25">
      <c r="S441" s="78">
        <v>27828</v>
      </c>
      <c r="T441" s="29">
        <v>9</v>
      </c>
    </row>
    <row r="442" spans="19:20" x14ac:dyDescent="0.25">
      <c r="S442" s="78">
        <v>27829</v>
      </c>
      <c r="T442" s="29">
        <v>9</v>
      </c>
    </row>
    <row r="443" spans="19:20" x14ac:dyDescent="0.25">
      <c r="S443" s="78">
        <v>27830</v>
      </c>
      <c r="T443" s="29">
        <v>9</v>
      </c>
    </row>
    <row r="444" spans="19:20" x14ac:dyDescent="0.25">
      <c r="S444" s="78">
        <v>27831</v>
      </c>
      <c r="T444" s="29">
        <v>9</v>
      </c>
    </row>
    <row r="445" spans="19:20" x14ac:dyDescent="0.25">
      <c r="S445" s="78">
        <v>27832</v>
      </c>
      <c r="T445" s="29">
        <v>9</v>
      </c>
    </row>
    <row r="446" spans="19:20" x14ac:dyDescent="0.25">
      <c r="S446" s="78">
        <v>27833</v>
      </c>
      <c r="T446" s="29">
        <v>9</v>
      </c>
    </row>
    <row r="447" spans="19:20" x14ac:dyDescent="0.25">
      <c r="S447" s="78">
        <v>27834</v>
      </c>
      <c r="T447" s="29">
        <v>9</v>
      </c>
    </row>
    <row r="448" spans="19:20" x14ac:dyDescent="0.25">
      <c r="S448" s="78">
        <v>27835</v>
      </c>
      <c r="T448" s="29">
        <v>9</v>
      </c>
    </row>
    <row r="449" spans="19:21" x14ac:dyDescent="0.25">
      <c r="S449" s="78">
        <v>27836</v>
      </c>
      <c r="T449" s="29">
        <v>9</v>
      </c>
    </row>
    <row r="450" spans="19:21" x14ac:dyDescent="0.25">
      <c r="S450" s="78">
        <v>27837</v>
      </c>
      <c r="T450" s="29">
        <v>9</v>
      </c>
    </row>
    <row r="451" spans="19:21" x14ac:dyDescent="0.25">
      <c r="S451" s="78">
        <v>27838</v>
      </c>
      <c r="T451" s="29">
        <v>9</v>
      </c>
    </row>
    <row r="452" spans="19:21" x14ac:dyDescent="0.25">
      <c r="S452" s="78">
        <v>27839</v>
      </c>
      <c r="T452" s="29">
        <v>9</v>
      </c>
    </row>
    <row r="453" spans="19:21" x14ac:dyDescent="0.25">
      <c r="S453" s="78">
        <v>27840</v>
      </c>
      <c r="T453" s="29">
        <v>9</v>
      </c>
    </row>
    <row r="454" spans="19:21" x14ac:dyDescent="0.25">
      <c r="S454" s="78">
        <v>27841</v>
      </c>
      <c r="T454" s="29">
        <v>9</v>
      </c>
    </row>
    <row r="455" spans="19:21" x14ac:dyDescent="0.25">
      <c r="S455" s="78">
        <v>27842</v>
      </c>
      <c r="T455" s="29">
        <v>9</v>
      </c>
    </row>
    <row r="456" spans="19:21" x14ac:dyDescent="0.25">
      <c r="S456" s="78">
        <v>27843</v>
      </c>
      <c r="T456" s="29">
        <v>9</v>
      </c>
    </row>
    <row r="457" spans="19:21" x14ac:dyDescent="0.25">
      <c r="S457" s="78">
        <v>27844</v>
      </c>
      <c r="T457" s="29">
        <v>9</v>
      </c>
    </row>
    <row r="458" spans="19:21" x14ac:dyDescent="0.25">
      <c r="S458" s="78">
        <v>27845</v>
      </c>
      <c r="T458" s="29">
        <v>9</v>
      </c>
    </row>
    <row r="459" spans="19:21" x14ac:dyDescent="0.25">
      <c r="S459" s="78">
        <v>27846</v>
      </c>
      <c r="T459" s="29">
        <v>9</v>
      </c>
    </row>
    <row r="460" spans="19:21" x14ac:dyDescent="0.25">
      <c r="S460" s="78">
        <v>27847</v>
      </c>
      <c r="T460" s="29">
        <v>9</v>
      </c>
    </row>
    <row r="461" spans="19:21" x14ac:dyDescent="0.25">
      <c r="S461" s="78">
        <v>27848</v>
      </c>
      <c r="T461" s="29">
        <v>9</v>
      </c>
    </row>
    <row r="462" spans="19:21" x14ac:dyDescent="0.25">
      <c r="S462" s="78">
        <v>27849</v>
      </c>
      <c r="T462" s="29">
        <v>9</v>
      </c>
    </row>
    <row r="463" spans="19:21" x14ac:dyDescent="0.25">
      <c r="S463" s="78">
        <v>27850</v>
      </c>
      <c r="T463" s="29">
        <v>9</v>
      </c>
      <c r="U463" s="40">
        <f>AVERAGE(T373:T463)</f>
        <v>9.8681318681318686</v>
      </c>
    </row>
    <row r="464" spans="19:21" x14ac:dyDescent="0.25">
      <c r="S464" s="78">
        <v>27851</v>
      </c>
      <c r="T464" s="29">
        <v>9</v>
      </c>
    </row>
    <row r="465" spans="19:20" x14ac:dyDescent="0.25">
      <c r="S465" s="78">
        <v>27852</v>
      </c>
      <c r="T465" s="29">
        <v>9</v>
      </c>
    </row>
    <row r="466" spans="19:20" x14ac:dyDescent="0.25">
      <c r="S466" s="78">
        <v>27853</v>
      </c>
      <c r="T466" s="29">
        <v>9</v>
      </c>
    </row>
    <row r="467" spans="19:20" x14ac:dyDescent="0.25">
      <c r="S467" s="78">
        <v>27854</v>
      </c>
      <c r="T467" s="29">
        <v>9</v>
      </c>
    </row>
    <row r="468" spans="19:20" x14ac:dyDescent="0.25">
      <c r="S468" s="78">
        <v>27855</v>
      </c>
      <c r="T468" s="29">
        <v>9</v>
      </c>
    </row>
    <row r="469" spans="19:20" x14ac:dyDescent="0.25">
      <c r="S469" s="78">
        <v>27856</v>
      </c>
      <c r="T469" s="29">
        <v>9</v>
      </c>
    </row>
    <row r="470" spans="19:20" x14ac:dyDescent="0.25">
      <c r="S470" s="78">
        <v>27857</v>
      </c>
      <c r="T470" s="29">
        <v>9</v>
      </c>
    </row>
    <row r="471" spans="19:20" x14ac:dyDescent="0.25">
      <c r="S471" s="78">
        <v>27858</v>
      </c>
      <c r="T471" s="29">
        <v>9</v>
      </c>
    </row>
    <row r="472" spans="19:20" x14ac:dyDescent="0.25">
      <c r="S472" s="78">
        <v>27859</v>
      </c>
      <c r="T472" s="29">
        <v>9</v>
      </c>
    </row>
    <row r="473" spans="19:20" x14ac:dyDescent="0.25">
      <c r="S473" s="78">
        <v>27860</v>
      </c>
      <c r="T473" s="29">
        <v>9</v>
      </c>
    </row>
    <row r="474" spans="19:20" x14ac:dyDescent="0.25">
      <c r="S474" s="78">
        <v>27861</v>
      </c>
      <c r="T474" s="29">
        <v>9</v>
      </c>
    </row>
    <row r="475" spans="19:20" x14ac:dyDescent="0.25">
      <c r="S475" s="78">
        <v>27862</v>
      </c>
      <c r="T475" s="29">
        <v>9</v>
      </c>
    </row>
    <row r="476" spans="19:20" x14ac:dyDescent="0.25">
      <c r="S476" s="78">
        <v>27863</v>
      </c>
      <c r="T476" s="29">
        <v>9</v>
      </c>
    </row>
    <row r="477" spans="19:20" x14ac:dyDescent="0.25">
      <c r="S477" s="78">
        <v>27864</v>
      </c>
      <c r="T477" s="29">
        <v>9</v>
      </c>
    </row>
    <row r="478" spans="19:20" x14ac:dyDescent="0.25">
      <c r="S478" s="78">
        <v>27865</v>
      </c>
      <c r="T478" s="29">
        <v>9</v>
      </c>
    </row>
    <row r="479" spans="19:20" x14ac:dyDescent="0.25">
      <c r="S479" s="78">
        <v>27866</v>
      </c>
      <c r="T479" s="29">
        <v>9</v>
      </c>
    </row>
    <row r="480" spans="19:20" x14ac:dyDescent="0.25">
      <c r="S480" s="78">
        <v>27867</v>
      </c>
      <c r="T480" s="29">
        <v>9</v>
      </c>
    </row>
    <row r="481" spans="19:20" x14ac:dyDescent="0.25">
      <c r="S481" s="78">
        <v>27868</v>
      </c>
      <c r="T481" s="29">
        <v>9</v>
      </c>
    </row>
    <row r="482" spans="19:20" x14ac:dyDescent="0.25">
      <c r="S482" s="78">
        <v>27869</v>
      </c>
      <c r="T482" s="29">
        <v>9</v>
      </c>
    </row>
    <row r="483" spans="19:20" x14ac:dyDescent="0.25">
      <c r="S483" s="78">
        <v>27870</v>
      </c>
      <c r="T483" s="29">
        <v>9</v>
      </c>
    </row>
    <row r="484" spans="19:20" x14ac:dyDescent="0.25">
      <c r="S484" s="78">
        <v>27871</v>
      </c>
      <c r="T484" s="29">
        <v>9</v>
      </c>
    </row>
    <row r="485" spans="19:20" x14ac:dyDescent="0.25">
      <c r="S485" s="78">
        <v>27872</v>
      </c>
      <c r="T485" s="29">
        <v>9</v>
      </c>
    </row>
    <row r="486" spans="19:20" x14ac:dyDescent="0.25">
      <c r="S486" s="78">
        <v>27873</v>
      </c>
      <c r="T486" s="29">
        <v>9</v>
      </c>
    </row>
    <row r="487" spans="19:20" x14ac:dyDescent="0.25">
      <c r="S487" s="78">
        <v>27874</v>
      </c>
      <c r="T487" s="29">
        <v>9</v>
      </c>
    </row>
    <row r="488" spans="19:20" x14ac:dyDescent="0.25">
      <c r="S488" s="78">
        <v>27875</v>
      </c>
      <c r="T488" s="29">
        <v>9</v>
      </c>
    </row>
    <row r="489" spans="19:20" x14ac:dyDescent="0.25">
      <c r="S489" s="78">
        <v>27876</v>
      </c>
      <c r="T489" s="29">
        <v>10.5</v>
      </c>
    </row>
    <row r="490" spans="19:20" x14ac:dyDescent="0.25">
      <c r="S490" s="78">
        <v>27877</v>
      </c>
      <c r="T490" s="29">
        <v>10.5</v>
      </c>
    </row>
    <row r="491" spans="19:20" x14ac:dyDescent="0.25">
      <c r="S491" s="78">
        <v>27878</v>
      </c>
      <c r="T491" s="29">
        <v>10.5</v>
      </c>
    </row>
    <row r="492" spans="19:20" x14ac:dyDescent="0.25">
      <c r="S492" s="78">
        <v>27879</v>
      </c>
      <c r="T492" s="29">
        <v>10.5</v>
      </c>
    </row>
    <row r="493" spans="19:20" x14ac:dyDescent="0.25">
      <c r="S493" s="78">
        <v>27880</v>
      </c>
      <c r="T493" s="29">
        <v>10.5</v>
      </c>
    </row>
    <row r="494" spans="19:20" x14ac:dyDescent="0.25">
      <c r="S494" s="78">
        <v>27881</v>
      </c>
      <c r="T494" s="29">
        <v>10.5</v>
      </c>
    </row>
    <row r="495" spans="19:20" x14ac:dyDescent="0.25">
      <c r="S495" s="78">
        <v>27882</v>
      </c>
      <c r="T495" s="29">
        <v>10.5</v>
      </c>
    </row>
    <row r="496" spans="19:20" x14ac:dyDescent="0.25">
      <c r="S496" s="78">
        <v>27883</v>
      </c>
      <c r="T496" s="29">
        <v>10.5</v>
      </c>
    </row>
    <row r="497" spans="19:20" x14ac:dyDescent="0.25">
      <c r="S497" s="78">
        <v>27884</v>
      </c>
      <c r="T497" s="29">
        <v>10.5</v>
      </c>
    </row>
    <row r="498" spans="19:20" x14ac:dyDescent="0.25">
      <c r="S498" s="78">
        <v>27885</v>
      </c>
      <c r="T498" s="29">
        <v>10.5</v>
      </c>
    </row>
    <row r="499" spans="19:20" x14ac:dyDescent="0.25">
      <c r="S499" s="78">
        <v>27886</v>
      </c>
      <c r="T499" s="29">
        <v>10.5</v>
      </c>
    </row>
    <row r="500" spans="19:20" x14ac:dyDescent="0.25">
      <c r="S500" s="78">
        <v>27887</v>
      </c>
      <c r="T500" s="29">
        <v>10.5</v>
      </c>
    </row>
    <row r="501" spans="19:20" x14ac:dyDescent="0.25">
      <c r="S501" s="78">
        <v>27888</v>
      </c>
      <c r="T501" s="29">
        <v>10.5</v>
      </c>
    </row>
    <row r="502" spans="19:20" x14ac:dyDescent="0.25">
      <c r="S502" s="78">
        <v>27889</v>
      </c>
      <c r="T502" s="29">
        <v>10.5</v>
      </c>
    </row>
    <row r="503" spans="19:20" x14ac:dyDescent="0.25">
      <c r="S503" s="78">
        <v>27890</v>
      </c>
      <c r="T503" s="29">
        <v>10.5</v>
      </c>
    </row>
    <row r="504" spans="19:20" x14ac:dyDescent="0.25">
      <c r="S504" s="78">
        <v>27891</v>
      </c>
      <c r="T504" s="29">
        <v>10.5</v>
      </c>
    </row>
    <row r="505" spans="19:20" x14ac:dyDescent="0.25">
      <c r="S505" s="78">
        <v>27892</v>
      </c>
      <c r="T505" s="29">
        <v>10.5</v>
      </c>
    </row>
    <row r="506" spans="19:20" x14ac:dyDescent="0.25">
      <c r="S506" s="78">
        <v>27893</v>
      </c>
      <c r="T506" s="29">
        <v>10.5</v>
      </c>
    </row>
    <row r="507" spans="19:20" x14ac:dyDescent="0.25">
      <c r="S507" s="78">
        <v>27894</v>
      </c>
      <c r="T507" s="29">
        <v>10.5</v>
      </c>
    </row>
    <row r="508" spans="19:20" x14ac:dyDescent="0.25">
      <c r="S508" s="78">
        <v>27895</v>
      </c>
      <c r="T508" s="29">
        <v>10.5</v>
      </c>
    </row>
    <row r="509" spans="19:20" x14ac:dyDescent="0.25">
      <c r="S509" s="78">
        <v>27896</v>
      </c>
      <c r="T509" s="29">
        <v>10.5</v>
      </c>
    </row>
    <row r="510" spans="19:20" x14ac:dyDescent="0.25">
      <c r="S510" s="78">
        <v>27897</v>
      </c>
      <c r="T510" s="29">
        <v>10.5</v>
      </c>
    </row>
    <row r="511" spans="19:20" x14ac:dyDescent="0.25">
      <c r="S511" s="78">
        <v>27898</v>
      </c>
      <c r="T511" s="29">
        <v>10.5</v>
      </c>
    </row>
    <row r="512" spans="19:20" x14ac:dyDescent="0.25">
      <c r="S512" s="78">
        <v>27899</v>
      </c>
      <c r="T512" s="29">
        <v>10.5</v>
      </c>
    </row>
    <row r="513" spans="19:20" x14ac:dyDescent="0.25">
      <c r="S513" s="78">
        <v>27900</v>
      </c>
      <c r="T513" s="29">
        <v>10.5</v>
      </c>
    </row>
    <row r="514" spans="19:20" x14ac:dyDescent="0.25">
      <c r="S514" s="78">
        <v>27901</v>
      </c>
      <c r="T514" s="29">
        <v>10.5</v>
      </c>
    </row>
    <row r="515" spans="19:20" x14ac:dyDescent="0.25">
      <c r="S515" s="78">
        <v>27902</v>
      </c>
      <c r="T515" s="29">
        <v>10.5</v>
      </c>
    </row>
    <row r="516" spans="19:20" x14ac:dyDescent="0.25">
      <c r="S516" s="78">
        <v>27903</v>
      </c>
      <c r="T516" s="29">
        <v>10.5</v>
      </c>
    </row>
    <row r="517" spans="19:20" x14ac:dyDescent="0.25">
      <c r="S517" s="78">
        <v>27904</v>
      </c>
      <c r="T517" s="29">
        <v>11.5</v>
      </c>
    </row>
    <row r="518" spans="19:20" x14ac:dyDescent="0.25">
      <c r="S518" s="78">
        <v>27905</v>
      </c>
      <c r="T518" s="29">
        <v>11.5</v>
      </c>
    </row>
    <row r="519" spans="19:20" x14ac:dyDescent="0.25">
      <c r="S519" s="78">
        <v>27906</v>
      </c>
      <c r="T519" s="29">
        <v>11.5</v>
      </c>
    </row>
    <row r="520" spans="19:20" x14ac:dyDescent="0.25">
      <c r="S520" s="78">
        <v>27907</v>
      </c>
      <c r="T520" s="29">
        <v>11.5</v>
      </c>
    </row>
    <row r="521" spans="19:20" x14ac:dyDescent="0.25">
      <c r="S521" s="78">
        <v>27908</v>
      </c>
      <c r="T521" s="29">
        <v>11.5</v>
      </c>
    </row>
    <row r="522" spans="19:20" x14ac:dyDescent="0.25">
      <c r="S522" s="78">
        <v>27909</v>
      </c>
      <c r="T522" s="29">
        <v>11.5</v>
      </c>
    </row>
    <row r="523" spans="19:20" x14ac:dyDescent="0.25">
      <c r="S523" s="78">
        <v>27910</v>
      </c>
      <c r="T523" s="29">
        <v>11.5</v>
      </c>
    </row>
    <row r="524" spans="19:20" x14ac:dyDescent="0.25">
      <c r="S524" s="78">
        <v>27911</v>
      </c>
      <c r="T524" s="29">
        <v>11.5</v>
      </c>
    </row>
    <row r="525" spans="19:20" x14ac:dyDescent="0.25">
      <c r="S525" s="78">
        <v>27912</v>
      </c>
      <c r="T525" s="29">
        <v>11.5</v>
      </c>
    </row>
    <row r="526" spans="19:20" x14ac:dyDescent="0.25">
      <c r="S526" s="78">
        <v>27913</v>
      </c>
      <c r="T526" s="29">
        <v>11.5</v>
      </c>
    </row>
    <row r="527" spans="19:20" x14ac:dyDescent="0.25">
      <c r="S527" s="78">
        <v>27914</v>
      </c>
      <c r="T527" s="29">
        <v>11.5</v>
      </c>
    </row>
    <row r="528" spans="19:20" x14ac:dyDescent="0.25">
      <c r="S528" s="78">
        <v>27915</v>
      </c>
      <c r="T528" s="29">
        <v>11.5</v>
      </c>
    </row>
    <row r="529" spans="19:20" x14ac:dyDescent="0.25">
      <c r="S529" s="78">
        <v>27916</v>
      </c>
      <c r="T529" s="29">
        <v>11.5</v>
      </c>
    </row>
    <row r="530" spans="19:20" x14ac:dyDescent="0.25">
      <c r="S530" s="78">
        <v>27917</v>
      </c>
      <c r="T530" s="29">
        <v>11.5</v>
      </c>
    </row>
    <row r="531" spans="19:20" x14ac:dyDescent="0.25">
      <c r="S531" s="78">
        <v>27918</v>
      </c>
      <c r="T531" s="29">
        <v>11.5</v>
      </c>
    </row>
    <row r="532" spans="19:20" x14ac:dyDescent="0.25">
      <c r="S532" s="78">
        <v>27919</v>
      </c>
      <c r="T532" s="29">
        <v>11.5</v>
      </c>
    </row>
    <row r="533" spans="19:20" x14ac:dyDescent="0.25">
      <c r="S533" s="78">
        <v>27920</v>
      </c>
      <c r="T533" s="29">
        <v>11.5</v>
      </c>
    </row>
    <row r="534" spans="19:20" x14ac:dyDescent="0.25">
      <c r="S534" s="78">
        <v>27921</v>
      </c>
      <c r="T534" s="29">
        <v>11.5</v>
      </c>
    </row>
    <row r="535" spans="19:20" x14ac:dyDescent="0.25">
      <c r="S535" s="78">
        <v>27922</v>
      </c>
      <c r="T535" s="29">
        <v>11.5</v>
      </c>
    </row>
    <row r="536" spans="19:20" x14ac:dyDescent="0.25">
      <c r="S536" s="78">
        <v>27923</v>
      </c>
      <c r="T536" s="29">
        <v>11.5</v>
      </c>
    </row>
    <row r="537" spans="19:20" x14ac:dyDescent="0.25">
      <c r="S537" s="78">
        <v>27924</v>
      </c>
      <c r="T537" s="29">
        <v>11.5</v>
      </c>
    </row>
    <row r="538" spans="19:20" x14ac:dyDescent="0.25">
      <c r="S538" s="78">
        <v>27925</v>
      </c>
      <c r="T538" s="29">
        <v>11.5</v>
      </c>
    </row>
    <row r="539" spans="19:20" x14ac:dyDescent="0.25">
      <c r="S539" s="78">
        <v>27926</v>
      </c>
      <c r="T539" s="29">
        <v>11.5</v>
      </c>
    </row>
    <row r="540" spans="19:20" x14ac:dyDescent="0.25">
      <c r="S540" s="78">
        <v>27927</v>
      </c>
      <c r="T540" s="29">
        <v>11.5</v>
      </c>
    </row>
    <row r="541" spans="19:20" x14ac:dyDescent="0.25">
      <c r="S541" s="78">
        <v>27928</v>
      </c>
      <c r="T541" s="29">
        <v>11.5</v>
      </c>
    </row>
    <row r="542" spans="19:20" x14ac:dyDescent="0.25">
      <c r="S542" s="78">
        <v>27929</v>
      </c>
      <c r="T542" s="29">
        <v>11.5</v>
      </c>
    </row>
    <row r="543" spans="19:20" x14ac:dyDescent="0.25">
      <c r="S543" s="78">
        <v>27930</v>
      </c>
      <c r="T543" s="29">
        <v>11.5</v>
      </c>
    </row>
    <row r="544" spans="19:20" x14ac:dyDescent="0.25">
      <c r="S544" s="78">
        <v>27931</v>
      </c>
      <c r="T544" s="29">
        <v>11.5</v>
      </c>
    </row>
    <row r="545" spans="19:21" x14ac:dyDescent="0.25">
      <c r="S545" s="78">
        <v>27932</v>
      </c>
      <c r="T545" s="29">
        <v>11.5</v>
      </c>
    </row>
    <row r="546" spans="19:21" x14ac:dyDescent="0.25">
      <c r="S546" s="78">
        <v>27933</v>
      </c>
      <c r="T546" s="29">
        <v>11.5</v>
      </c>
    </row>
    <row r="547" spans="19:21" x14ac:dyDescent="0.25">
      <c r="S547" s="78">
        <v>27934</v>
      </c>
      <c r="T547" s="29">
        <v>11.5</v>
      </c>
    </row>
    <row r="548" spans="19:21" x14ac:dyDescent="0.25">
      <c r="S548" s="78">
        <v>27935</v>
      </c>
      <c r="T548" s="29">
        <v>11.5</v>
      </c>
    </row>
    <row r="549" spans="19:21" x14ac:dyDescent="0.25">
      <c r="S549" s="78">
        <v>27936</v>
      </c>
      <c r="T549" s="29">
        <v>11.5</v>
      </c>
    </row>
    <row r="550" spans="19:21" x14ac:dyDescent="0.25">
      <c r="S550" s="78">
        <v>27937</v>
      </c>
      <c r="T550" s="29">
        <v>11.5</v>
      </c>
    </row>
    <row r="551" spans="19:21" x14ac:dyDescent="0.25">
      <c r="S551" s="78">
        <v>27938</v>
      </c>
      <c r="T551" s="29">
        <v>11.5</v>
      </c>
    </row>
    <row r="552" spans="19:21" x14ac:dyDescent="0.25">
      <c r="S552" s="78">
        <v>27939</v>
      </c>
      <c r="T552" s="29">
        <v>11.5</v>
      </c>
    </row>
    <row r="553" spans="19:21" x14ac:dyDescent="0.25">
      <c r="S553" s="78">
        <v>27940</v>
      </c>
      <c r="T553" s="29">
        <v>11.5</v>
      </c>
    </row>
    <row r="554" spans="19:21" x14ac:dyDescent="0.25">
      <c r="S554" s="78">
        <v>27941</v>
      </c>
      <c r="T554" s="29">
        <v>11.5</v>
      </c>
      <c r="U554" s="40">
        <f>AVERAGE(T464:T554)</f>
        <v>10.505494505494505</v>
      </c>
    </row>
    <row r="555" spans="19:21" x14ac:dyDescent="0.25">
      <c r="S555" s="78">
        <v>27942</v>
      </c>
      <c r="T555" s="29">
        <v>11.5</v>
      </c>
    </row>
    <row r="556" spans="19:21" x14ac:dyDescent="0.25">
      <c r="S556" s="78">
        <v>27943</v>
      </c>
      <c r="T556" s="29">
        <v>11.5</v>
      </c>
    </row>
    <row r="557" spans="19:21" x14ac:dyDescent="0.25">
      <c r="S557" s="78">
        <v>27944</v>
      </c>
      <c r="T557" s="29">
        <v>11.5</v>
      </c>
    </row>
    <row r="558" spans="19:21" x14ac:dyDescent="0.25">
      <c r="S558" s="78">
        <v>27945</v>
      </c>
      <c r="T558" s="29">
        <v>11.5</v>
      </c>
    </row>
    <row r="559" spans="19:21" x14ac:dyDescent="0.25">
      <c r="S559" s="78">
        <v>27946</v>
      </c>
      <c r="T559" s="29">
        <v>11.5</v>
      </c>
    </row>
    <row r="560" spans="19:21" x14ac:dyDescent="0.25">
      <c r="S560" s="78">
        <v>27947</v>
      </c>
      <c r="T560" s="29">
        <v>11.5</v>
      </c>
    </row>
    <row r="561" spans="19:20" x14ac:dyDescent="0.25">
      <c r="S561" s="78">
        <v>27948</v>
      </c>
      <c r="T561" s="29">
        <v>11.5</v>
      </c>
    </row>
    <row r="562" spans="19:20" x14ac:dyDescent="0.25">
      <c r="S562" s="78">
        <v>27949</v>
      </c>
      <c r="T562" s="29">
        <v>11.5</v>
      </c>
    </row>
    <row r="563" spans="19:20" x14ac:dyDescent="0.25">
      <c r="S563" s="78">
        <v>27950</v>
      </c>
      <c r="T563" s="29">
        <v>11.5</v>
      </c>
    </row>
    <row r="564" spans="19:20" x14ac:dyDescent="0.25">
      <c r="S564" s="78">
        <v>27951</v>
      </c>
      <c r="T564" s="29">
        <v>11.5</v>
      </c>
    </row>
    <row r="565" spans="19:20" x14ac:dyDescent="0.25">
      <c r="S565" s="78">
        <v>27952</v>
      </c>
      <c r="T565" s="29">
        <v>11.5</v>
      </c>
    </row>
    <row r="566" spans="19:20" x14ac:dyDescent="0.25">
      <c r="S566" s="78">
        <v>27953</v>
      </c>
      <c r="T566" s="29">
        <v>11.5</v>
      </c>
    </row>
    <row r="567" spans="19:20" x14ac:dyDescent="0.25">
      <c r="S567" s="78">
        <v>27954</v>
      </c>
      <c r="T567" s="29">
        <v>11.5</v>
      </c>
    </row>
    <row r="568" spans="19:20" x14ac:dyDescent="0.25">
      <c r="S568" s="78">
        <v>27955</v>
      </c>
      <c r="T568" s="29">
        <v>11.5</v>
      </c>
    </row>
    <row r="569" spans="19:20" x14ac:dyDescent="0.25">
      <c r="S569" s="78">
        <v>27956</v>
      </c>
      <c r="T569" s="29">
        <v>11.5</v>
      </c>
    </row>
    <row r="570" spans="19:20" x14ac:dyDescent="0.25">
      <c r="S570" s="78">
        <v>27957</v>
      </c>
      <c r="T570" s="29">
        <v>11.5</v>
      </c>
    </row>
    <row r="571" spans="19:20" x14ac:dyDescent="0.25">
      <c r="S571" s="78">
        <v>27958</v>
      </c>
      <c r="T571" s="29">
        <v>11.5</v>
      </c>
    </row>
    <row r="572" spans="19:20" x14ac:dyDescent="0.25">
      <c r="S572" s="78">
        <v>27959</v>
      </c>
      <c r="T572" s="29">
        <v>11.5</v>
      </c>
    </row>
    <row r="573" spans="19:20" x14ac:dyDescent="0.25">
      <c r="S573" s="78">
        <v>27960</v>
      </c>
      <c r="T573" s="29">
        <v>11.5</v>
      </c>
    </row>
    <row r="574" spans="19:20" x14ac:dyDescent="0.25">
      <c r="S574" s="78">
        <v>27961</v>
      </c>
      <c r="T574" s="29">
        <v>11.5</v>
      </c>
    </row>
    <row r="575" spans="19:20" x14ac:dyDescent="0.25">
      <c r="S575" s="78">
        <v>27962</v>
      </c>
      <c r="T575" s="29">
        <v>11.5</v>
      </c>
    </row>
    <row r="576" spans="19:20" x14ac:dyDescent="0.25">
      <c r="S576" s="78">
        <v>27963</v>
      </c>
      <c r="T576" s="29">
        <v>11.5</v>
      </c>
    </row>
    <row r="577" spans="19:20" x14ac:dyDescent="0.25">
      <c r="S577" s="78">
        <v>27964</v>
      </c>
      <c r="T577" s="29">
        <v>11.5</v>
      </c>
    </row>
    <row r="578" spans="19:20" x14ac:dyDescent="0.25">
      <c r="S578" s="78">
        <v>27965</v>
      </c>
      <c r="T578" s="29">
        <v>11.5</v>
      </c>
    </row>
    <row r="579" spans="19:20" x14ac:dyDescent="0.25">
      <c r="S579" s="78">
        <v>27966</v>
      </c>
      <c r="T579" s="29">
        <v>11.5</v>
      </c>
    </row>
    <row r="580" spans="19:20" x14ac:dyDescent="0.25">
      <c r="S580" s="78">
        <v>27967</v>
      </c>
      <c r="T580" s="29">
        <v>11.5</v>
      </c>
    </row>
    <row r="581" spans="19:20" x14ac:dyDescent="0.25">
      <c r="S581" s="78">
        <v>27968</v>
      </c>
      <c r="T581" s="29">
        <v>11.5</v>
      </c>
    </row>
    <row r="582" spans="19:20" x14ac:dyDescent="0.25">
      <c r="S582" s="78">
        <v>27969</v>
      </c>
      <c r="T582" s="29">
        <v>11.5</v>
      </c>
    </row>
    <row r="583" spans="19:20" x14ac:dyDescent="0.25">
      <c r="S583" s="78">
        <v>27970</v>
      </c>
      <c r="T583" s="29">
        <v>11.5</v>
      </c>
    </row>
    <row r="584" spans="19:20" x14ac:dyDescent="0.25">
      <c r="S584" s="78">
        <v>27971</v>
      </c>
      <c r="T584" s="29">
        <v>11.5</v>
      </c>
    </row>
    <row r="585" spans="19:20" x14ac:dyDescent="0.25">
      <c r="S585" s="78">
        <v>27972</v>
      </c>
      <c r="T585" s="29">
        <v>11.5</v>
      </c>
    </row>
    <row r="586" spans="19:20" x14ac:dyDescent="0.25">
      <c r="S586" s="78">
        <v>27973</v>
      </c>
      <c r="T586" s="29">
        <v>11.5</v>
      </c>
    </row>
    <row r="587" spans="19:20" x14ac:dyDescent="0.25">
      <c r="S587" s="78">
        <v>27974</v>
      </c>
      <c r="T587" s="29">
        <v>11.5</v>
      </c>
    </row>
    <row r="588" spans="19:20" x14ac:dyDescent="0.25">
      <c r="S588" s="78">
        <v>27975</v>
      </c>
      <c r="T588" s="29">
        <v>11.5</v>
      </c>
    </row>
    <row r="589" spans="19:20" x14ac:dyDescent="0.25">
      <c r="S589" s="78">
        <v>27976</v>
      </c>
      <c r="T589" s="29">
        <v>11.5</v>
      </c>
    </row>
    <row r="590" spans="19:20" x14ac:dyDescent="0.25">
      <c r="S590" s="78">
        <v>27977</v>
      </c>
      <c r="T590" s="29">
        <v>11.5</v>
      </c>
    </row>
    <row r="591" spans="19:20" x14ac:dyDescent="0.25">
      <c r="S591" s="78">
        <v>27978</v>
      </c>
      <c r="T591" s="29">
        <v>11.5</v>
      </c>
    </row>
    <row r="592" spans="19:20" x14ac:dyDescent="0.25">
      <c r="S592" s="78">
        <v>27979</v>
      </c>
      <c r="T592" s="29">
        <v>11.5</v>
      </c>
    </row>
    <row r="593" spans="19:20" x14ac:dyDescent="0.25">
      <c r="S593" s="78">
        <v>27980</v>
      </c>
      <c r="T593" s="29">
        <v>11.5</v>
      </c>
    </row>
    <row r="594" spans="19:20" x14ac:dyDescent="0.25">
      <c r="S594" s="78">
        <v>27981</v>
      </c>
      <c r="T594" s="29">
        <v>11.5</v>
      </c>
    </row>
    <row r="595" spans="19:20" x14ac:dyDescent="0.25">
      <c r="S595" s="78">
        <v>27982</v>
      </c>
      <c r="T595" s="29">
        <v>11.5</v>
      </c>
    </row>
    <row r="596" spans="19:20" x14ac:dyDescent="0.25">
      <c r="S596" s="78">
        <v>27983</v>
      </c>
      <c r="T596" s="29">
        <v>11.5</v>
      </c>
    </row>
    <row r="597" spans="19:20" x14ac:dyDescent="0.25">
      <c r="S597" s="78">
        <v>27984</v>
      </c>
      <c r="T597" s="29">
        <v>11.5</v>
      </c>
    </row>
    <row r="598" spans="19:20" x14ac:dyDescent="0.25">
      <c r="S598" s="78">
        <v>27985</v>
      </c>
      <c r="T598" s="29">
        <v>11.5</v>
      </c>
    </row>
    <row r="599" spans="19:20" x14ac:dyDescent="0.25">
      <c r="S599" s="78">
        <v>27986</v>
      </c>
      <c r="T599" s="29">
        <v>11.5</v>
      </c>
    </row>
    <row r="600" spans="19:20" x14ac:dyDescent="0.25">
      <c r="S600" s="78">
        <v>27987</v>
      </c>
      <c r="T600" s="29">
        <v>11.5</v>
      </c>
    </row>
    <row r="601" spans="19:20" x14ac:dyDescent="0.25">
      <c r="S601" s="78">
        <v>27988</v>
      </c>
      <c r="T601" s="29">
        <v>11.5</v>
      </c>
    </row>
    <row r="602" spans="19:20" x14ac:dyDescent="0.25">
      <c r="S602" s="78">
        <v>27989</v>
      </c>
      <c r="T602" s="29">
        <v>11.5</v>
      </c>
    </row>
    <row r="603" spans="19:20" x14ac:dyDescent="0.25">
      <c r="S603" s="78">
        <v>27990</v>
      </c>
      <c r="T603" s="29">
        <v>11.5</v>
      </c>
    </row>
    <row r="604" spans="19:20" x14ac:dyDescent="0.25">
      <c r="S604" s="78">
        <v>27991</v>
      </c>
      <c r="T604" s="29">
        <v>11.5</v>
      </c>
    </row>
    <row r="605" spans="19:20" x14ac:dyDescent="0.25">
      <c r="S605" s="78">
        <v>27992</v>
      </c>
      <c r="T605" s="29">
        <v>11.5</v>
      </c>
    </row>
    <row r="606" spans="19:20" x14ac:dyDescent="0.25">
      <c r="S606" s="78">
        <v>27993</v>
      </c>
      <c r="T606" s="29">
        <v>11.5</v>
      </c>
    </row>
    <row r="607" spans="19:20" x14ac:dyDescent="0.25">
      <c r="S607" s="78">
        <v>27994</v>
      </c>
      <c r="T607" s="29">
        <v>11.5</v>
      </c>
    </row>
    <row r="608" spans="19:20" x14ac:dyDescent="0.25">
      <c r="S608" s="78">
        <v>27995</v>
      </c>
      <c r="T608" s="29">
        <v>11.5</v>
      </c>
    </row>
    <row r="609" spans="19:20" x14ac:dyDescent="0.25">
      <c r="S609" s="78">
        <v>27996</v>
      </c>
      <c r="T609" s="29">
        <v>11.5</v>
      </c>
    </row>
    <row r="610" spans="19:20" x14ac:dyDescent="0.25">
      <c r="S610" s="78">
        <v>27997</v>
      </c>
      <c r="T610" s="29">
        <v>11.5</v>
      </c>
    </row>
    <row r="611" spans="19:20" x14ac:dyDescent="0.25">
      <c r="S611" s="78">
        <v>27998</v>
      </c>
      <c r="T611" s="29">
        <v>11.5</v>
      </c>
    </row>
    <row r="612" spans="19:20" x14ac:dyDescent="0.25">
      <c r="S612" s="78">
        <v>27999</v>
      </c>
      <c r="T612" s="29">
        <v>11.5</v>
      </c>
    </row>
    <row r="613" spans="19:20" x14ac:dyDescent="0.25">
      <c r="S613" s="78">
        <v>28000</v>
      </c>
      <c r="T613" s="29">
        <v>11.5</v>
      </c>
    </row>
    <row r="614" spans="19:20" x14ac:dyDescent="0.25">
      <c r="S614" s="78">
        <v>28001</v>
      </c>
      <c r="T614" s="29">
        <v>11.5</v>
      </c>
    </row>
    <row r="615" spans="19:20" x14ac:dyDescent="0.25">
      <c r="S615" s="78">
        <v>28002</v>
      </c>
      <c r="T615" s="29">
        <v>11.5</v>
      </c>
    </row>
    <row r="616" spans="19:20" x14ac:dyDescent="0.25">
      <c r="S616" s="78">
        <v>28003</v>
      </c>
      <c r="T616" s="29">
        <v>11.5</v>
      </c>
    </row>
    <row r="617" spans="19:20" x14ac:dyDescent="0.25">
      <c r="S617" s="78">
        <v>28004</v>
      </c>
      <c r="T617" s="29">
        <v>11.5</v>
      </c>
    </row>
    <row r="618" spans="19:20" x14ac:dyDescent="0.25">
      <c r="S618" s="78">
        <v>28005</v>
      </c>
      <c r="T618" s="29">
        <v>11.5</v>
      </c>
    </row>
    <row r="619" spans="19:20" x14ac:dyDescent="0.25">
      <c r="S619" s="78">
        <v>28006</v>
      </c>
      <c r="T619" s="29">
        <v>11.5</v>
      </c>
    </row>
    <row r="620" spans="19:20" x14ac:dyDescent="0.25">
      <c r="S620" s="78">
        <v>28007</v>
      </c>
      <c r="T620" s="29">
        <v>11.5</v>
      </c>
    </row>
    <row r="621" spans="19:20" x14ac:dyDescent="0.25">
      <c r="S621" s="78">
        <v>28008</v>
      </c>
      <c r="T621" s="29">
        <v>11.5</v>
      </c>
    </row>
    <row r="622" spans="19:20" x14ac:dyDescent="0.25">
      <c r="S622" s="78">
        <v>28009</v>
      </c>
      <c r="T622" s="29">
        <v>11.5</v>
      </c>
    </row>
    <row r="623" spans="19:20" x14ac:dyDescent="0.25">
      <c r="S623" s="78">
        <v>28010</v>
      </c>
      <c r="T623" s="29">
        <v>11.5</v>
      </c>
    </row>
    <row r="624" spans="19:20" x14ac:dyDescent="0.25">
      <c r="S624" s="78">
        <v>28011</v>
      </c>
      <c r="T624" s="29">
        <v>11.5</v>
      </c>
    </row>
    <row r="625" spans="19:20" x14ac:dyDescent="0.25">
      <c r="S625" s="78">
        <v>28012</v>
      </c>
      <c r="T625" s="29">
        <v>11.5</v>
      </c>
    </row>
    <row r="626" spans="19:20" x14ac:dyDescent="0.25">
      <c r="S626" s="78">
        <v>28013</v>
      </c>
      <c r="T626" s="29">
        <v>11.5</v>
      </c>
    </row>
    <row r="627" spans="19:20" x14ac:dyDescent="0.25">
      <c r="S627" s="78">
        <v>28014</v>
      </c>
      <c r="T627" s="29">
        <v>11.5</v>
      </c>
    </row>
    <row r="628" spans="19:20" x14ac:dyDescent="0.25">
      <c r="S628" s="78">
        <v>28015</v>
      </c>
      <c r="T628" s="29">
        <v>11.5</v>
      </c>
    </row>
    <row r="629" spans="19:20" x14ac:dyDescent="0.25">
      <c r="S629" s="78">
        <v>28016</v>
      </c>
      <c r="T629" s="29">
        <v>13</v>
      </c>
    </row>
    <row r="630" spans="19:20" x14ac:dyDescent="0.25">
      <c r="S630" s="78">
        <v>28017</v>
      </c>
      <c r="T630" s="29">
        <v>13</v>
      </c>
    </row>
    <row r="631" spans="19:20" x14ac:dyDescent="0.25">
      <c r="S631" s="78">
        <v>28018</v>
      </c>
      <c r="T631" s="29">
        <v>13</v>
      </c>
    </row>
    <row r="632" spans="19:20" x14ac:dyDescent="0.25">
      <c r="S632" s="78">
        <v>28019</v>
      </c>
      <c r="T632" s="29">
        <v>13</v>
      </c>
    </row>
    <row r="633" spans="19:20" x14ac:dyDescent="0.25">
      <c r="S633" s="78">
        <v>28020</v>
      </c>
      <c r="T633" s="29">
        <v>13</v>
      </c>
    </row>
    <row r="634" spans="19:20" x14ac:dyDescent="0.25">
      <c r="S634" s="78">
        <v>28021</v>
      </c>
      <c r="T634" s="29">
        <v>13</v>
      </c>
    </row>
    <row r="635" spans="19:20" x14ac:dyDescent="0.25">
      <c r="S635" s="78">
        <v>28022</v>
      </c>
      <c r="T635" s="29">
        <v>13</v>
      </c>
    </row>
    <row r="636" spans="19:20" x14ac:dyDescent="0.25">
      <c r="S636" s="78">
        <v>28023</v>
      </c>
      <c r="T636" s="29">
        <v>13</v>
      </c>
    </row>
    <row r="637" spans="19:20" x14ac:dyDescent="0.25">
      <c r="S637" s="78">
        <v>28024</v>
      </c>
      <c r="T637" s="29">
        <v>13</v>
      </c>
    </row>
    <row r="638" spans="19:20" x14ac:dyDescent="0.25">
      <c r="S638" s="78">
        <v>28025</v>
      </c>
      <c r="T638" s="29">
        <v>13</v>
      </c>
    </row>
    <row r="639" spans="19:20" x14ac:dyDescent="0.25">
      <c r="S639" s="78">
        <v>28026</v>
      </c>
      <c r="T639" s="29">
        <v>13</v>
      </c>
    </row>
    <row r="640" spans="19:20" x14ac:dyDescent="0.25">
      <c r="S640" s="78">
        <v>28027</v>
      </c>
      <c r="T640" s="29">
        <v>13</v>
      </c>
    </row>
    <row r="641" spans="19:21" x14ac:dyDescent="0.25">
      <c r="S641" s="78">
        <v>28028</v>
      </c>
      <c r="T641" s="29">
        <v>13</v>
      </c>
    </row>
    <row r="642" spans="19:21" x14ac:dyDescent="0.25">
      <c r="S642" s="78">
        <v>28029</v>
      </c>
      <c r="T642" s="29">
        <v>13</v>
      </c>
    </row>
    <row r="643" spans="19:21" x14ac:dyDescent="0.25">
      <c r="S643" s="78">
        <v>28030</v>
      </c>
      <c r="T643" s="29">
        <v>13</v>
      </c>
    </row>
    <row r="644" spans="19:21" x14ac:dyDescent="0.25">
      <c r="S644" s="78">
        <v>28031</v>
      </c>
      <c r="T644" s="29">
        <v>13</v>
      </c>
    </row>
    <row r="645" spans="19:21" x14ac:dyDescent="0.25">
      <c r="S645" s="78">
        <v>28032</v>
      </c>
      <c r="T645" s="29">
        <v>13</v>
      </c>
    </row>
    <row r="646" spans="19:21" x14ac:dyDescent="0.25">
      <c r="S646" s="78">
        <v>28033</v>
      </c>
      <c r="T646" s="29">
        <v>13</v>
      </c>
      <c r="U646" s="40">
        <f>AVERAGE(T555:T646)</f>
        <v>11.793478260869565</v>
      </c>
    </row>
    <row r="647" spans="19:21" x14ac:dyDescent="0.25">
      <c r="S647" s="78">
        <v>28034</v>
      </c>
      <c r="T647" s="29">
        <v>13</v>
      </c>
    </row>
    <row r="648" spans="19:21" x14ac:dyDescent="0.25">
      <c r="S648" s="78">
        <v>28035</v>
      </c>
      <c r="T648" s="29">
        <v>13</v>
      </c>
    </row>
    <row r="649" spans="19:21" x14ac:dyDescent="0.25">
      <c r="S649" s="78">
        <v>28036</v>
      </c>
      <c r="T649" s="29">
        <v>13</v>
      </c>
    </row>
    <row r="650" spans="19:21" x14ac:dyDescent="0.25">
      <c r="S650" s="78">
        <v>28037</v>
      </c>
      <c r="T650" s="29">
        <v>13</v>
      </c>
    </row>
    <row r="651" spans="19:21" x14ac:dyDescent="0.25">
      <c r="S651" s="78">
        <v>28038</v>
      </c>
      <c r="T651" s="29">
        <v>13</v>
      </c>
    </row>
    <row r="652" spans="19:21" x14ac:dyDescent="0.25">
      <c r="S652" s="78">
        <v>28039</v>
      </c>
      <c r="T652" s="29">
        <v>13</v>
      </c>
    </row>
    <row r="653" spans="19:21" x14ac:dyDescent="0.25">
      <c r="S653" s="78">
        <v>28040</v>
      </c>
      <c r="T653" s="29">
        <v>15</v>
      </c>
    </row>
    <row r="654" spans="19:21" x14ac:dyDescent="0.25">
      <c r="S654" s="78">
        <v>28041</v>
      </c>
      <c r="T654" s="29">
        <v>15</v>
      </c>
    </row>
    <row r="655" spans="19:21" x14ac:dyDescent="0.25">
      <c r="S655" s="78">
        <v>28042</v>
      </c>
      <c r="T655" s="29">
        <v>15</v>
      </c>
    </row>
    <row r="656" spans="19:21" x14ac:dyDescent="0.25">
      <c r="S656" s="78">
        <v>28043</v>
      </c>
      <c r="T656" s="29">
        <v>15</v>
      </c>
    </row>
    <row r="657" spans="19:20" x14ac:dyDescent="0.25">
      <c r="S657" s="78">
        <v>28044</v>
      </c>
      <c r="T657" s="29">
        <v>15</v>
      </c>
    </row>
    <row r="658" spans="19:20" x14ac:dyDescent="0.25">
      <c r="S658" s="78">
        <v>28045</v>
      </c>
      <c r="T658" s="29">
        <v>15</v>
      </c>
    </row>
    <row r="659" spans="19:20" x14ac:dyDescent="0.25">
      <c r="S659" s="78">
        <v>28046</v>
      </c>
      <c r="T659" s="29">
        <v>15</v>
      </c>
    </row>
    <row r="660" spans="19:20" x14ac:dyDescent="0.25">
      <c r="S660" s="78">
        <v>28047</v>
      </c>
      <c r="T660" s="29">
        <v>15</v>
      </c>
    </row>
    <row r="661" spans="19:20" x14ac:dyDescent="0.25">
      <c r="S661" s="78">
        <v>28048</v>
      </c>
      <c r="T661" s="29">
        <v>15</v>
      </c>
    </row>
    <row r="662" spans="19:20" x14ac:dyDescent="0.25">
      <c r="S662" s="78">
        <v>28049</v>
      </c>
      <c r="T662" s="29">
        <v>15</v>
      </c>
    </row>
    <row r="663" spans="19:20" x14ac:dyDescent="0.25">
      <c r="S663" s="78">
        <v>28050</v>
      </c>
      <c r="T663" s="29">
        <v>15</v>
      </c>
    </row>
    <row r="664" spans="19:20" x14ac:dyDescent="0.25">
      <c r="S664" s="78">
        <v>28051</v>
      </c>
      <c r="T664" s="29">
        <v>15</v>
      </c>
    </row>
    <row r="665" spans="19:20" x14ac:dyDescent="0.25">
      <c r="S665" s="78">
        <v>28052</v>
      </c>
      <c r="T665" s="29">
        <v>15</v>
      </c>
    </row>
    <row r="666" spans="19:20" x14ac:dyDescent="0.25">
      <c r="S666" s="78">
        <v>28053</v>
      </c>
      <c r="T666" s="29">
        <v>15</v>
      </c>
    </row>
    <row r="667" spans="19:20" x14ac:dyDescent="0.25">
      <c r="S667" s="78">
        <v>28054</v>
      </c>
      <c r="T667" s="29">
        <v>15</v>
      </c>
    </row>
    <row r="668" spans="19:20" x14ac:dyDescent="0.25">
      <c r="S668" s="78">
        <v>28055</v>
      </c>
      <c r="T668" s="29">
        <v>15</v>
      </c>
    </row>
    <row r="669" spans="19:20" x14ac:dyDescent="0.25">
      <c r="S669" s="78">
        <v>28056</v>
      </c>
      <c r="T669" s="29">
        <v>15</v>
      </c>
    </row>
    <row r="670" spans="19:20" x14ac:dyDescent="0.25">
      <c r="S670" s="78">
        <v>28057</v>
      </c>
      <c r="T670" s="29">
        <v>15</v>
      </c>
    </row>
    <row r="671" spans="19:20" x14ac:dyDescent="0.25">
      <c r="S671" s="78">
        <v>28058</v>
      </c>
      <c r="T671" s="29">
        <v>15</v>
      </c>
    </row>
    <row r="672" spans="19:20" x14ac:dyDescent="0.25">
      <c r="S672" s="78">
        <v>28059</v>
      </c>
      <c r="T672" s="29">
        <v>15</v>
      </c>
    </row>
    <row r="673" spans="19:20" x14ac:dyDescent="0.25">
      <c r="S673" s="78">
        <v>28060</v>
      </c>
      <c r="T673" s="29">
        <v>15</v>
      </c>
    </row>
    <row r="674" spans="19:20" x14ac:dyDescent="0.25">
      <c r="S674" s="78">
        <v>28061</v>
      </c>
      <c r="T674" s="29">
        <v>15</v>
      </c>
    </row>
    <row r="675" spans="19:20" x14ac:dyDescent="0.25">
      <c r="S675" s="78">
        <v>28062</v>
      </c>
      <c r="T675" s="29">
        <v>15</v>
      </c>
    </row>
    <row r="676" spans="19:20" x14ac:dyDescent="0.25">
      <c r="S676" s="78">
        <v>28063</v>
      </c>
      <c r="T676" s="29">
        <v>15</v>
      </c>
    </row>
    <row r="677" spans="19:20" x14ac:dyDescent="0.25">
      <c r="S677" s="78">
        <v>28064</v>
      </c>
      <c r="T677" s="29">
        <v>15</v>
      </c>
    </row>
    <row r="678" spans="19:20" x14ac:dyDescent="0.25">
      <c r="S678" s="78">
        <v>28065</v>
      </c>
      <c r="T678" s="29">
        <v>15</v>
      </c>
    </row>
    <row r="679" spans="19:20" x14ac:dyDescent="0.25">
      <c r="S679" s="78">
        <v>28066</v>
      </c>
      <c r="T679" s="29">
        <v>15</v>
      </c>
    </row>
    <row r="680" spans="19:20" x14ac:dyDescent="0.25">
      <c r="S680" s="78">
        <v>28067</v>
      </c>
      <c r="T680" s="29">
        <v>15</v>
      </c>
    </row>
    <row r="681" spans="19:20" x14ac:dyDescent="0.25">
      <c r="S681" s="78">
        <v>28068</v>
      </c>
      <c r="T681" s="29">
        <v>15</v>
      </c>
    </row>
    <row r="682" spans="19:20" x14ac:dyDescent="0.25">
      <c r="S682" s="78">
        <v>28069</v>
      </c>
      <c r="T682" s="29">
        <v>15</v>
      </c>
    </row>
    <row r="683" spans="19:20" x14ac:dyDescent="0.25">
      <c r="S683" s="78">
        <v>28070</v>
      </c>
      <c r="T683" s="29">
        <v>15</v>
      </c>
    </row>
    <row r="684" spans="19:20" x14ac:dyDescent="0.25">
      <c r="S684" s="78">
        <v>28071</v>
      </c>
      <c r="T684" s="29">
        <v>15</v>
      </c>
    </row>
    <row r="685" spans="19:20" x14ac:dyDescent="0.25">
      <c r="S685" s="78">
        <v>28072</v>
      </c>
      <c r="T685" s="29">
        <v>15</v>
      </c>
    </row>
    <row r="686" spans="19:20" x14ac:dyDescent="0.25">
      <c r="S686" s="78">
        <v>28073</v>
      </c>
      <c r="T686" s="29">
        <v>15</v>
      </c>
    </row>
    <row r="687" spans="19:20" x14ac:dyDescent="0.25">
      <c r="S687" s="78">
        <v>28074</v>
      </c>
      <c r="T687" s="29">
        <v>15</v>
      </c>
    </row>
    <row r="688" spans="19:20" x14ac:dyDescent="0.25">
      <c r="S688" s="78">
        <v>28075</v>
      </c>
      <c r="T688" s="29">
        <v>15</v>
      </c>
    </row>
    <row r="689" spans="19:20" x14ac:dyDescent="0.25">
      <c r="S689" s="78">
        <v>28076</v>
      </c>
      <c r="T689" s="29">
        <v>15</v>
      </c>
    </row>
    <row r="690" spans="19:20" x14ac:dyDescent="0.25">
      <c r="S690" s="78">
        <v>28077</v>
      </c>
      <c r="T690" s="29">
        <v>15</v>
      </c>
    </row>
    <row r="691" spans="19:20" x14ac:dyDescent="0.25">
      <c r="S691" s="78">
        <v>28078</v>
      </c>
      <c r="T691" s="29">
        <v>15</v>
      </c>
    </row>
    <row r="692" spans="19:20" x14ac:dyDescent="0.25">
      <c r="S692" s="78">
        <v>28079</v>
      </c>
      <c r="T692" s="29">
        <v>15</v>
      </c>
    </row>
    <row r="693" spans="19:20" x14ac:dyDescent="0.25">
      <c r="S693" s="78">
        <v>28080</v>
      </c>
      <c r="T693" s="29">
        <v>15</v>
      </c>
    </row>
    <row r="694" spans="19:20" x14ac:dyDescent="0.25">
      <c r="S694" s="78">
        <v>28081</v>
      </c>
      <c r="T694" s="29">
        <v>15</v>
      </c>
    </row>
    <row r="695" spans="19:20" x14ac:dyDescent="0.25">
      <c r="S695" s="78">
        <v>28082</v>
      </c>
      <c r="T695" s="29">
        <v>15</v>
      </c>
    </row>
    <row r="696" spans="19:20" x14ac:dyDescent="0.25">
      <c r="S696" s="78">
        <v>28083</v>
      </c>
      <c r="T696" s="29">
        <v>15</v>
      </c>
    </row>
    <row r="697" spans="19:20" x14ac:dyDescent="0.25">
      <c r="S697" s="78">
        <v>28084</v>
      </c>
      <c r="T697" s="29">
        <v>15</v>
      </c>
    </row>
    <row r="698" spans="19:20" x14ac:dyDescent="0.25">
      <c r="S698" s="78">
        <v>28085</v>
      </c>
      <c r="T698" s="29">
        <v>15</v>
      </c>
    </row>
    <row r="699" spans="19:20" x14ac:dyDescent="0.25">
      <c r="S699" s="78">
        <v>28086</v>
      </c>
      <c r="T699" s="29">
        <v>14.75</v>
      </c>
    </row>
    <row r="700" spans="19:20" x14ac:dyDescent="0.25">
      <c r="S700" s="78">
        <v>28087</v>
      </c>
      <c r="T700" s="29">
        <v>14.75</v>
      </c>
    </row>
    <row r="701" spans="19:20" x14ac:dyDescent="0.25">
      <c r="S701" s="78">
        <v>28088</v>
      </c>
      <c r="T701" s="29">
        <v>14.75</v>
      </c>
    </row>
    <row r="702" spans="19:20" x14ac:dyDescent="0.25">
      <c r="S702" s="78">
        <v>28089</v>
      </c>
      <c r="T702" s="29">
        <v>14.75</v>
      </c>
    </row>
    <row r="703" spans="19:20" x14ac:dyDescent="0.25">
      <c r="S703" s="78">
        <v>28090</v>
      </c>
      <c r="T703" s="29">
        <v>14.75</v>
      </c>
    </row>
    <row r="704" spans="19:20" x14ac:dyDescent="0.25">
      <c r="S704" s="78">
        <v>28091</v>
      </c>
      <c r="T704" s="29">
        <v>14.75</v>
      </c>
    </row>
    <row r="705" spans="19:20" x14ac:dyDescent="0.25">
      <c r="S705" s="78">
        <v>28092</v>
      </c>
      <c r="T705" s="29">
        <v>14.75</v>
      </c>
    </row>
    <row r="706" spans="19:20" x14ac:dyDescent="0.25">
      <c r="S706" s="78">
        <v>28093</v>
      </c>
      <c r="T706" s="29">
        <v>14.75</v>
      </c>
    </row>
    <row r="707" spans="19:20" x14ac:dyDescent="0.25">
      <c r="S707" s="78">
        <v>28094</v>
      </c>
      <c r="T707" s="29">
        <v>14.75</v>
      </c>
    </row>
    <row r="708" spans="19:20" x14ac:dyDescent="0.25">
      <c r="S708" s="78">
        <v>28095</v>
      </c>
      <c r="T708" s="29">
        <v>14.75</v>
      </c>
    </row>
    <row r="709" spans="19:20" x14ac:dyDescent="0.25">
      <c r="S709" s="78">
        <v>28096</v>
      </c>
      <c r="T709" s="29">
        <v>14.75</v>
      </c>
    </row>
    <row r="710" spans="19:20" x14ac:dyDescent="0.25">
      <c r="S710" s="78">
        <v>28097</v>
      </c>
      <c r="T710" s="29">
        <v>14.75</v>
      </c>
    </row>
    <row r="711" spans="19:20" x14ac:dyDescent="0.25">
      <c r="S711" s="78">
        <v>28098</v>
      </c>
      <c r="T711" s="29">
        <v>14.75</v>
      </c>
    </row>
    <row r="712" spans="19:20" x14ac:dyDescent="0.25">
      <c r="S712" s="78">
        <v>28099</v>
      </c>
      <c r="T712" s="29">
        <v>14.75</v>
      </c>
    </row>
    <row r="713" spans="19:20" x14ac:dyDescent="0.25">
      <c r="S713" s="78">
        <v>28100</v>
      </c>
      <c r="T713" s="29">
        <v>14.75</v>
      </c>
    </row>
    <row r="714" spans="19:20" x14ac:dyDescent="0.25">
      <c r="S714" s="78">
        <v>28101</v>
      </c>
      <c r="T714" s="29">
        <v>14.75</v>
      </c>
    </row>
    <row r="715" spans="19:20" x14ac:dyDescent="0.25">
      <c r="S715" s="78">
        <v>28102</v>
      </c>
      <c r="T715" s="29">
        <v>14.75</v>
      </c>
    </row>
    <row r="716" spans="19:20" x14ac:dyDescent="0.25">
      <c r="S716" s="78">
        <v>28103</v>
      </c>
      <c r="T716" s="29">
        <v>14.75</v>
      </c>
    </row>
    <row r="717" spans="19:20" x14ac:dyDescent="0.25">
      <c r="S717" s="78">
        <v>28104</v>
      </c>
      <c r="T717" s="29">
        <v>14.75</v>
      </c>
    </row>
    <row r="718" spans="19:20" x14ac:dyDescent="0.25">
      <c r="S718" s="78">
        <v>28105</v>
      </c>
      <c r="T718" s="29">
        <v>14.75</v>
      </c>
    </row>
    <row r="719" spans="19:20" x14ac:dyDescent="0.25">
      <c r="S719" s="78">
        <v>28106</v>
      </c>
      <c r="T719" s="29">
        <v>14.75</v>
      </c>
    </row>
    <row r="720" spans="19:20" x14ac:dyDescent="0.25">
      <c r="S720" s="78">
        <v>28107</v>
      </c>
      <c r="T720" s="29">
        <v>14.75</v>
      </c>
    </row>
    <row r="721" spans="19:20" x14ac:dyDescent="0.25">
      <c r="S721" s="78">
        <v>28108</v>
      </c>
      <c r="T721" s="29">
        <v>14.75</v>
      </c>
    </row>
    <row r="722" spans="19:20" x14ac:dyDescent="0.25">
      <c r="S722" s="78">
        <v>28109</v>
      </c>
      <c r="T722" s="29">
        <v>14.75</v>
      </c>
    </row>
    <row r="723" spans="19:20" x14ac:dyDescent="0.25">
      <c r="S723" s="78">
        <v>28110</v>
      </c>
      <c r="T723" s="29">
        <v>14.75</v>
      </c>
    </row>
    <row r="724" spans="19:20" x14ac:dyDescent="0.25">
      <c r="S724" s="78">
        <v>28111</v>
      </c>
      <c r="T724" s="29">
        <v>14.75</v>
      </c>
    </row>
    <row r="725" spans="19:20" x14ac:dyDescent="0.25">
      <c r="S725" s="78">
        <v>28112</v>
      </c>
      <c r="T725" s="29">
        <v>14.75</v>
      </c>
    </row>
    <row r="726" spans="19:20" x14ac:dyDescent="0.25">
      <c r="S726" s="78">
        <v>28113</v>
      </c>
      <c r="T726" s="29">
        <v>14.75</v>
      </c>
    </row>
    <row r="727" spans="19:20" x14ac:dyDescent="0.25">
      <c r="S727" s="78">
        <v>28114</v>
      </c>
      <c r="T727" s="29">
        <v>14.5</v>
      </c>
    </row>
    <row r="728" spans="19:20" x14ac:dyDescent="0.25">
      <c r="S728" s="78">
        <v>28115</v>
      </c>
      <c r="T728" s="29">
        <v>14.5</v>
      </c>
    </row>
    <row r="729" spans="19:20" x14ac:dyDescent="0.25">
      <c r="S729" s="78">
        <v>28116</v>
      </c>
      <c r="T729" s="29">
        <v>14.5</v>
      </c>
    </row>
    <row r="730" spans="19:20" x14ac:dyDescent="0.25">
      <c r="S730" s="78">
        <v>28117</v>
      </c>
      <c r="T730" s="29">
        <v>14.5</v>
      </c>
    </row>
    <row r="731" spans="19:20" x14ac:dyDescent="0.25">
      <c r="S731" s="78">
        <v>28118</v>
      </c>
      <c r="T731" s="29">
        <v>14.5</v>
      </c>
    </row>
    <row r="732" spans="19:20" x14ac:dyDescent="0.25">
      <c r="S732" s="78">
        <v>28119</v>
      </c>
      <c r="T732" s="29">
        <v>14.5</v>
      </c>
    </row>
    <row r="733" spans="19:20" x14ac:dyDescent="0.25">
      <c r="S733" s="78">
        <v>28120</v>
      </c>
      <c r="T733" s="29">
        <v>14.5</v>
      </c>
    </row>
    <row r="734" spans="19:20" x14ac:dyDescent="0.25">
      <c r="S734" s="78">
        <v>28121</v>
      </c>
      <c r="T734" s="29">
        <v>14.5</v>
      </c>
    </row>
    <row r="735" spans="19:20" x14ac:dyDescent="0.25">
      <c r="S735" s="78">
        <v>28122</v>
      </c>
      <c r="T735" s="29">
        <v>14.5</v>
      </c>
    </row>
    <row r="736" spans="19:20" x14ac:dyDescent="0.25">
      <c r="S736" s="78">
        <v>28123</v>
      </c>
      <c r="T736" s="29">
        <v>14.25</v>
      </c>
    </row>
    <row r="737" spans="19:21" x14ac:dyDescent="0.25">
      <c r="S737" s="78">
        <v>28124</v>
      </c>
      <c r="T737" s="29">
        <v>14.25</v>
      </c>
    </row>
    <row r="738" spans="19:21" x14ac:dyDescent="0.25">
      <c r="S738" s="78">
        <v>28125</v>
      </c>
      <c r="T738" s="29">
        <v>14.25</v>
      </c>
      <c r="U738" s="40">
        <f>AVERAGE(T647:T738)</f>
        <v>14.720108695652174</v>
      </c>
    </row>
    <row r="739" spans="19:21" x14ac:dyDescent="0.25">
      <c r="S739" s="78">
        <v>28126</v>
      </c>
      <c r="T739" s="29">
        <v>14.25</v>
      </c>
    </row>
    <row r="740" spans="19:21" x14ac:dyDescent="0.25">
      <c r="S740" s="78">
        <v>28127</v>
      </c>
      <c r="T740" s="29">
        <v>14.25</v>
      </c>
    </row>
    <row r="741" spans="19:21" x14ac:dyDescent="0.25">
      <c r="S741" s="78">
        <v>28128</v>
      </c>
      <c r="T741" s="29">
        <v>14.25</v>
      </c>
    </row>
    <row r="742" spans="19:21" x14ac:dyDescent="0.25">
      <c r="S742" s="78">
        <v>28129</v>
      </c>
      <c r="T742" s="29">
        <v>14.25</v>
      </c>
    </row>
    <row r="743" spans="19:21" x14ac:dyDescent="0.25">
      <c r="S743" s="78">
        <v>28130</v>
      </c>
      <c r="T743" s="29">
        <v>14.25</v>
      </c>
    </row>
    <row r="744" spans="19:21" x14ac:dyDescent="0.25">
      <c r="S744" s="78">
        <v>28131</v>
      </c>
      <c r="T744" s="29">
        <v>14.25</v>
      </c>
    </row>
    <row r="745" spans="19:21" x14ac:dyDescent="0.25">
      <c r="S745" s="78">
        <v>28132</v>
      </c>
      <c r="T745" s="29">
        <v>14.25</v>
      </c>
    </row>
    <row r="746" spans="19:21" x14ac:dyDescent="0.25">
      <c r="S746" s="78">
        <v>28133</v>
      </c>
      <c r="T746" s="29">
        <v>14.25</v>
      </c>
    </row>
    <row r="747" spans="19:21" x14ac:dyDescent="0.25">
      <c r="S747" s="78">
        <v>28134</v>
      </c>
      <c r="T747" s="29">
        <v>14.25</v>
      </c>
    </row>
    <row r="748" spans="19:21" x14ac:dyDescent="0.25">
      <c r="S748" s="78">
        <v>28135</v>
      </c>
      <c r="T748" s="29">
        <v>14</v>
      </c>
    </row>
    <row r="749" spans="19:21" x14ac:dyDescent="0.25">
      <c r="S749" s="78">
        <v>28136</v>
      </c>
      <c r="T749" s="29">
        <v>14</v>
      </c>
    </row>
    <row r="750" spans="19:21" x14ac:dyDescent="0.25">
      <c r="S750" s="78">
        <v>28137</v>
      </c>
      <c r="T750" s="29">
        <v>14</v>
      </c>
    </row>
    <row r="751" spans="19:21" x14ac:dyDescent="0.25">
      <c r="S751" s="78">
        <v>28138</v>
      </c>
      <c r="T751" s="29">
        <v>14</v>
      </c>
    </row>
    <row r="752" spans="19:21" x14ac:dyDescent="0.25">
      <c r="S752" s="78">
        <v>28139</v>
      </c>
      <c r="T752" s="29">
        <v>14</v>
      </c>
    </row>
    <row r="753" spans="19:20" x14ac:dyDescent="0.25">
      <c r="S753" s="78">
        <v>28140</v>
      </c>
      <c r="T753" s="29">
        <v>14</v>
      </c>
    </row>
    <row r="754" spans="19:20" x14ac:dyDescent="0.25">
      <c r="S754" s="78">
        <v>28141</v>
      </c>
      <c r="T754" s="29">
        <v>14</v>
      </c>
    </row>
    <row r="755" spans="19:20" x14ac:dyDescent="0.25">
      <c r="S755" s="78">
        <v>28142</v>
      </c>
      <c r="T755" s="29">
        <v>14</v>
      </c>
    </row>
    <row r="756" spans="19:20" x14ac:dyDescent="0.25">
      <c r="S756" s="78">
        <v>28143</v>
      </c>
      <c r="T756" s="29">
        <v>14</v>
      </c>
    </row>
    <row r="757" spans="19:20" x14ac:dyDescent="0.25">
      <c r="S757" s="78">
        <v>28144</v>
      </c>
      <c r="T757" s="29">
        <v>14</v>
      </c>
    </row>
    <row r="758" spans="19:20" x14ac:dyDescent="0.25">
      <c r="S758" s="78">
        <v>28145</v>
      </c>
      <c r="T758" s="29">
        <v>14</v>
      </c>
    </row>
    <row r="759" spans="19:20" x14ac:dyDescent="0.25">
      <c r="S759" s="78">
        <v>28146</v>
      </c>
      <c r="T759" s="29">
        <v>14</v>
      </c>
    </row>
    <row r="760" spans="19:20" x14ac:dyDescent="0.25">
      <c r="S760" s="78">
        <v>28147</v>
      </c>
      <c r="T760" s="29">
        <v>14</v>
      </c>
    </row>
    <row r="761" spans="19:20" x14ac:dyDescent="0.25">
      <c r="S761" s="78">
        <v>28148</v>
      </c>
      <c r="T761" s="29">
        <v>14</v>
      </c>
    </row>
    <row r="762" spans="19:20" x14ac:dyDescent="0.25">
      <c r="S762" s="78">
        <v>28149</v>
      </c>
      <c r="T762" s="29">
        <v>13.25</v>
      </c>
    </row>
    <row r="763" spans="19:20" x14ac:dyDescent="0.25">
      <c r="S763" s="78">
        <v>28150</v>
      </c>
      <c r="T763" s="29">
        <v>13.25</v>
      </c>
    </row>
    <row r="764" spans="19:20" x14ac:dyDescent="0.25">
      <c r="S764" s="78">
        <v>28151</v>
      </c>
      <c r="T764" s="29">
        <v>13.25</v>
      </c>
    </row>
    <row r="765" spans="19:20" x14ac:dyDescent="0.25">
      <c r="S765" s="78">
        <v>28152</v>
      </c>
      <c r="T765" s="29">
        <v>13.25</v>
      </c>
    </row>
    <row r="766" spans="19:20" x14ac:dyDescent="0.25">
      <c r="S766" s="78">
        <v>28153</v>
      </c>
      <c r="T766" s="29">
        <v>13.25</v>
      </c>
    </row>
    <row r="767" spans="19:20" x14ac:dyDescent="0.25">
      <c r="S767" s="78">
        <v>28154</v>
      </c>
      <c r="T767" s="29">
        <v>13.25</v>
      </c>
    </row>
    <row r="768" spans="19:20" x14ac:dyDescent="0.25">
      <c r="S768" s="78">
        <v>28155</v>
      </c>
      <c r="T768" s="29">
        <v>13.25</v>
      </c>
    </row>
    <row r="769" spans="19:20" x14ac:dyDescent="0.25">
      <c r="S769" s="78">
        <v>28156</v>
      </c>
      <c r="T769" s="29">
        <v>12.25</v>
      </c>
    </row>
    <row r="770" spans="19:20" x14ac:dyDescent="0.25">
      <c r="S770" s="78">
        <v>28157</v>
      </c>
      <c r="T770" s="29">
        <v>12.25</v>
      </c>
    </row>
    <row r="771" spans="19:20" x14ac:dyDescent="0.25">
      <c r="S771" s="78">
        <v>28158</v>
      </c>
      <c r="T771" s="29">
        <v>12.25</v>
      </c>
    </row>
    <row r="772" spans="19:20" x14ac:dyDescent="0.25">
      <c r="S772" s="78">
        <v>28159</v>
      </c>
      <c r="T772" s="29">
        <v>12</v>
      </c>
    </row>
    <row r="773" spans="19:20" x14ac:dyDescent="0.25">
      <c r="S773" s="78">
        <v>28160</v>
      </c>
      <c r="T773" s="29">
        <v>12</v>
      </c>
    </row>
    <row r="774" spans="19:20" x14ac:dyDescent="0.25">
      <c r="S774" s="78">
        <v>28161</v>
      </c>
      <c r="T774" s="29">
        <v>12</v>
      </c>
    </row>
    <row r="775" spans="19:20" x14ac:dyDescent="0.25">
      <c r="S775" s="78">
        <v>28162</v>
      </c>
      <c r="T775" s="29">
        <v>12</v>
      </c>
    </row>
    <row r="776" spans="19:20" x14ac:dyDescent="0.25">
      <c r="S776" s="78">
        <v>28163</v>
      </c>
      <c r="T776" s="29">
        <v>12</v>
      </c>
    </row>
    <row r="777" spans="19:20" x14ac:dyDescent="0.25">
      <c r="S777" s="78">
        <v>28164</v>
      </c>
      <c r="T777" s="29">
        <v>12</v>
      </c>
    </row>
    <row r="778" spans="19:20" x14ac:dyDescent="0.25">
      <c r="S778" s="78">
        <v>28165</v>
      </c>
      <c r="T778" s="29">
        <v>12</v>
      </c>
    </row>
    <row r="779" spans="19:20" x14ac:dyDescent="0.25">
      <c r="S779" s="78">
        <v>28166</v>
      </c>
      <c r="T779" s="29">
        <v>12</v>
      </c>
    </row>
    <row r="780" spans="19:20" x14ac:dyDescent="0.25">
      <c r="S780" s="78">
        <v>28167</v>
      </c>
      <c r="T780" s="29">
        <v>12</v>
      </c>
    </row>
    <row r="781" spans="19:20" x14ac:dyDescent="0.25">
      <c r="S781" s="78">
        <v>28168</v>
      </c>
      <c r="T781" s="29">
        <v>12</v>
      </c>
    </row>
    <row r="782" spans="19:20" x14ac:dyDescent="0.25">
      <c r="S782" s="78">
        <v>28169</v>
      </c>
      <c r="T782" s="29">
        <v>12</v>
      </c>
    </row>
    <row r="783" spans="19:20" x14ac:dyDescent="0.25">
      <c r="S783" s="78">
        <v>28170</v>
      </c>
      <c r="T783" s="29">
        <v>12</v>
      </c>
    </row>
    <row r="784" spans="19:20" x14ac:dyDescent="0.25">
      <c r="S784" s="78">
        <v>28171</v>
      </c>
      <c r="T784" s="29">
        <v>12</v>
      </c>
    </row>
    <row r="785" spans="19:20" x14ac:dyDescent="0.25">
      <c r="S785" s="78">
        <v>28172</v>
      </c>
      <c r="T785" s="29">
        <v>12</v>
      </c>
    </row>
    <row r="786" spans="19:20" x14ac:dyDescent="0.25">
      <c r="S786" s="78">
        <v>28173</v>
      </c>
      <c r="T786" s="29">
        <v>12</v>
      </c>
    </row>
    <row r="787" spans="19:20" x14ac:dyDescent="0.25">
      <c r="S787" s="78">
        <v>28174</v>
      </c>
      <c r="T787" s="29">
        <v>12</v>
      </c>
    </row>
    <row r="788" spans="19:20" x14ac:dyDescent="0.25">
      <c r="S788" s="78">
        <v>28175</v>
      </c>
      <c r="T788" s="29">
        <v>12</v>
      </c>
    </row>
    <row r="789" spans="19:20" x14ac:dyDescent="0.25">
      <c r="S789" s="78">
        <v>28176</v>
      </c>
      <c r="T789" s="29">
        <v>12</v>
      </c>
    </row>
    <row r="790" spans="19:20" x14ac:dyDescent="0.25">
      <c r="S790" s="78">
        <v>28177</v>
      </c>
      <c r="T790" s="29">
        <v>12</v>
      </c>
    </row>
    <row r="791" spans="19:20" x14ac:dyDescent="0.25">
      <c r="S791" s="78">
        <v>28178</v>
      </c>
      <c r="T791" s="29">
        <v>12</v>
      </c>
    </row>
    <row r="792" spans="19:20" x14ac:dyDescent="0.25">
      <c r="S792" s="78">
        <v>28179</v>
      </c>
      <c r="T792" s="29">
        <v>12</v>
      </c>
    </row>
    <row r="793" spans="19:20" x14ac:dyDescent="0.25">
      <c r="S793" s="78">
        <v>28180</v>
      </c>
      <c r="T793" s="29">
        <v>12</v>
      </c>
    </row>
    <row r="794" spans="19:20" x14ac:dyDescent="0.25">
      <c r="S794" s="78">
        <v>28181</v>
      </c>
      <c r="T794" s="29">
        <v>12</v>
      </c>
    </row>
    <row r="795" spans="19:20" x14ac:dyDescent="0.25">
      <c r="S795" s="78">
        <v>28182</v>
      </c>
      <c r="T795" s="29">
        <v>12</v>
      </c>
    </row>
    <row r="796" spans="19:20" x14ac:dyDescent="0.25">
      <c r="S796" s="78">
        <v>28183</v>
      </c>
      <c r="T796" s="29">
        <v>12</v>
      </c>
    </row>
    <row r="797" spans="19:20" x14ac:dyDescent="0.25">
      <c r="S797" s="78">
        <v>28184</v>
      </c>
      <c r="T797" s="29">
        <v>12</v>
      </c>
    </row>
    <row r="798" spans="19:20" x14ac:dyDescent="0.25">
      <c r="S798" s="78">
        <v>28185</v>
      </c>
      <c r="T798" s="29">
        <v>12</v>
      </c>
    </row>
    <row r="799" spans="19:20" x14ac:dyDescent="0.25">
      <c r="S799" s="78">
        <v>28186</v>
      </c>
      <c r="T799" s="29">
        <v>12</v>
      </c>
    </row>
    <row r="800" spans="19:20" x14ac:dyDescent="0.25">
      <c r="S800" s="78">
        <v>28187</v>
      </c>
      <c r="T800" s="29">
        <v>12</v>
      </c>
    </row>
    <row r="801" spans="19:20" x14ac:dyDescent="0.25">
      <c r="S801" s="78">
        <v>28188</v>
      </c>
      <c r="T801" s="29">
        <v>12</v>
      </c>
    </row>
    <row r="802" spans="19:20" x14ac:dyDescent="0.25">
      <c r="S802" s="78">
        <v>28189</v>
      </c>
      <c r="T802" s="29">
        <v>12</v>
      </c>
    </row>
    <row r="803" spans="19:20" x14ac:dyDescent="0.25">
      <c r="S803" s="78">
        <v>28190</v>
      </c>
      <c r="T803" s="29">
        <v>12</v>
      </c>
    </row>
    <row r="804" spans="19:20" x14ac:dyDescent="0.25">
      <c r="S804" s="78">
        <v>28191</v>
      </c>
      <c r="T804" s="29">
        <v>12</v>
      </c>
    </row>
    <row r="805" spans="19:20" x14ac:dyDescent="0.25">
      <c r="S805" s="78">
        <v>28192</v>
      </c>
      <c r="T805" s="29">
        <v>12</v>
      </c>
    </row>
    <row r="806" spans="19:20" x14ac:dyDescent="0.25">
      <c r="S806" s="78">
        <v>28193</v>
      </c>
      <c r="T806" s="29">
        <v>12</v>
      </c>
    </row>
    <row r="807" spans="19:20" x14ac:dyDescent="0.25">
      <c r="S807" s="78">
        <v>28194</v>
      </c>
      <c r="T807" s="29">
        <v>11</v>
      </c>
    </row>
    <row r="808" spans="19:20" x14ac:dyDescent="0.25">
      <c r="S808" s="78">
        <v>28195</v>
      </c>
      <c r="T808" s="29">
        <v>11</v>
      </c>
    </row>
    <row r="809" spans="19:20" x14ac:dyDescent="0.25">
      <c r="S809" s="78">
        <v>28196</v>
      </c>
      <c r="T809" s="29">
        <v>11</v>
      </c>
    </row>
    <row r="810" spans="19:20" x14ac:dyDescent="0.25">
      <c r="S810" s="78">
        <v>28197</v>
      </c>
      <c r="T810" s="29">
        <v>11</v>
      </c>
    </row>
    <row r="811" spans="19:20" x14ac:dyDescent="0.25">
      <c r="S811" s="78">
        <v>28198</v>
      </c>
      <c r="T811" s="29">
        <v>11</v>
      </c>
    </row>
    <row r="812" spans="19:20" x14ac:dyDescent="0.25">
      <c r="S812" s="78">
        <v>28199</v>
      </c>
      <c r="T812" s="29">
        <v>11</v>
      </c>
    </row>
    <row r="813" spans="19:20" x14ac:dyDescent="0.25">
      <c r="S813" s="78">
        <v>28200</v>
      </c>
      <c r="T813" s="29">
        <v>11</v>
      </c>
    </row>
    <row r="814" spans="19:20" x14ac:dyDescent="0.25">
      <c r="S814" s="78">
        <v>28201</v>
      </c>
      <c r="T814" s="29">
        <v>11</v>
      </c>
    </row>
    <row r="815" spans="19:20" x14ac:dyDescent="0.25">
      <c r="S815" s="78">
        <v>28202</v>
      </c>
      <c r="T815" s="29">
        <v>11</v>
      </c>
    </row>
    <row r="816" spans="19:20" x14ac:dyDescent="0.25">
      <c r="S816" s="78">
        <v>28203</v>
      </c>
      <c r="T816" s="29">
        <v>11</v>
      </c>
    </row>
    <row r="817" spans="19:21" x14ac:dyDescent="0.25">
      <c r="S817" s="78">
        <v>28204</v>
      </c>
      <c r="T817" s="29">
        <v>11</v>
      </c>
    </row>
    <row r="818" spans="19:21" x14ac:dyDescent="0.25">
      <c r="S818" s="78">
        <v>28205</v>
      </c>
      <c r="T818" s="29">
        <v>10.5</v>
      </c>
    </row>
    <row r="819" spans="19:21" x14ac:dyDescent="0.25">
      <c r="S819" s="78">
        <v>28206</v>
      </c>
      <c r="T819" s="29">
        <v>10.5</v>
      </c>
    </row>
    <row r="820" spans="19:21" x14ac:dyDescent="0.25">
      <c r="S820" s="78">
        <v>28207</v>
      </c>
      <c r="T820" s="29">
        <v>10.5</v>
      </c>
    </row>
    <row r="821" spans="19:21" x14ac:dyDescent="0.25">
      <c r="S821" s="78">
        <v>28208</v>
      </c>
      <c r="T821" s="29">
        <v>10.5</v>
      </c>
    </row>
    <row r="822" spans="19:21" x14ac:dyDescent="0.25">
      <c r="S822" s="78">
        <v>28209</v>
      </c>
      <c r="T822" s="29">
        <v>10.5</v>
      </c>
    </row>
    <row r="823" spans="19:21" x14ac:dyDescent="0.25">
      <c r="S823" s="78">
        <v>28210</v>
      </c>
      <c r="T823" s="29">
        <v>10.5</v>
      </c>
    </row>
    <row r="824" spans="19:21" x14ac:dyDescent="0.25">
      <c r="S824" s="78">
        <v>28211</v>
      </c>
      <c r="T824" s="29">
        <v>10.5</v>
      </c>
    </row>
    <row r="825" spans="19:21" x14ac:dyDescent="0.25">
      <c r="S825" s="78">
        <v>28212</v>
      </c>
      <c r="T825" s="29">
        <v>10.5</v>
      </c>
    </row>
    <row r="826" spans="19:21" x14ac:dyDescent="0.25">
      <c r="S826" s="78">
        <v>28213</v>
      </c>
      <c r="T826" s="29">
        <v>10.5</v>
      </c>
    </row>
    <row r="827" spans="19:21" x14ac:dyDescent="0.25">
      <c r="S827" s="78">
        <v>28214</v>
      </c>
      <c r="T827" s="29">
        <v>10.5</v>
      </c>
    </row>
    <row r="828" spans="19:21" x14ac:dyDescent="0.25">
      <c r="S828" s="78">
        <v>28215</v>
      </c>
      <c r="T828" s="29">
        <v>9.5</v>
      </c>
      <c r="U828" s="40">
        <f>AVERAGE(T739:T828)</f>
        <v>12.324999999999999</v>
      </c>
    </row>
    <row r="829" spans="19:21" x14ac:dyDescent="0.25">
      <c r="S829" s="78">
        <v>28216</v>
      </c>
      <c r="T829" s="29">
        <v>9.5</v>
      </c>
    </row>
    <row r="830" spans="19:21" x14ac:dyDescent="0.25">
      <c r="S830" s="78">
        <v>28217</v>
      </c>
      <c r="T830" s="29">
        <v>9.5</v>
      </c>
    </row>
    <row r="831" spans="19:21" x14ac:dyDescent="0.25">
      <c r="S831" s="78">
        <v>28218</v>
      </c>
      <c r="T831" s="29">
        <v>9.5</v>
      </c>
    </row>
    <row r="832" spans="19:21" x14ac:dyDescent="0.25">
      <c r="S832" s="78">
        <v>28219</v>
      </c>
      <c r="T832" s="29">
        <v>9.5</v>
      </c>
    </row>
    <row r="833" spans="19:20" x14ac:dyDescent="0.25">
      <c r="S833" s="78">
        <v>28220</v>
      </c>
      <c r="T833" s="29">
        <v>9.5</v>
      </c>
    </row>
    <row r="834" spans="19:20" x14ac:dyDescent="0.25">
      <c r="S834" s="78">
        <v>28221</v>
      </c>
      <c r="T834" s="29">
        <v>9.5</v>
      </c>
    </row>
    <row r="835" spans="19:20" x14ac:dyDescent="0.25">
      <c r="S835" s="78">
        <v>28222</v>
      </c>
      <c r="T835" s="29">
        <v>9.5</v>
      </c>
    </row>
    <row r="836" spans="19:20" x14ac:dyDescent="0.25">
      <c r="S836" s="78">
        <v>28223</v>
      </c>
      <c r="T836" s="29">
        <v>9.5</v>
      </c>
    </row>
    <row r="837" spans="19:20" x14ac:dyDescent="0.25">
      <c r="S837" s="78">
        <v>28224</v>
      </c>
      <c r="T837" s="29">
        <v>9.5</v>
      </c>
    </row>
    <row r="838" spans="19:20" x14ac:dyDescent="0.25">
      <c r="S838" s="78">
        <v>28225</v>
      </c>
      <c r="T838" s="29">
        <v>9.5</v>
      </c>
    </row>
    <row r="839" spans="19:20" x14ac:dyDescent="0.25">
      <c r="S839" s="78">
        <v>28226</v>
      </c>
      <c r="T839" s="29">
        <v>9.5</v>
      </c>
    </row>
    <row r="840" spans="19:20" x14ac:dyDescent="0.25">
      <c r="S840" s="78">
        <v>28227</v>
      </c>
      <c r="T840" s="29">
        <v>9.25</v>
      </c>
    </row>
    <row r="841" spans="19:20" x14ac:dyDescent="0.25">
      <c r="S841" s="78">
        <v>28228</v>
      </c>
      <c r="T841" s="29">
        <v>9.25</v>
      </c>
    </row>
    <row r="842" spans="19:20" x14ac:dyDescent="0.25">
      <c r="S842" s="78">
        <v>28229</v>
      </c>
      <c r="T842" s="29">
        <v>9.25</v>
      </c>
    </row>
    <row r="843" spans="19:20" x14ac:dyDescent="0.25">
      <c r="S843" s="78">
        <v>28230</v>
      </c>
      <c r="T843" s="29">
        <v>9.25</v>
      </c>
    </row>
    <row r="844" spans="19:20" x14ac:dyDescent="0.25">
      <c r="S844" s="78">
        <v>28231</v>
      </c>
      <c r="T844" s="29">
        <v>9.25</v>
      </c>
    </row>
    <row r="845" spans="19:20" x14ac:dyDescent="0.25">
      <c r="S845" s="78">
        <v>28232</v>
      </c>
      <c r="T845" s="29">
        <v>9.25</v>
      </c>
    </row>
    <row r="846" spans="19:20" x14ac:dyDescent="0.25">
      <c r="S846" s="78">
        <v>28233</v>
      </c>
      <c r="T846" s="29">
        <v>9</v>
      </c>
    </row>
    <row r="847" spans="19:20" x14ac:dyDescent="0.25">
      <c r="S847" s="78">
        <v>28234</v>
      </c>
      <c r="T847" s="29">
        <v>9</v>
      </c>
    </row>
    <row r="848" spans="19:20" x14ac:dyDescent="0.25">
      <c r="S848" s="78">
        <v>28235</v>
      </c>
      <c r="T848" s="29">
        <v>9</v>
      </c>
    </row>
    <row r="849" spans="19:20" x14ac:dyDescent="0.25">
      <c r="S849" s="78">
        <v>28236</v>
      </c>
      <c r="T849" s="29">
        <v>9</v>
      </c>
    </row>
    <row r="850" spans="19:20" x14ac:dyDescent="0.25">
      <c r="S850" s="78">
        <v>28237</v>
      </c>
      <c r="T850" s="29">
        <v>9</v>
      </c>
    </row>
    <row r="851" spans="19:20" x14ac:dyDescent="0.25">
      <c r="S851" s="78">
        <v>28238</v>
      </c>
      <c r="T851" s="29">
        <v>9</v>
      </c>
    </row>
    <row r="852" spans="19:20" x14ac:dyDescent="0.25">
      <c r="S852" s="78">
        <v>28239</v>
      </c>
      <c r="T852" s="29">
        <v>9</v>
      </c>
    </row>
    <row r="853" spans="19:20" x14ac:dyDescent="0.25">
      <c r="S853" s="78">
        <v>28240</v>
      </c>
      <c r="T853" s="29">
        <v>8.75</v>
      </c>
    </row>
    <row r="854" spans="19:20" x14ac:dyDescent="0.25">
      <c r="S854" s="78">
        <v>28241</v>
      </c>
      <c r="T854" s="29">
        <v>8.75</v>
      </c>
    </row>
    <row r="855" spans="19:20" x14ac:dyDescent="0.25">
      <c r="S855" s="78">
        <v>28242</v>
      </c>
      <c r="T855" s="29">
        <v>8.75</v>
      </c>
    </row>
    <row r="856" spans="19:20" x14ac:dyDescent="0.25">
      <c r="S856" s="78">
        <v>28243</v>
      </c>
      <c r="T856" s="29">
        <v>8.75</v>
      </c>
    </row>
    <row r="857" spans="19:20" x14ac:dyDescent="0.25">
      <c r="S857" s="78">
        <v>28244</v>
      </c>
      <c r="T857" s="29">
        <v>8.75</v>
      </c>
    </row>
    <row r="858" spans="19:20" x14ac:dyDescent="0.25">
      <c r="S858" s="78">
        <v>28245</v>
      </c>
      <c r="T858" s="29">
        <v>8.75</v>
      </c>
    </row>
    <row r="859" spans="19:20" x14ac:dyDescent="0.25">
      <c r="S859" s="78">
        <v>28246</v>
      </c>
      <c r="T859" s="29">
        <v>8.75</v>
      </c>
    </row>
    <row r="860" spans="19:20" x14ac:dyDescent="0.25">
      <c r="S860" s="78">
        <v>28247</v>
      </c>
      <c r="T860" s="29">
        <v>8.25</v>
      </c>
    </row>
    <row r="861" spans="19:20" x14ac:dyDescent="0.25">
      <c r="S861" s="78">
        <v>28248</v>
      </c>
      <c r="T861" s="29">
        <v>8.25</v>
      </c>
    </row>
    <row r="862" spans="19:20" x14ac:dyDescent="0.25">
      <c r="S862" s="78">
        <v>28249</v>
      </c>
      <c r="T862" s="29">
        <v>8.25</v>
      </c>
    </row>
    <row r="863" spans="19:20" x14ac:dyDescent="0.25">
      <c r="S863" s="78">
        <v>28250</v>
      </c>
      <c r="T863" s="29">
        <v>8.25</v>
      </c>
    </row>
    <row r="864" spans="19:20" x14ac:dyDescent="0.25">
      <c r="S864" s="78">
        <v>28251</v>
      </c>
      <c r="T864" s="29">
        <v>8.25</v>
      </c>
    </row>
    <row r="865" spans="19:20" x14ac:dyDescent="0.25">
      <c r="S865" s="78">
        <v>28252</v>
      </c>
      <c r="T865" s="29">
        <v>8.25</v>
      </c>
    </row>
    <row r="866" spans="19:20" x14ac:dyDescent="0.25">
      <c r="S866" s="78">
        <v>28253</v>
      </c>
      <c r="T866" s="29">
        <v>8.25</v>
      </c>
    </row>
    <row r="867" spans="19:20" x14ac:dyDescent="0.25">
      <c r="S867" s="78">
        <v>28254</v>
      </c>
      <c r="T867" s="29">
        <v>8.25</v>
      </c>
    </row>
    <row r="868" spans="19:20" x14ac:dyDescent="0.25">
      <c r="S868" s="78">
        <v>28255</v>
      </c>
      <c r="T868" s="29">
        <v>8.25</v>
      </c>
    </row>
    <row r="869" spans="19:20" x14ac:dyDescent="0.25">
      <c r="S869" s="78">
        <v>28256</v>
      </c>
      <c r="T869" s="29">
        <v>8.25</v>
      </c>
    </row>
    <row r="870" spans="19:20" x14ac:dyDescent="0.25">
      <c r="S870" s="78">
        <v>28257</v>
      </c>
      <c r="T870" s="29">
        <v>8.25</v>
      </c>
    </row>
    <row r="871" spans="19:20" x14ac:dyDescent="0.25">
      <c r="S871" s="78">
        <v>28258</v>
      </c>
      <c r="T871" s="29">
        <v>8.25</v>
      </c>
    </row>
    <row r="872" spans="19:20" x14ac:dyDescent="0.25">
      <c r="S872" s="78">
        <v>28259</v>
      </c>
      <c r="T872" s="29">
        <v>8.25</v>
      </c>
    </row>
    <row r="873" spans="19:20" x14ac:dyDescent="0.25">
      <c r="S873" s="78">
        <v>28260</v>
      </c>
      <c r="T873" s="29">
        <v>8.25</v>
      </c>
    </row>
    <row r="874" spans="19:20" x14ac:dyDescent="0.25">
      <c r="S874" s="78">
        <v>28261</v>
      </c>
      <c r="T874" s="29">
        <v>8</v>
      </c>
    </row>
    <row r="875" spans="19:20" x14ac:dyDescent="0.25">
      <c r="S875" s="78">
        <v>28262</v>
      </c>
      <c r="T875" s="29">
        <v>8</v>
      </c>
    </row>
    <row r="876" spans="19:20" x14ac:dyDescent="0.25">
      <c r="S876" s="78">
        <v>28263</v>
      </c>
      <c r="T876" s="29">
        <v>8</v>
      </c>
    </row>
    <row r="877" spans="19:20" x14ac:dyDescent="0.25">
      <c r="S877" s="78">
        <v>28264</v>
      </c>
      <c r="T877" s="29">
        <v>8</v>
      </c>
    </row>
    <row r="878" spans="19:20" x14ac:dyDescent="0.25">
      <c r="S878" s="78">
        <v>28265</v>
      </c>
      <c r="T878" s="29">
        <v>8</v>
      </c>
    </row>
    <row r="879" spans="19:20" x14ac:dyDescent="0.25">
      <c r="S879" s="78">
        <v>28266</v>
      </c>
      <c r="T879" s="29">
        <v>8</v>
      </c>
    </row>
    <row r="880" spans="19:20" x14ac:dyDescent="0.25">
      <c r="S880" s="78">
        <v>28267</v>
      </c>
      <c r="T880" s="29">
        <v>8</v>
      </c>
    </row>
    <row r="881" spans="19:20" x14ac:dyDescent="0.25">
      <c r="S881" s="78">
        <v>28268</v>
      </c>
      <c r="T881" s="29">
        <v>8</v>
      </c>
    </row>
    <row r="882" spans="19:20" x14ac:dyDescent="0.25">
      <c r="S882" s="78">
        <v>28269</v>
      </c>
      <c r="T882" s="29">
        <v>8</v>
      </c>
    </row>
    <row r="883" spans="19:20" x14ac:dyDescent="0.25">
      <c r="S883" s="78">
        <v>28270</v>
      </c>
      <c r="T883" s="29">
        <v>8</v>
      </c>
    </row>
    <row r="884" spans="19:20" x14ac:dyDescent="0.25">
      <c r="S884" s="78">
        <v>28271</v>
      </c>
      <c r="T884" s="29">
        <v>8</v>
      </c>
    </row>
    <row r="885" spans="19:20" x14ac:dyDescent="0.25">
      <c r="S885" s="78">
        <v>28272</v>
      </c>
      <c r="T885" s="29">
        <v>8</v>
      </c>
    </row>
    <row r="886" spans="19:20" x14ac:dyDescent="0.25">
      <c r="S886" s="78">
        <v>28273</v>
      </c>
      <c r="T886" s="29">
        <v>8</v>
      </c>
    </row>
    <row r="887" spans="19:20" x14ac:dyDescent="0.25">
      <c r="S887" s="78">
        <v>28274</v>
      </c>
      <c r="T887" s="29">
        <v>8</v>
      </c>
    </row>
    <row r="888" spans="19:20" x14ac:dyDescent="0.25">
      <c r="S888" s="78">
        <v>28275</v>
      </c>
      <c r="T888" s="29">
        <v>8</v>
      </c>
    </row>
    <row r="889" spans="19:20" x14ac:dyDescent="0.25">
      <c r="S889" s="78">
        <v>28276</v>
      </c>
      <c r="T889" s="29">
        <v>8</v>
      </c>
    </row>
    <row r="890" spans="19:20" x14ac:dyDescent="0.25">
      <c r="S890" s="78">
        <v>28277</v>
      </c>
      <c r="T890" s="29">
        <v>8</v>
      </c>
    </row>
    <row r="891" spans="19:20" x14ac:dyDescent="0.25">
      <c r="S891" s="78">
        <v>28278</v>
      </c>
      <c r="T891" s="29">
        <v>8</v>
      </c>
    </row>
    <row r="892" spans="19:20" x14ac:dyDescent="0.25">
      <c r="S892" s="78">
        <v>28279</v>
      </c>
      <c r="T892" s="29">
        <v>8</v>
      </c>
    </row>
    <row r="893" spans="19:20" x14ac:dyDescent="0.25">
      <c r="S893" s="78">
        <v>28280</v>
      </c>
      <c r="T893" s="29">
        <v>8</v>
      </c>
    </row>
    <row r="894" spans="19:20" x14ac:dyDescent="0.25">
      <c r="S894" s="78">
        <v>28281</v>
      </c>
      <c r="T894" s="29">
        <v>8</v>
      </c>
    </row>
    <row r="895" spans="19:20" x14ac:dyDescent="0.25">
      <c r="S895" s="78">
        <v>28282</v>
      </c>
      <c r="T895" s="29">
        <v>8</v>
      </c>
    </row>
    <row r="896" spans="19:20" x14ac:dyDescent="0.25">
      <c r="S896" s="78">
        <v>28283</v>
      </c>
      <c r="T896" s="29">
        <v>8</v>
      </c>
    </row>
    <row r="897" spans="19:20" x14ac:dyDescent="0.25">
      <c r="S897" s="78">
        <v>28284</v>
      </c>
      <c r="T897" s="29">
        <v>8</v>
      </c>
    </row>
    <row r="898" spans="19:20" x14ac:dyDescent="0.25">
      <c r="S898" s="78">
        <v>28285</v>
      </c>
      <c r="T898" s="29">
        <v>8</v>
      </c>
    </row>
    <row r="899" spans="19:20" x14ac:dyDescent="0.25">
      <c r="S899" s="78">
        <v>28286</v>
      </c>
      <c r="T899" s="29">
        <v>8</v>
      </c>
    </row>
    <row r="900" spans="19:20" x14ac:dyDescent="0.25">
      <c r="S900" s="78">
        <v>28287</v>
      </c>
      <c r="T900" s="29">
        <v>8</v>
      </c>
    </row>
    <row r="901" spans="19:20" x14ac:dyDescent="0.25">
      <c r="S901" s="78">
        <v>28288</v>
      </c>
      <c r="T901" s="29">
        <v>8</v>
      </c>
    </row>
    <row r="902" spans="19:20" x14ac:dyDescent="0.25">
      <c r="S902" s="78">
        <v>28289</v>
      </c>
      <c r="T902" s="29">
        <v>8</v>
      </c>
    </row>
    <row r="903" spans="19:20" x14ac:dyDescent="0.25">
      <c r="S903" s="78">
        <v>28290</v>
      </c>
      <c r="T903" s="29">
        <v>8</v>
      </c>
    </row>
    <row r="904" spans="19:20" x14ac:dyDescent="0.25">
      <c r="S904" s="78">
        <v>28291</v>
      </c>
      <c r="T904" s="29">
        <v>8</v>
      </c>
    </row>
    <row r="905" spans="19:20" x14ac:dyDescent="0.25">
      <c r="S905" s="78">
        <v>28292</v>
      </c>
      <c r="T905" s="29">
        <v>8</v>
      </c>
    </row>
    <row r="906" spans="19:20" x14ac:dyDescent="0.25">
      <c r="S906" s="78">
        <v>28293</v>
      </c>
      <c r="T906" s="29">
        <v>8</v>
      </c>
    </row>
    <row r="907" spans="19:20" x14ac:dyDescent="0.25">
      <c r="S907" s="78">
        <v>28294</v>
      </c>
      <c r="T907" s="29">
        <v>8</v>
      </c>
    </row>
    <row r="908" spans="19:20" x14ac:dyDescent="0.25">
      <c r="S908" s="78">
        <v>28295</v>
      </c>
      <c r="T908" s="29">
        <v>8</v>
      </c>
    </row>
    <row r="909" spans="19:20" x14ac:dyDescent="0.25">
      <c r="S909" s="78">
        <v>28296</v>
      </c>
      <c r="T909" s="29">
        <v>8</v>
      </c>
    </row>
    <row r="910" spans="19:20" x14ac:dyDescent="0.25">
      <c r="S910" s="78">
        <v>28297</v>
      </c>
      <c r="T910" s="29">
        <v>8</v>
      </c>
    </row>
    <row r="911" spans="19:20" x14ac:dyDescent="0.25">
      <c r="S911" s="78">
        <v>28298</v>
      </c>
      <c r="T911" s="29">
        <v>8</v>
      </c>
    </row>
    <row r="912" spans="19:20" x14ac:dyDescent="0.25">
      <c r="S912" s="78">
        <v>28299</v>
      </c>
      <c r="T912" s="29">
        <v>8</v>
      </c>
    </row>
    <row r="913" spans="19:21" x14ac:dyDescent="0.25">
      <c r="S913" s="78">
        <v>28300</v>
      </c>
      <c r="T913" s="29">
        <v>8</v>
      </c>
    </row>
    <row r="914" spans="19:21" x14ac:dyDescent="0.25">
      <c r="S914" s="78">
        <v>28301</v>
      </c>
      <c r="T914" s="29">
        <v>8</v>
      </c>
    </row>
    <row r="915" spans="19:21" x14ac:dyDescent="0.25">
      <c r="S915" s="78">
        <v>28302</v>
      </c>
      <c r="T915" s="29">
        <v>8</v>
      </c>
    </row>
    <row r="916" spans="19:21" x14ac:dyDescent="0.25">
      <c r="S916" s="78">
        <v>28303</v>
      </c>
      <c r="T916" s="29">
        <v>8</v>
      </c>
    </row>
    <row r="917" spans="19:21" x14ac:dyDescent="0.25">
      <c r="S917" s="78">
        <v>28304</v>
      </c>
      <c r="T917" s="29">
        <v>8</v>
      </c>
    </row>
    <row r="918" spans="19:21" x14ac:dyDescent="0.25">
      <c r="S918" s="78">
        <v>28305</v>
      </c>
      <c r="T918" s="29">
        <v>8</v>
      </c>
    </row>
    <row r="919" spans="19:21" x14ac:dyDescent="0.25">
      <c r="S919" s="78">
        <v>28306</v>
      </c>
      <c r="T919" s="29">
        <v>8</v>
      </c>
      <c r="U919" s="40">
        <f>AVERAGE(T829:T919)</f>
        <v>8.4368131868131861</v>
      </c>
    </row>
    <row r="920" spans="19:21" x14ac:dyDescent="0.25">
      <c r="S920" s="78">
        <v>28307</v>
      </c>
      <c r="T920" s="29">
        <v>8</v>
      </c>
    </row>
    <row r="921" spans="19:21" x14ac:dyDescent="0.25">
      <c r="S921" s="78">
        <v>28308</v>
      </c>
      <c r="T921" s="29">
        <v>8</v>
      </c>
    </row>
    <row r="922" spans="19:21" x14ac:dyDescent="0.25">
      <c r="S922" s="78">
        <v>28309</v>
      </c>
      <c r="T922" s="29">
        <v>8</v>
      </c>
    </row>
    <row r="923" spans="19:21" x14ac:dyDescent="0.25">
      <c r="S923" s="78">
        <v>28310</v>
      </c>
      <c r="T923" s="29">
        <v>8</v>
      </c>
    </row>
    <row r="924" spans="19:21" x14ac:dyDescent="0.25">
      <c r="S924" s="78">
        <v>28311</v>
      </c>
      <c r="T924" s="29">
        <v>8</v>
      </c>
    </row>
    <row r="925" spans="19:21" x14ac:dyDescent="0.25">
      <c r="S925" s="78">
        <v>28312</v>
      </c>
      <c r="T925" s="29">
        <v>8</v>
      </c>
    </row>
    <row r="926" spans="19:21" x14ac:dyDescent="0.25">
      <c r="S926" s="78">
        <v>28313</v>
      </c>
      <c r="T926" s="29">
        <v>8</v>
      </c>
    </row>
    <row r="927" spans="19:21" x14ac:dyDescent="0.25">
      <c r="S927" s="78">
        <v>28314</v>
      </c>
      <c r="T927" s="29">
        <v>8</v>
      </c>
    </row>
    <row r="928" spans="19:21" x14ac:dyDescent="0.25">
      <c r="S928" s="78">
        <v>28315</v>
      </c>
      <c r="T928" s="29">
        <v>8</v>
      </c>
    </row>
    <row r="929" spans="19:20" x14ac:dyDescent="0.25">
      <c r="S929" s="78">
        <v>28316</v>
      </c>
      <c r="T929" s="29">
        <v>8</v>
      </c>
    </row>
    <row r="930" spans="19:20" x14ac:dyDescent="0.25">
      <c r="S930" s="78">
        <v>28317</v>
      </c>
      <c r="T930" s="29">
        <v>8</v>
      </c>
    </row>
    <row r="931" spans="19:20" x14ac:dyDescent="0.25">
      <c r="S931" s="78">
        <v>28318</v>
      </c>
      <c r="T931" s="29">
        <v>8</v>
      </c>
    </row>
    <row r="932" spans="19:20" x14ac:dyDescent="0.25">
      <c r="S932" s="78">
        <v>28319</v>
      </c>
      <c r="T932" s="29">
        <v>8</v>
      </c>
    </row>
    <row r="933" spans="19:20" x14ac:dyDescent="0.25">
      <c r="S933" s="78">
        <v>28320</v>
      </c>
      <c r="T933" s="29">
        <v>8</v>
      </c>
    </row>
    <row r="934" spans="19:20" x14ac:dyDescent="0.25">
      <c r="S934" s="78">
        <v>28321</v>
      </c>
      <c r="T934" s="29">
        <v>8</v>
      </c>
    </row>
    <row r="935" spans="19:20" x14ac:dyDescent="0.25">
      <c r="S935" s="78">
        <v>28322</v>
      </c>
      <c r="T935" s="29">
        <v>8</v>
      </c>
    </row>
    <row r="936" spans="19:20" x14ac:dyDescent="0.25">
      <c r="S936" s="78">
        <v>28323</v>
      </c>
      <c r="T936" s="29">
        <v>8</v>
      </c>
    </row>
    <row r="937" spans="19:20" x14ac:dyDescent="0.25">
      <c r="S937" s="78">
        <v>28324</v>
      </c>
      <c r="T937" s="29">
        <v>8</v>
      </c>
    </row>
    <row r="938" spans="19:20" x14ac:dyDescent="0.25">
      <c r="S938" s="78">
        <v>28325</v>
      </c>
      <c r="T938" s="29">
        <v>8</v>
      </c>
    </row>
    <row r="939" spans="19:20" x14ac:dyDescent="0.25">
      <c r="S939" s="78">
        <v>28326</v>
      </c>
      <c r="T939" s="29">
        <v>8</v>
      </c>
    </row>
    <row r="940" spans="19:20" x14ac:dyDescent="0.25">
      <c r="S940" s="78">
        <v>28327</v>
      </c>
      <c r="T940" s="29">
        <v>8</v>
      </c>
    </row>
    <row r="941" spans="19:20" x14ac:dyDescent="0.25">
      <c r="S941" s="78">
        <v>28328</v>
      </c>
      <c r="T941" s="29">
        <v>8</v>
      </c>
    </row>
    <row r="942" spans="19:20" x14ac:dyDescent="0.25">
      <c r="S942" s="78">
        <v>28329</v>
      </c>
      <c r="T942" s="29">
        <v>8</v>
      </c>
    </row>
    <row r="943" spans="19:20" x14ac:dyDescent="0.25">
      <c r="S943" s="78">
        <v>28330</v>
      </c>
      <c r="T943" s="29">
        <v>8</v>
      </c>
    </row>
    <row r="944" spans="19:20" x14ac:dyDescent="0.25">
      <c r="S944" s="78">
        <v>28331</v>
      </c>
      <c r="T944" s="29">
        <v>8</v>
      </c>
    </row>
    <row r="945" spans="19:20" x14ac:dyDescent="0.25">
      <c r="S945" s="78">
        <v>28332</v>
      </c>
      <c r="T945" s="29">
        <v>8</v>
      </c>
    </row>
    <row r="946" spans="19:20" x14ac:dyDescent="0.25">
      <c r="S946" s="78">
        <v>28333</v>
      </c>
      <c r="T946" s="29">
        <v>8</v>
      </c>
    </row>
    <row r="947" spans="19:20" x14ac:dyDescent="0.25">
      <c r="S947" s="78">
        <v>28334</v>
      </c>
      <c r="T947" s="29">
        <v>8</v>
      </c>
    </row>
    <row r="948" spans="19:20" x14ac:dyDescent="0.25">
      <c r="S948" s="78">
        <v>28335</v>
      </c>
      <c r="T948" s="29">
        <v>8</v>
      </c>
    </row>
    <row r="949" spans="19:20" x14ac:dyDescent="0.25">
      <c r="S949" s="78">
        <v>28336</v>
      </c>
      <c r="T949" s="29">
        <v>8</v>
      </c>
    </row>
    <row r="950" spans="19:20" x14ac:dyDescent="0.25">
      <c r="S950" s="78">
        <v>28337</v>
      </c>
      <c r="T950" s="29">
        <v>8</v>
      </c>
    </row>
    <row r="951" spans="19:20" x14ac:dyDescent="0.25">
      <c r="S951" s="78">
        <v>28338</v>
      </c>
      <c r="T951" s="29">
        <v>8</v>
      </c>
    </row>
    <row r="952" spans="19:20" x14ac:dyDescent="0.25">
      <c r="S952" s="78">
        <v>28339</v>
      </c>
      <c r="T952" s="29">
        <v>8</v>
      </c>
    </row>
    <row r="953" spans="19:20" x14ac:dyDescent="0.25">
      <c r="S953" s="78">
        <v>28340</v>
      </c>
      <c r="T953" s="29">
        <v>8</v>
      </c>
    </row>
    <row r="954" spans="19:20" x14ac:dyDescent="0.25">
      <c r="S954" s="78">
        <v>28341</v>
      </c>
      <c r="T954" s="29">
        <v>8</v>
      </c>
    </row>
    <row r="955" spans="19:20" x14ac:dyDescent="0.25">
      <c r="S955" s="78">
        <v>28342</v>
      </c>
      <c r="T955" s="29">
        <v>8</v>
      </c>
    </row>
    <row r="956" spans="19:20" x14ac:dyDescent="0.25">
      <c r="S956" s="78">
        <v>28343</v>
      </c>
      <c r="T956" s="29">
        <v>8</v>
      </c>
    </row>
    <row r="957" spans="19:20" x14ac:dyDescent="0.25">
      <c r="S957" s="78">
        <v>28344</v>
      </c>
      <c r="T957" s="29">
        <v>8</v>
      </c>
    </row>
    <row r="958" spans="19:20" x14ac:dyDescent="0.25">
      <c r="S958" s="78">
        <v>28345</v>
      </c>
      <c r="T958" s="29">
        <v>7.5</v>
      </c>
    </row>
    <row r="959" spans="19:20" x14ac:dyDescent="0.25">
      <c r="S959" s="78">
        <v>28346</v>
      </c>
      <c r="T959" s="29">
        <v>7.5</v>
      </c>
    </row>
    <row r="960" spans="19:20" x14ac:dyDescent="0.25">
      <c r="S960" s="78">
        <v>28347</v>
      </c>
      <c r="T960" s="29">
        <v>7.5</v>
      </c>
    </row>
    <row r="961" spans="19:20" x14ac:dyDescent="0.25">
      <c r="S961" s="78">
        <v>28348</v>
      </c>
      <c r="T961" s="29">
        <v>7.5</v>
      </c>
    </row>
    <row r="962" spans="19:20" x14ac:dyDescent="0.25">
      <c r="S962" s="78">
        <v>28349</v>
      </c>
      <c r="T962" s="29">
        <v>7.5</v>
      </c>
    </row>
    <row r="963" spans="19:20" x14ac:dyDescent="0.25">
      <c r="S963" s="78">
        <v>28350</v>
      </c>
      <c r="T963" s="29">
        <v>7.5</v>
      </c>
    </row>
    <row r="964" spans="19:20" x14ac:dyDescent="0.25">
      <c r="S964" s="78">
        <v>28351</v>
      </c>
      <c r="T964" s="29">
        <v>7.5</v>
      </c>
    </row>
    <row r="965" spans="19:20" x14ac:dyDescent="0.25">
      <c r="S965" s="78">
        <v>28352</v>
      </c>
      <c r="T965" s="29">
        <v>7</v>
      </c>
    </row>
    <row r="966" spans="19:20" x14ac:dyDescent="0.25">
      <c r="S966" s="78">
        <v>28353</v>
      </c>
      <c r="T966" s="29">
        <v>7</v>
      </c>
    </row>
    <row r="967" spans="19:20" x14ac:dyDescent="0.25">
      <c r="S967" s="78">
        <v>28354</v>
      </c>
      <c r="T967" s="29">
        <v>7</v>
      </c>
    </row>
    <row r="968" spans="19:20" x14ac:dyDescent="0.25">
      <c r="S968" s="78">
        <v>28355</v>
      </c>
      <c r="T968" s="29">
        <v>7</v>
      </c>
    </row>
    <row r="969" spans="19:20" x14ac:dyDescent="0.25">
      <c r="S969" s="78">
        <v>28356</v>
      </c>
      <c r="T969" s="29">
        <v>7</v>
      </c>
    </row>
    <row r="970" spans="19:20" x14ac:dyDescent="0.25">
      <c r="S970" s="78">
        <v>28357</v>
      </c>
      <c r="T970" s="29">
        <v>7</v>
      </c>
    </row>
    <row r="971" spans="19:20" x14ac:dyDescent="0.25">
      <c r="S971" s="78">
        <v>28358</v>
      </c>
      <c r="T971" s="29">
        <v>7</v>
      </c>
    </row>
    <row r="972" spans="19:20" x14ac:dyDescent="0.25">
      <c r="S972" s="78">
        <v>28359</v>
      </c>
      <c r="T972" s="29">
        <v>7</v>
      </c>
    </row>
    <row r="973" spans="19:20" x14ac:dyDescent="0.25">
      <c r="S973" s="78">
        <v>28360</v>
      </c>
      <c r="T973" s="29">
        <v>7</v>
      </c>
    </row>
    <row r="974" spans="19:20" x14ac:dyDescent="0.25">
      <c r="S974" s="78">
        <v>28361</v>
      </c>
      <c r="T974" s="29">
        <v>7</v>
      </c>
    </row>
    <row r="975" spans="19:20" x14ac:dyDescent="0.25">
      <c r="S975" s="78">
        <v>28362</v>
      </c>
      <c r="T975" s="29">
        <v>7</v>
      </c>
    </row>
    <row r="976" spans="19:20" x14ac:dyDescent="0.25">
      <c r="S976" s="78">
        <v>28363</v>
      </c>
      <c r="T976" s="29">
        <v>7</v>
      </c>
    </row>
    <row r="977" spans="19:20" x14ac:dyDescent="0.25">
      <c r="S977" s="78">
        <v>28364</v>
      </c>
      <c r="T977" s="29">
        <v>7</v>
      </c>
    </row>
    <row r="978" spans="19:20" x14ac:dyDescent="0.25">
      <c r="S978" s="78">
        <v>28365</v>
      </c>
      <c r="T978" s="29">
        <v>7</v>
      </c>
    </row>
    <row r="979" spans="19:20" x14ac:dyDescent="0.25">
      <c r="S979" s="78">
        <v>28366</v>
      </c>
      <c r="T979" s="29">
        <v>7</v>
      </c>
    </row>
    <row r="980" spans="19:20" x14ac:dyDescent="0.25">
      <c r="S980" s="78">
        <v>28367</v>
      </c>
      <c r="T980" s="29">
        <v>7</v>
      </c>
    </row>
    <row r="981" spans="19:20" x14ac:dyDescent="0.25">
      <c r="S981" s="78">
        <v>28368</v>
      </c>
      <c r="T981" s="29">
        <v>7</v>
      </c>
    </row>
    <row r="982" spans="19:20" x14ac:dyDescent="0.25">
      <c r="S982" s="78">
        <v>28369</v>
      </c>
      <c r="T982" s="29">
        <v>7</v>
      </c>
    </row>
    <row r="983" spans="19:20" x14ac:dyDescent="0.25">
      <c r="S983" s="78">
        <v>28370</v>
      </c>
      <c r="T983" s="29">
        <v>7</v>
      </c>
    </row>
    <row r="984" spans="19:20" x14ac:dyDescent="0.25">
      <c r="S984" s="78">
        <v>28371</v>
      </c>
      <c r="T984" s="29">
        <v>7</v>
      </c>
    </row>
    <row r="985" spans="19:20" x14ac:dyDescent="0.25">
      <c r="S985" s="78">
        <v>28372</v>
      </c>
      <c r="T985" s="29">
        <v>7</v>
      </c>
    </row>
    <row r="986" spans="19:20" x14ac:dyDescent="0.25">
      <c r="S986" s="78">
        <v>28373</v>
      </c>
      <c r="T986" s="29">
        <v>7</v>
      </c>
    </row>
    <row r="987" spans="19:20" x14ac:dyDescent="0.25">
      <c r="S987" s="78">
        <v>28374</v>
      </c>
      <c r="T987" s="29">
        <v>7</v>
      </c>
    </row>
    <row r="988" spans="19:20" x14ac:dyDescent="0.25">
      <c r="S988" s="78">
        <v>28375</v>
      </c>
      <c r="T988" s="29">
        <v>7</v>
      </c>
    </row>
    <row r="989" spans="19:20" x14ac:dyDescent="0.25">
      <c r="S989" s="78">
        <v>28376</v>
      </c>
      <c r="T989" s="29">
        <v>7</v>
      </c>
    </row>
    <row r="990" spans="19:20" x14ac:dyDescent="0.25">
      <c r="S990" s="78">
        <v>28377</v>
      </c>
      <c r="T990" s="29">
        <v>7</v>
      </c>
    </row>
    <row r="991" spans="19:20" x14ac:dyDescent="0.25">
      <c r="S991" s="78">
        <v>28378</v>
      </c>
      <c r="T991" s="29">
        <v>7</v>
      </c>
    </row>
    <row r="992" spans="19:20" x14ac:dyDescent="0.25">
      <c r="S992" s="78">
        <v>28379</v>
      </c>
      <c r="T992" s="29">
        <v>7</v>
      </c>
    </row>
    <row r="993" spans="19:20" x14ac:dyDescent="0.25">
      <c r="S993" s="78">
        <v>28380</v>
      </c>
      <c r="T993" s="29">
        <v>6.5</v>
      </c>
    </row>
    <row r="994" spans="19:20" x14ac:dyDescent="0.25">
      <c r="S994" s="78">
        <v>28381</v>
      </c>
      <c r="T994" s="29">
        <v>6.5</v>
      </c>
    </row>
    <row r="995" spans="19:20" x14ac:dyDescent="0.25">
      <c r="S995" s="78">
        <v>28382</v>
      </c>
      <c r="T995" s="29">
        <v>6.5</v>
      </c>
    </row>
    <row r="996" spans="19:20" x14ac:dyDescent="0.25">
      <c r="S996" s="78">
        <v>28383</v>
      </c>
      <c r="T996" s="29">
        <v>6.5</v>
      </c>
    </row>
    <row r="997" spans="19:20" x14ac:dyDescent="0.25">
      <c r="S997" s="78">
        <v>28384</v>
      </c>
      <c r="T997" s="29">
        <v>6.5</v>
      </c>
    </row>
    <row r="998" spans="19:20" x14ac:dyDescent="0.25">
      <c r="S998" s="78">
        <v>28385</v>
      </c>
      <c r="T998" s="29">
        <v>6.5</v>
      </c>
    </row>
    <row r="999" spans="19:20" x14ac:dyDescent="0.25">
      <c r="S999" s="78">
        <v>28386</v>
      </c>
      <c r="T999" s="29">
        <v>6.5</v>
      </c>
    </row>
    <row r="1000" spans="19:20" x14ac:dyDescent="0.25">
      <c r="S1000" s="78">
        <v>28387</v>
      </c>
      <c r="T1000" s="29">
        <v>6</v>
      </c>
    </row>
    <row r="1001" spans="19:20" x14ac:dyDescent="0.25">
      <c r="S1001" s="78">
        <v>28388</v>
      </c>
      <c r="T1001" s="29">
        <v>6</v>
      </c>
    </row>
    <row r="1002" spans="19:20" x14ac:dyDescent="0.25">
      <c r="S1002" s="78">
        <v>28389</v>
      </c>
      <c r="T1002" s="29">
        <v>6</v>
      </c>
    </row>
    <row r="1003" spans="19:20" x14ac:dyDescent="0.25">
      <c r="S1003" s="78">
        <v>28390</v>
      </c>
      <c r="T1003" s="29">
        <v>6</v>
      </c>
    </row>
    <row r="1004" spans="19:20" x14ac:dyDescent="0.25">
      <c r="S1004" s="78">
        <v>28391</v>
      </c>
      <c r="T1004" s="29">
        <v>6</v>
      </c>
    </row>
    <row r="1005" spans="19:20" x14ac:dyDescent="0.25">
      <c r="S1005" s="78">
        <v>28392</v>
      </c>
      <c r="T1005" s="29">
        <v>6</v>
      </c>
    </row>
    <row r="1006" spans="19:20" x14ac:dyDescent="0.25">
      <c r="S1006" s="78">
        <v>28393</v>
      </c>
      <c r="T1006" s="29">
        <v>6</v>
      </c>
    </row>
    <row r="1007" spans="19:20" x14ac:dyDescent="0.25">
      <c r="S1007" s="78">
        <v>28394</v>
      </c>
      <c r="T1007" s="29">
        <v>6</v>
      </c>
    </row>
    <row r="1008" spans="19:20" x14ac:dyDescent="0.25">
      <c r="S1008" s="78">
        <v>28395</v>
      </c>
      <c r="T1008" s="29">
        <v>6</v>
      </c>
    </row>
    <row r="1009" spans="19:21" x14ac:dyDescent="0.25">
      <c r="S1009" s="78">
        <v>28396</v>
      </c>
      <c r="T1009" s="29">
        <v>6</v>
      </c>
    </row>
    <row r="1010" spans="19:21" x14ac:dyDescent="0.25">
      <c r="S1010" s="78">
        <v>28397</v>
      </c>
      <c r="T1010" s="29">
        <v>6</v>
      </c>
    </row>
    <row r="1011" spans="19:21" x14ac:dyDescent="0.25">
      <c r="S1011" s="78">
        <v>28398</v>
      </c>
      <c r="T1011" s="29">
        <v>6</v>
      </c>
      <c r="U1011" s="40">
        <f>AVERAGE(T920:T1011)</f>
        <v>7.2826086956521738</v>
      </c>
    </row>
    <row r="1012" spans="19:21" x14ac:dyDescent="0.25">
      <c r="S1012" s="78">
        <v>28399</v>
      </c>
      <c r="T1012" s="29">
        <v>6</v>
      </c>
    </row>
    <row r="1013" spans="19:21" x14ac:dyDescent="0.25">
      <c r="S1013" s="78">
        <v>28400</v>
      </c>
      <c r="T1013" s="29">
        <v>6</v>
      </c>
    </row>
    <row r="1014" spans="19:21" x14ac:dyDescent="0.25">
      <c r="S1014" s="78">
        <v>28401</v>
      </c>
      <c r="T1014" s="29">
        <v>6</v>
      </c>
    </row>
    <row r="1015" spans="19:21" x14ac:dyDescent="0.25">
      <c r="S1015" s="78">
        <v>28402</v>
      </c>
      <c r="T1015" s="29">
        <v>6</v>
      </c>
    </row>
    <row r="1016" spans="19:21" x14ac:dyDescent="0.25">
      <c r="S1016" s="78">
        <v>28403</v>
      </c>
      <c r="T1016" s="29">
        <v>6</v>
      </c>
    </row>
    <row r="1017" spans="19:21" x14ac:dyDescent="0.25">
      <c r="S1017" s="78">
        <v>28404</v>
      </c>
      <c r="T1017" s="29">
        <v>6</v>
      </c>
    </row>
    <row r="1018" spans="19:21" x14ac:dyDescent="0.25">
      <c r="S1018" s="78">
        <v>28405</v>
      </c>
      <c r="T1018" s="29">
        <v>6</v>
      </c>
    </row>
    <row r="1019" spans="19:21" x14ac:dyDescent="0.25">
      <c r="S1019" s="78">
        <v>28406</v>
      </c>
      <c r="T1019" s="29">
        <v>6</v>
      </c>
    </row>
    <row r="1020" spans="19:21" x14ac:dyDescent="0.25">
      <c r="S1020" s="78">
        <v>28407</v>
      </c>
      <c r="T1020" s="29">
        <v>6</v>
      </c>
    </row>
    <row r="1021" spans="19:21" x14ac:dyDescent="0.25">
      <c r="S1021" s="78">
        <v>28408</v>
      </c>
      <c r="T1021" s="29">
        <v>5.5</v>
      </c>
    </row>
    <row r="1022" spans="19:21" x14ac:dyDescent="0.25">
      <c r="S1022" s="78">
        <v>28409</v>
      </c>
      <c r="T1022" s="29">
        <v>5.5</v>
      </c>
    </row>
    <row r="1023" spans="19:21" x14ac:dyDescent="0.25">
      <c r="S1023" s="78">
        <v>28410</v>
      </c>
      <c r="T1023" s="29">
        <v>5.5</v>
      </c>
    </row>
    <row r="1024" spans="19:21" x14ac:dyDescent="0.25">
      <c r="S1024" s="78">
        <v>28411</v>
      </c>
      <c r="T1024" s="29">
        <v>5.5</v>
      </c>
    </row>
    <row r="1025" spans="19:20" x14ac:dyDescent="0.25">
      <c r="S1025" s="78">
        <v>28412</v>
      </c>
      <c r="T1025" s="29">
        <v>5.5</v>
      </c>
    </row>
    <row r="1026" spans="19:20" x14ac:dyDescent="0.25">
      <c r="S1026" s="78">
        <v>28413</v>
      </c>
      <c r="T1026" s="29">
        <v>5.5</v>
      </c>
    </row>
    <row r="1027" spans="19:20" x14ac:dyDescent="0.25">
      <c r="S1027" s="78">
        <v>28414</v>
      </c>
      <c r="T1027" s="29">
        <v>5.5</v>
      </c>
    </row>
    <row r="1028" spans="19:20" x14ac:dyDescent="0.25">
      <c r="S1028" s="78">
        <v>28415</v>
      </c>
      <c r="T1028" s="29">
        <v>5</v>
      </c>
    </row>
    <row r="1029" spans="19:20" x14ac:dyDescent="0.25">
      <c r="S1029" s="78">
        <v>28416</v>
      </c>
      <c r="T1029" s="29">
        <v>5</v>
      </c>
    </row>
    <row r="1030" spans="19:20" x14ac:dyDescent="0.25">
      <c r="S1030" s="78">
        <v>28417</v>
      </c>
      <c r="T1030" s="29">
        <v>5</v>
      </c>
    </row>
    <row r="1031" spans="19:20" x14ac:dyDescent="0.25">
      <c r="S1031" s="78">
        <v>28418</v>
      </c>
      <c r="T1031" s="29">
        <v>5</v>
      </c>
    </row>
    <row r="1032" spans="19:20" x14ac:dyDescent="0.25">
      <c r="S1032" s="78">
        <v>28419</v>
      </c>
      <c r="T1032" s="29">
        <v>5</v>
      </c>
    </row>
    <row r="1033" spans="19:20" x14ac:dyDescent="0.25">
      <c r="S1033" s="78">
        <v>28420</v>
      </c>
      <c r="T1033" s="29">
        <v>5</v>
      </c>
    </row>
    <row r="1034" spans="19:20" x14ac:dyDescent="0.25">
      <c r="S1034" s="78">
        <v>28421</v>
      </c>
      <c r="T1034" s="29">
        <v>5</v>
      </c>
    </row>
    <row r="1035" spans="19:20" x14ac:dyDescent="0.25">
      <c r="S1035" s="78">
        <v>28422</v>
      </c>
      <c r="T1035" s="29">
        <v>5</v>
      </c>
    </row>
    <row r="1036" spans="19:20" x14ac:dyDescent="0.25">
      <c r="S1036" s="78">
        <v>28423</v>
      </c>
      <c r="T1036" s="29">
        <v>5</v>
      </c>
    </row>
    <row r="1037" spans="19:20" x14ac:dyDescent="0.25">
      <c r="S1037" s="78">
        <v>28424</v>
      </c>
      <c r="T1037" s="29">
        <v>5</v>
      </c>
    </row>
    <row r="1038" spans="19:20" x14ac:dyDescent="0.25">
      <c r="S1038" s="78">
        <v>28425</v>
      </c>
      <c r="T1038" s="29">
        <v>5</v>
      </c>
    </row>
    <row r="1039" spans="19:20" x14ac:dyDescent="0.25">
      <c r="S1039" s="78">
        <v>28426</v>
      </c>
      <c r="T1039" s="29">
        <v>5</v>
      </c>
    </row>
    <row r="1040" spans="19:20" x14ac:dyDescent="0.25">
      <c r="S1040" s="78">
        <v>28427</v>
      </c>
      <c r="T1040" s="29">
        <v>5</v>
      </c>
    </row>
    <row r="1041" spans="19:20" x14ac:dyDescent="0.25">
      <c r="S1041" s="78">
        <v>28428</v>
      </c>
      <c r="T1041" s="29">
        <v>5</v>
      </c>
    </row>
    <row r="1042" spans="19:20" x14ac:dyDescent="0.25">
      <c r="S1042" s="78">
        <v>28429</v>
      </c>
      <c r="T1042" s="29">
        <v>5</v>
      </c>
    </row>
    <row r="1043" spans="19:20" x14ac:dyDescent="0.25">
      <c r="S1043" s="78">
        <v>28430</v>
      </c>
      <c r="T1043" s="29">
        <v>5</v>
      </c>
    </row>
    <row r="1044" spans="19:20" x14ac:dyDescent="0.25">
      <c r="S1044" s="78">
        <v>28431</v>
      </c>
      <c r="T1044" s="29">
        <v>5</v>
      </c>
    </row>
    <row r="1045" spans="19:20" x14ac:dyDescent="0.25">
      <c r="S1045" s="78">
        <v>28432</v>
      </c>
      <c r="T1045" s="29">
        <v>5</v>
      </c>
    </row>
    <row r="1046" spans="19:20" x14ac:dyDescent="0.25">
      <c r="S1046" s="78">
        <v>28433</v>
      </c>
      <c r="T1046" s="29">
        <v>5</v>
      </c>
    </row>
    <row r="1047" spans="19:20" x14ac:dyDescent="0.25">
      <c r="S1047" s="78">
        <v>28434</v>
      </c>
      <c r="T1047" s="29">
        <v>5</v>
      </c>
    </row>
    <row r="1048" spans="19:20" x14ac:dyDescent="0.25">
      <c r="S1048" s="78">
        <v>28435</v>
      </c>
      <c r="T1048" s="29">
        <v>5</v>
      </c>
    </row>
    <row r="1049" spans="19:20" x14ac:dyDescent="0.25">
      <c r="S1049" s="78">
        <v>28436</v>
      </c>
      <c r="T1049" s="29">
        <v>5</v>
      </c>
    </row>
    <row r="1050" spans="19:20" x14ac:dyDescent="0.25">
      <c r="S1050" s="78">
        <v>28437</v>
      </c>
      <c r="T1050" s="29">
        <v>5</v>
      </c>
    </row>
    <row r="1051" spans="19:20" x14ac:dyDescent="0.25">
      <c r="S1051" s="78">
        <v>28438</v>
      </c>
      <c r="T1051" s="29">
        <v>5</v>
      </c>
    </row>
    <row r="1052" spans="19:20" x14ac:dyDescent="0.25">
      <c r="S1052" s="78">
        <v>28439</v>
      </c>
      <c r="T1052" s="29">
        <v>5</v>
      </c>
    </row>
    <row r="1053" spans="19:20" x14ac:dyDescent="0.25">
      <c r="S1053" s="78">
        <v>28440</v>
      </c>
      <c r="T1053" s="29">
        <v>5</v>
      </c>
    </row>
    <row r="1054" spans="19:20" x14ac:dyDescent="0.25">
      <c r="S1054" s="78">
        <v>28441</v>
      </c>
      <c r="T1054" s="29">
        <v>5</v>
      </c>
    </row>
    <row r="1055" spans="19:20" x14ac:dyDescent="0.25">
      <c r="S1055" s="78">
        <v>28442</v>
      </c>
      <c r="T1055" s="29">
        <v>5</v>
      </c>
    </row>
    <row r="1056" spans="19:20" x14ac:dyDescent="0.25">
      <c r="S1056" s="78">
        <v>28443</v>
      </c>
      <c r="T1056" s="29">
        <v>5</v>
      </c>
    </row>
    <row r="1057" spans="19:20" x14ac:dyDescent="0.25">
      <c r="S1057" s="78">
        <v>28444</v>
      </c>
      <c r="T1057" s="29">
        <v>5</v>
      </c>
    </row>
    <row r="1058" spans="19:20" x14ac:dyDescent="0.25">
      <c r="S1058" s="78">
        <v>28445</v>
      </c>
      <c r="T1058" s="29">
        <v>5</v>
      </c>
    </row>
    <row r="1059" spans="19:20" x14ac:dyDescent="0.25">
      <c r="S1059" s="78">
        <v>28446</v>
      </c>
      <c r="T1059" s="29">
        <v>5</v>
      </c>
    </row>
    <row r="1060" spans="19:20" x14ac:dyDescent="0.25">
      <c r="S1060" s="78">
        <v>28447</v>
      </c>
      <c r="T1060" s="29">
        <v>5</v>
      </c>
    </row>
    <row r="1061" spans="19:20" x14ac:dyDescent="0.25">
      <c r="S1061" s="78">
        <v>28448</v>
      </c>
      <c r="T1061" s="29">
        <v>5</v>
      </c>
    </row>
    <row r="1062" spans="19:20" x14ac:dyDescent="0.25">
      <c r="S1062" s="78">
        <v>28449</v>
      </c>
      <c r="T1062" s="29">
        <v>5</v>
      </c>
    </row>
    <row r="1063" spans="19:20" x14ac:dyDescent="0.25">
      <c r="S1063" s="78">
        <v>28450</v>
      </c>
      <c r="T1063" s="29">
        <v>5</v>
      </c>
    </row>
    <row r="1064" spans="19:20" x14ac:dyDescent="0.25">
      <c r="S1064" s="78">
        <v>28451</v>
      </c>
      <c r="T1064" s="29">
        <v>5</v>
      </c>
    </row>
    <row r="1065" spans="19:20" x14ac:dyDescent="0.25">
      <c r="S1065" s="78">
        <v>28452</v>
      </c>
      <c r="T1065" s="29">
        <v>5</v>
      </c>
    </row>
    <row r="1066" spans="19:20" x14ac:dyDescent="0.25">
      <c r="S1066" s="78">
        <v>28453</v>
      </c>
      <c r="T1066" s="29">
        <v>5</v>
      </c>
    </row>
    <row r="1067" spans="19:20" x14ac:dyDescent="0.25">
      <c r="S1067" s="78">
        <v>28454</v>
      </c>
      <c r="T1067" s="29">
        <v>5</v>
      </c>
    </row>
    <row r="1068" spans="19:20" x14ac:dyDescent="0.25">
      <c r="S1068" s="78">
        <v>28455</v>
      </c>
      <c r="T1068" s="29">
        <v>5</v>
      </c>
    </row>
    <row r="1069" spans="19:20" x14ac:dyDescent="0.25">
      <c r="S1069" s="78">
        <v>28456</v>
      </c>
      <c r="T1069" s="29">
        <v>5</v>
      </c>
    </row>
    <row r="1070" spans="19:20" x14ac:dyDescent="0.25">
      <c r="S1070" s="78">
        <v>28457</v>
      </c>
      <c r="T1070" s="29">
        <v>7</v>
      </c>
    </row>
    <row r="1071" spans="19:20" x14ac:dyDescent="0.25">
      <c r="S1071" s="78">
        <v>28458</v>
      </c>
      <c r="T1071" s="29">
        <v>7</v>
      </c>
    </row>
    <row r="1072" spans="19:20" x14ac:dyDescent="0.25">
      <c r="S1072" s="78">
        <v>28459</v>
      </c>
      <c r="T1072" s="29">
        <v>7</v>
      </c>
    </row>
    <row r="1073" spans="19:20" x14ac:dyDescent="0.25">
      <c r="S1073" s="78">
        <v>28460</v>
      </c>
      <c r="T1073" s="29">
        <v>7</v>
      </c>
    </row>
    <row r="1074" spans="19:20" x14ac:dyDescent="0.25">
      <c r="S1074" s="78">
        <v>28461</v>
      </c>
      <c r="T1074" s="29">
        <v>7</v>
      </c>
    </row>
    <row r="1075" spans="19:20" x14ac:dyDescent="0.25">
      <c r="S1075" s="78">
        <v>28462</v>
      </c>
      <c r="T1075" s="29">
        <v>7</v>
      </c>
    </row>
    <row r="1076" spans="19:20" x14ac:dyDescent="0.25">
      <c r="S1076" s="78">
        <v>28463</v>
      </c>
      <c r="T1076" s="29">
        <v>7</v>
      </c>
    </row>
    <row r="1077" spans="19:20" x14ac:dyDescent="0.25">
      <c r="S1077" s="78">
        <v>28464</v>
      </c>
      <c r="T1077" s="29">
        <v>7</v>
      </c>
    </row>
    <row r="1078" spans="19:20" x14ac:dyDescent="0.25">
      <c r="S1078" s="78">
        <v>28465</v>
      </c>
      <c r="T1078" s="29">
        <v>7</v>
      </c>
    </row>
    <row r="1079" spans="19:20" x14ac:dyDescent="0.25">
      <c r="S1079" s="78">
        <v>28466</v>
      </c>
      <c r="T1079" s="29">
        <v>7</v>
      </c>
    </row>
    <row r="1080" spans="19:20" x14ac:dyDescent="0.25">
      <c r="S1080" s="78">
        <v>28467</v>
      </c>
      <c r="T1080" s="29">
        <v>7</v>
      </c>
    </row>
    <row r="1081" spans="19:20" x14ac:dyDescent="0.25">
      <c r="S1081" s="78">
        <v>28468</v>
      </c>
      <c r="T1081" s="29">
        <v>7</v>
      </c>
    </row>
    <row r="1082" spans="19:20" x14ac:dyDescent="0.25">
      <c r="S1082" s="78">
        <v>28469</v>
      </c>
      <c r="T1082" s="29">
        <v>7</v>
      </c>
    </row>
    <row r="1083" spans="19:20" x14ac:dyDescent="0.25">
      <c r="S1083" s="78">
        <v>28470</v>
      </c>
      <c r="T1083" s="29">
        <v>7</v>
      </c>
    </row>
    <row r="1084" spans="19:20" x14ac:dyDescent="0.25">
      <c r="S1084" s="78">
        <v>28471</v>
      </c>
      <c r="T1084" s="29">
        <v>7</v>
      </c>
    </row>
    <row r="1085" spans="19:20" x14ac:dyDescent="0.25">
      <c r="S1085" s="78">
        <v>28472</v>
      </c>
      <c r="T1085" s="29">
        <v>7</v>
      </c>
    </row>
    <row r="1086" spans="19:20" x14ac:dyDescent="0.25">
      <c r="S1086" s="78">
        <v>28473</v>
      </c>
      <c r="T1086" s="29">
        <v>7</v>
      </c>
    </row>
    <row r="1087" spans="19:20" x14ac:dyDescent="0.25">
      <c r="S1087" s="78">
        <v>28474</v>
      </c>
      <c r="T1087" s="29">
        <v>7</v>
      </c>
    </row>
    <row r="1088" spans="19:20" x14ac:dyDescent="0.25">
      <c r="S1088" s="78">
        <v>28475</v>
      </c>
      <c r="T1088" s="29">
        <v>7</v>
      </c>
    </row>
    <row r="1089" spans="19:21" x14ac:dyDescent="0.25">
      <c r="S1089" s="78">
        <v>28476</v>
      </c>
      <c r="T1089" s="29">
        <v>7</v>
      </c>
    </row>
    <row r="1090" spans="19:21" x14ac:dyDescent="0.25">
      <c r="S1090" s="78">
        <v>28477</v>
      </c>
      <c r="T1090" s="29">
        <v>7</v>
      </c>
    </row>
    <row r="1091" spans="19:21" x14ac:dyDescent="0.25">
      <c r="S1091" s="78">
        <v>28478</v>
      </c>
      <c r="T1091" s="29">
        <v>7</v>
      </c>
    </row>
    <row r="1092" spans="19:21" x14ac:dyDescent="0.25">
      <c r="S1092" s="78">
        <v>28479</v>
      </c>
      <c r="T1092" s="29">
        <v>7</v>
      </c>
    </row>
    <row r="1093" spans="19:21" x14ac:dyDescent="0.25">
      <c r="S1093" s="78">
        <v>28480</v>
      </c>
      <c r="T1093" s="29">
        <v>7</v>
      </c>
    </row>
    <row r="1094" spans="19:21" x14ac:dyDescent="0.25">
      <c r="S1094" s="78">
        <v>28481</v>
      </c>
      <c r="T1094" s="29">
        <v>7</v>
      </c>
    </row>
    <row r="1095" spans="19:21" x14ac:dyDescent="0.25">
      <c r="S1095" s="78">
        <v>28482</v>
      </c>
      <c r="T1095" s="29">
        <v>7</v>
      </c>
    </row>
    <row r="1096" spans="19:21" x14ac:dyDescent="0.25">
      <c r="S1096" s="78">
        <v>28483</v>
      </c>
      <c r="T1096" s="29">
        <v>7</v>
      </c>
    </row>
    <row r="1097" spans="19:21" x14ac:dyDescent="0.25">
      <c r="S1097" s="78">
        <v>28484</v>
      </c>
      <c r="T1097" s="29">
        <v>7</v>
      </c>
    </row>
    <row r="1098" spans="19:21" x14ac:dyDescent="0.25">
      <c r="S1098" s="78">
        <v>28485</v>
      </c>
      <c r="T1098" s="29">
        <v>7</v>
      </c>
    </row>
    <row r="1099" spans="19:21" x14ac:dyDescent="0.25">
      <c r="S1099" s="78">
        <v>28486</v>
      </c>
      <c r="T1099" s="29">
        <v>7</v>
      </c>
    </row>
    <row r="1100" spans="19:21" x14ac:dyDescent="0.25">
      <c r="S1100" s="78">
        <v>28487</v>
      </c>
      <c r="T1100" s="29">
        <v>7</v>
      </c>
    </row>
    <row r="1101" spans="19:21" x14ac:dyDescent="0.25">
      <c r="S1101" s="78">
        <v>28488</v>
      </c>
      <c r="T1101" s="29">
        <v>7</v>
      </c>
    </row>
    <row r="1102" spans="19:21" x14ac:dyDescent="0.25">
      <c r="S1102" s="78">
        <v>28489</v>
      </c>
      <c r="T1102" s="29">
        <v>7</v>
      </c>
    </row>
    <row r="1103" spans="19:21" x14ac:dyDescent="0.25">
      <c r="S1103" s="78">
        <v>28490</v>
      </c>
      <c r="T1103" s="29">
        <v>7</v>
      </c>
      <c r="U1103" s="40">
        <f>AVERAGE(T1012:T1103)</f>
        <v>5.875</v>
      </c>
    </row>
    <row r="1104" spans="19:21" x14ac:dyDescent="0.25">
      <c r="S1104" s="78">
        <v>28491</v>
      </c>
      <c r="T1104" s="29">
        <v>7</v>
      </c>
    </row>
    <row r="1105" spans="19:20" x14ac:dyDescent="0.25">
      <c r="S1105" s="78">
        <v>28492</v>
      </c>
      <c r="T1105" s="29">
        <v>7</v>
      </c>
    </row>
    <row r="1106" spans="19:20" x14ac:dyDescent="0.25">
      <c r="S1106" s="78">
        <v>28493</v>
      </c>
      <c r="T1106" s="29">
        <v>7</v>
      </c>
    </row>
    <row r="1107" spans="19:20" x14ac:dyDescent="0.25">
      <c r="S1107" s="78">
        <v>28494</v>
      </c>
      <c r="T1107" s="29">
        <v>7</v>
      </c>
    </row>
    <row r="1108" spans="19:20" x14ac:dyDescent="0.25">
      <c r="S1108" s="78">
        <v>28495</v>
      </c>
      <c r="T1108" s="29">
        <v>7</v>
      </c>
    </row>
    <row r="1109" spans="19:20" x14ac:dyDescent="0.25">
      <c r="S1109" s="78">
        <v>28496</v>
      </c>
      <c r="T1109" s="29">
        <v>7</v>
      </c>
    </row>
    <row r="1110" spans="19:20" x14ac:dyDescent="0.25">
      <c r="S1110" s="78">
        <v>28497</v>
      </c>
      <c r="T1110" s="29">
        <v>7</v>
      </c>
    </row>
    <row r="1111" spans="19:20" x14ac:dyDescent="0.25">
      <c r="S1111" s="78">
        <v>28498</v>
      </c>
      <c r="T1111" s="29">
        <v>7</v>
      </c>
    </row>
    <row r="1112" spans="19:20" x14ac:dyDescent="0.25">
      <c r="S1112" s="78">
        <v>28499</v>
      </c>
      <c r="T1112" s="29">
        <v>6.5</v>
      </c>
    </row>
    <row r="1113" spans="19:20" x14ac:dyDescent="0.25">
      <c r="S1113" s="78">
        <v>28500</v>
      </c>
      <c r="T1113" s="29">
        <v>6.5</v>
      </c>
    </row>
    <row r="1114" spans="19:20" x14ac:dyDescent="0.25">
      <c r="S1114" s="78">
        <v>28501</v>
      </c>
      <c r="T1114" s="29">
        <v>6.5</v>
      </c>
    </row>
    <row r="1115" spans="19:20" x14ac:dyDescent="0.25">
      <c r="S1115" s="78">
        <v>28502</v>
      </c>
      <c r="T1115" s="29">
        <v>6.5</v>
      </c>
    </row>
    <row r="1116" spans="19:20" x14ac:dyDescent="0.25">
      <c r="S1116" s="78">
        <v>28503</v>
      </c>
      <c r="T1116" s="29">
        <v>6.5</v>
      </c>
    </row>
    <row r="1117" spans="19:20" x14ac:dyDescent="0.25">
      <c r="S1117" s="78">
        <v>28504</v>
      </c>
      <c r="T1117" s="29">
        <v>6.5</v>
      </c>
    </row>
    <row r="1118" spans="19:20" x14ac:dyDescent="0.25">
      <c r="S1118" s="78">
        <v>28505</v>
      </c>
      <c r="T1118" s="29">
        <v>6.5</v>
      </c>
    </row>
    <row r="1119" spans="19:20" x14ac:dyDescent="0.25">
      <c r="S1119" s="78">
        <v>28506</v>
      </c>
      <c r="T1119" s="29">
        <v>6.5</v>
      </c>
    </row>
    <row r="1120" spans="19:20" x14ac:dyDescent="0.25">
      <c r="S1120" s="78">
        <v>28507</v>
      </c>
      <c r="T1120" s="29">
        <v>6.5</v>
      </c>
    </row>
    <row r="1121" spans="19:20" x14ac:dyDescent="0.25">
      <c r="S1121" s="78">
        <v>28508</v>
      </c>
      <c r="T1121" s="29">
        <v>6.5</v>
      </c>
    </row>
    <row r="1122" spans="19:20" x14ac:dyDescent="0.25">
      <c r="S1122" s="78">
        <v>28509</v>
      </c>
      <c r="T1122" s="29">
        <v>6.5</v>
      </c>
    </row>
    <row r="1123" spans="19:20" x14ac:dyDescent="0.25">
      <c r="S1123" s="78">
        <v>28510</v>
      </c>
      <c r="T1123" s="29">
        <v>6.5</v>
      </c>
    </row>
    <row r="1124" spans="19:20" x14ac:dyDescent="0.25">
      <c r="S1124" s="78">
        <v>28511</v>
      </c>
      <c r="T1124" s="29">
        <v>6.5</v>
      </c>
    </row>
    <row r="1125" spans="19:20" x14ac:dyDescent="0.25">
      <c r="S1125" s="78">
        <v>28512</v>
      </c>
      <c r="T1125" s="29">
        <v>6.5</v>
      </c>
    </row>
    <row r="1126" spans="19:20" x14ac:dyDescent="0.25">
      <c r="S1126" s="78">
        <v>28513</v>
      </c>
      <c r="T1126" s="29">
        <v>6.5</v>
      </c>
    </row>
    <row r="1127" spans="19:20" x14ac:dyDescent="0.25">
      <c r="S1127" s="78">
        <v>28514</v>
      </c>
      <c r="T1127" s="29">
        <v>6.5</v>
      </c>
    </row>
    <row r="1128" spans="19:20" x14ac:dyDescent="0.25">
      <c r="S1128" s="78">
        <v>28515</v>
      </c>
      <c r="T1128" s="29">
        <v>6.5</v>
      </c>
    </row>
    <row r="1129" spans="19:20" x14ac:dyDescent="0.25">
      <c r="S1129" s="78">
        <v>28516</v>
      </c>
      <c r="T1129" s="29">
        <v>6.5</v>
      </c>
    </row>
    <row r="1130" spans="19:20" x14ac:dyDescent="0.25">
      <c r="S1130" s="78">
        <v>28517</v>
      </c>
      <c r="T1130" s="29">
        <v>6.5</v>
      </c>
    </row>
    <row r="1131" spans="19:20" x14ac:dyDescent="0.25">
      <c r="S1131" s="78">
        <v>28518</v>
      </c>
      <c r="T1131" s="29">
        <v>6.5</v>
      </c>
    </row>
    <row r="1132" spans="19:20" x14ac:dyDescent="0.25">
      <c r="S1132" s="78">
        <v>28519</v>
      </c>
      <c r="T1132" s="29">
        <v>6.5</v>
      </c>
    </row>
    <row r="1133" spans="19:20" x14ac:dyDescent="0.25">
      <c r="S1133" s="78">
        <v>28520</v>
      </c>
      <c r="T1133" s="29">
        <v>6.5</v>
      </c>
    </row>
    <row r="1134" spans="19:20" x14ac:dyDescent="0.25">
      <c r="S1134" s="78">
        <v>28521</v>
      </c>
      <c r="T1134" s="29">
        <v>6.5</v>
      </c>
    </row>
    <row r="1135" spans="19:20" x14ac:dyDescent="0.25">
      <c r="S1135" s="78">
        <v>28522</v>
      </c>
      <c r="T1135" s="29">
        <v>6.5</v>
      </c>
    </row>
    <row r="1136" spans="19:20" x14ac:dyDescent="0.25">
      <c r="S1136" s="78">
        <v>28523</v>
      </c>
      <c r="T1136" s="29">
        <v>6.5</v>
      </c>
    </row>
    <row r="1137" spans="19:20" x14ac:dyDescent="0.25">
      <c r="S1137" s="78">
        <v>28524</v>
      </c>
      <c r="T1137" s="29">
        <v>6.5</v>
      </c>
    </row>
    <row r="1138" spans="19:20" x14ac:dyDescent="0.25">
      <c r="S1138" s="78">
        <v>28525</v>
      </c>
      <c r="T1138" s="29">
        <v>6.5</v>
      </c>
    </row>
    <row r="1139" spans="19:20" x14ac:dyDescent="0.25">
      <c r="S1139" s="78">
        <v>28526</v>
      </c>
      <c r="T1139" s="29">
        <v>6.5</v>
      </c>
    </row>
    <row r="1140" spans="19:20" x14ac:dyDescent="0.25">
      <c r="S1140" s="78">
        <v>28527</v>
      </c>
      <c r="T1140" s="29">
        <v>6.5</v>
      </c>
    </row>
    <row r="1141" spans="19:20" x14ac:dyDescent="0.25">
      <c r="S1141" s="78">
        <v>28528</v>
      </c>
      <c r="T1141" s="29">
        <v>6.5</v>
      </c>
    </row>
    <row r="1142" spans="19:20" x14ac:dyDescent="0.25">
      <c r="S1142" s="78">
        <v>28529</v>
      </c>
      <c r="T1142" s="29">
        <v>6.5</v>
      </c>
    </row>
    <row r="1143" spans="19:20" x14ac:dyDescent="0.25">
      <c r="S1143" s="78">
        <v>28530</v>
      </c>
      <c r="T1143" s="29">
        <v>6.5</v>
      </c>
    </row>
    <row r="1144" spans="19:20" x14ac:dyDescent="0.25">
      <c r="S1144" s="78">
        <v>28531</v>
      </c>
      <c r="T1144" s="29">
        <v>6.5</v>
      </c>
    </row>
    <row r="1145" spans="19:20" x14ac:dyDescent="0.25">
      <c r="S1145" s="78">
        <v>28532</v>
      </c>
      <c r="T1145" s="29">
        <v>6.5</v>
      </c>
    </row>
    <row r="1146" spans="19:20" x14ac:dyDescent="0.25">
      <c r="S1146" s="78">
        <v>28533</v>
      </c>
      <c r="T1146" s="29">
        <v>6.5</v>
      </c>
    </row>
    <row r="1147" spans="19:20" x14ac:dyDescent="0.25">
      <c r="S1147" s="78">
        <v>28534</v>
      </c>
      <c r="T1147" s="29">
        <v>6.5</v>
      </c>
    </row>
    <row r="1148" spans="19:20" x14ac:dyDescent="0.25">
      <c r="S1148" s="78">
        <v>28535</v>
      </c>
      <c r="T1148" s="29">
        <v>6.5</v>
      </c>
    </row>
    <row r="1149" spans="19:20" x14ac:dyDescent="0.25">
      <c r="S1149" s="78">
        <v>28536</v>
      </c>
      <c r="T1149" s="29">
        <v>6.5</v>
      </c>
    </row>
    <row r="1150" spans="19:20" x14ac:dyDescent="0.25">
      <c r="S1150" s="78">
        <v>28537</v>
      </c>
      <c r="T1150" s="29">
        <v>6.5</v>
      </c>
    </row>
    <row r="1151" spans="19:20" x14ac:dyDescent="0.25">
      <c r="S1151" s="78">
        <v>28538</v>
      </c>
      <c r="T1151" s="29">
        <v>6.5</v>
      </c>
    </row>
    <row r="1152" spans="19:20" x14ac:dyDescent="0.25">
      <c r="S1152" s="78">
        <v>28539</v>
      </c>
      <c r="T1152" s="29">
        <v>6.5</v>
      </c>
    </row>
    <row r="1153" spans="19:20" x14ac:dyDescent="0.25">
      <c r="S1153" s="78">
        <v>28540</v>
      </c>
      <c r="T1153" s="29">
        <v>6.5</v>
      </c>
    </row>
    <row r="1154" spans="19:20" x14ac:dyDescent="0.25">
      <c r="S1154" s="78">
        <v>28541</v>
      </c>
      <c r="T1154" s="29">
        <v>6.5</v>
      </c>
    </row>
    <row r="1155" spans="19:20" x14ac:dyDescent="0.25">
      <c r="S1155" s="78">
        <v>28542</v>
      </c>
      <c r="T1155" s="29">
        <v>6.5</v>
      </c>
    </row>
    <row r="1156" spans="19:20" x14ac:dyDescent="0.25">
      <c r="S1156" s="78">
        <v>28543</v>
      </c>
      <c r="T1156" s="29">
        <v>6.5</v>
      </c>
    </row>
    <row r="1157" spans="19:20" x14ac:dyDescent="0.25">
      <c r="S1157" s="78">
        <v>28544</v>
      </c>
      <c r="T1157" s="29">
        <v>6.5</v>
      </c>
    </row>
    <row r="1158" spans="19:20" x14ac:dyDescent="0.25">
      <c r="S1158" s="78">
        <v>28545</v>
      </c>
      <c r="T1158" s="29">
        <v>6.5</v>
      </c>
    </row>
    <row r="1159" spans="19:20" x14ac:dyDescent="0.25">
      <c r="S1159" s="78">
        <v>28546</v>
      </c>
      <c r="T1159" s="29">
        <v>6.5</v>
      </c>
    </row>
    <row r="1160" spans="19:20" x14ac:dyDescent="0.25">
      <c r="S1160" s="78">
        <v>28547</v>
      </c>
      <c r="T1160" s="29">
        <v>6.5</v>
      </c>
    </row>
    <row r="1161" spans="19:20" x14ac:dyDescent="0.25">
      <c r="S1161" s="78">
        <v>28548</v>
      </c>
      <c r="T1161" s="29">
        <v>6.5</v>
      </c>
    </row>
    <row r="1162" spans="19:20" x14ac:dyDescent="0.25">
      <c r="S1162" s="78">
        <v>28549</v>
      </c>
      <c r="T1162" s="29">
        <v>6.5</v>
      </c>
    </row>
    <row r="1163" spans="19:20" x14ac:dyDescent="0.25">
      <c r="S1163" s="78">
        <v>28550</v>
      </c>
      <c r="T1163" s="29">
        <v>6.5</v>
      </c>
    </row>
    <row r="1164" spans="19:20" x14ac:dyDescent="0.25">
      <c r="S1164" s="78">
        <v>28551</v>
      </c>
      <c r="T1164" s="29">
        <v>6.5</v>
      </c>
    </row>
    <row r="1165" spans="19:20" x14ac:dyDescent="0.25">
      <c r="S1165" s="78">
        <v>28552</v>
      </c>
      <c r="T1165" s="29">
        <v>6.5</v>
      </c>
    </row>
    <row r="1166" spans="19:20" x14ac:dyDescent="0.25">
      <c r="S1166" s="78">
        <v>28553</v>
      </c>
      <c r="T1166" s="29">
        <v>6.5</v>
      </c>
    </row>
    <row r="1167" spans="19:20" x14ac:dyDescent="0.25">
      <c r="S1167" s="78">
        <v>28554</v>
      </c>
      <c r="T1167" s="29">
        <v>6.5</v>
      </c>
    </row>
    <row r="1168" spans="19:20" x14ac:dyDescent="0.25">
      <c r="S1168" s="78">
        <v>28555</v>
      </c>
      <c r="T1168" s="29">
        <v>6.5</v>
      </c>
    </row>
    <row r="1169" spans="19:20" x14ac:dyDescent="0.25">
      <c r="S1169" s="78">
        <v>28556</v>
      </c>
      <c r="T1169" s="29">
        <v>6.5</v>
      </c>
    </row>
    <row r="1170" spans="19:20" x14ac:dyDescent="0.25">
      <c r="S1170" s="78">
        <v>28557</v>
      </c>
      <c r="T1170" s="29">
        <v>6.5</v>
      </c>
    </row>
    <row r="1171" spans="19:20" x14ac:dyDescent="0.25">
      <c r="S1171" s="78">
        <v>28558</v>
      </c>
      <c r="T1171" s="29">
        <v>6.5</v>
      </c>
    </row>
    <row r="1172" spans="19:20" x14ac:dyDescent="0.25">
      <c r="S1172" s="78">
        <v>28559</v>
      </c>
      <c r="T1172" s="29">
        <v>6.5</v>
      </c>
    </row>
    <row r="1173" spans="19:20" x14ac:dyDescent="0.25">
      <c r="S1173" s="78">
        <v>28560</v>
      </c>
      <c r="T1173" s="29">
        <v>6.5</v>
      </c>
    </row>
    <row r="1174" spans="19:20" x14ac:dyDescent="0.25">
      <c r="S1174" s="78">
        <v>28561</v>
      </c>
      <c r="T1174" s="29">
        <v>6.5</v>
      </c>
    </row>
    <row r="1175" spans="19:20" x14ac:dyDescent="0.25">
      <c r="S1175" s="78">
        <v>28562</v>
      </c>
      <c r="T1175" s="29">
        <v>6.5</v>
      </c>
    </row>
    <row r="1176" spans="19:20" x14ac:dyDescent="0.25">
      <c r="S1176" s="78">
        <v>28563</v>
      </c>
      <c r="T1176" s="29">
        <v>6.5</v>
      </c>
    </row>
    <row r="1177" spans="19:20" x14ac:dyDescent="0.25">
      <c r="S1177" s="78">
        <v>28564</v>
      </c>
      <c r="T1177" s="29">
        <v>6.5</v>
      </c>
    </row>
    <row r="1178" spans="19:20" x14ac:dyDescent="0.25">
      <c r="S1178" s="78">
        <v>28565</v>
      </c>
      <c r="T1178" s="29">
        <v>6.5</v>
      </c>
    </row>
    <row r="1179" spans="19:20" x14ac:dyDescent="0.25">
      <c r="S1179" s="78">
        <v>28566</v>
      </c>
      <c r="T1179" s="29">
        <v>6.5</v>
      </c>
    </row>
    <row r="1180" spans="19:20" x14ac:dyDescent="0.25">
      <c r="S1180" s="78">
        <v>28567</v>
      </c>
      <c r="T1180" s="29">
        <v>6.5</v>
      </c>
    </row>
    <row r="1181" spans="19:20" x14ac:dyDescent="0.25">
      <c r="S1181" s="78">
        <v>28568</v>
      </c>
      <c r="T1181" s="29">
        <v>6.5</v>
      </c>
    </row>
    <row r="1182" spans="19:20" x14ac:dyDescent="0.25">
      <c r="S1182" s="78">
        <v>28569</v>
      </c>
      <c r="T1182" s="29">
        <v>6.5</v>
      </c>
    </row>
    <row r="1183" spans="19:20" x14ac:dyDescent="0.25">
      <c r="S1183" s="78">
        <v>28570</v>
      </c>
      <c r="T1183" s="29">
        <v>6.5</v>
      </c>
    </row>
    <row r="1184" spans="19:20" x14ac:dyDescent="0.25">
      <c r="S1184" s="78">
        <v>28571</v>
      </c>
      <c r="T1184" s="29">
        <v>6.5</v>
      </c>
    </row>
    <row r="1185" spans="19:21" x14ac:dyDescent="0.25">
      <c r="S1185" s="78">
        <v>28572</v>
      </c>
      <c r="T1185" s="29">
        <v>6.5</v>
      </c>
    </row>
    <row r="1186" spans="19:21" x14ac:dyDescent="0.25">
      <c r="S1186" s="78">
        <v>28573</v>
      </c>
      <c r="T1186" s="29">
        <v>6.5</v>
      </c>
    </row>
    <row r="1187" spans="19:21" x14ac:dyDescent="0.25">
      <c r="S1187" s="78">
        <v>28574</v>
      </c>
      <c r="T1187" s="29">
        <v>6.5</v>
      </c>
    </row>
    <row r="1188" spans="19:21" x14ac:dyDescent="0.25">
      <c r="S1188" s="78">
        <v>28575</v>
      </c>
      <c r="T1188" s="29">
        <v>6.5</v>
      </c>
    </row>
    <row r="1189" spans="19:21" x14ac:dyDescent="0.25">
      <c r="S1189" s="78">
        <v>28576</v>
      </c>
      <c r="T1189" s="29">
        <v>6.5</v>
      </c>
    </row>
    <row r="1190" spans="19:21" x14ac:dyDescent="0.25">
      <c r="S1190" s="78">
        <v>28577</v>
      </c>
      <c r="T1190" s="29">
        <v>6.5</v>
      </c>
    </row>
    <row r="1191" spans="19:21" x14ac:dyDescent="0.25">
      <c r="S1191" s="78">
        <v>28578</v>
      </c>
      <c r="T1191" s="29">
        <v>6.5</v>
      </c>
    </row>
    <row r="1192" spans="19:21" x14ac:dyDescent="0.25">
      <c r="S1192" s="78">
        <v>28579</v>
      </c>
      <c r="T1192" s="29">
        <v>6.5</v>
      </c>
    </row>
    <row r="1193" spans="19:21" x14ac:dyDescent="0.25">
      <c r="S1193" s="78">
        <v>28580</v>
      </c>
      <c r="T1193" s="29">
        <v>6.5</v>
      </c>
      <c r="U1193" s="40">
        <f>AVERAGE(T1104:T1193)</f>
        <v>6.5444444444444443</v>
      </c>
    </row>
    <row r="1194" spans="19:21" x14ac:dyDescent="0.25">
      <c r="S1194" s="78">
        <v>28581</v>
      </c>
      <c r="T1194" s="29">
        <v>6.5</v>
      </c>
    </row>
    <row r="1195" spans="19:21" x14ac:dyDescent="0.25">
      <c r="S1195" s="78">
        <v>28582</v>
      </c>
      <c r="T1195" s="29">
        <v>6.5</v>
      </c>
    </row>
    <row r="1196" spans="19:21" x14ac:dyDescent="0.25">
      <c r="S1196" s="78">
        <v>28583</v>
      </c>
      <c r="T1196" s="29">
        <v>6.5</v>
      </c>
    </row>
    <row r="1197" spans="19:21" x14ac:dyDescent="0.25">
      <c r="S1197" s="78">
        <v>28584</v>
      </c>
      <c r="T1197" s="29">
        <v>6.5</v>
      </c>
    </row>
    <row r="1198" spans="19:21" x14ac:dyDescent="0.25">
      <c r="S1198" s="78">
        <v>28585</v>
      </c>
      <c r="T1198" s="29">
        <v>6.5</v>
      </c>
    </row>
    <row r="1199" spans="19:21" x14ac:dyDescent="0.25">
      <c r="S1199" s="78">
        <v>28586</v>
      </c>
      <c r="T1199" s="29">
        <v>6.5</v>
      </c>
    </row>
    <row r="1200" spans="19:21" x14ac:dyDescent="0.25">
      <c r="S1200" s="78">
        <v>28587</v>
      </c>
      <c r="T1200" s="29">
        <v>6.5</v>
      </c>
    </row>
    <row r="1201" spans="19:20" x14ac:dyDescent="0.25">
      <c r="S1201" s="78">
        <v>28588</v>
      </c>
      <c r="T1201" s="29">
        <v>6.5</v>
      </c>
    </row>
    <row r="1202" spans="19:20" x14ac:dyDescent="0.25">
      <c r="S1202" s="78">
        <v>28589</v>
      </c>
      <c r="T1202" s="29">
        <v>6.5</v>
      </c>
    </row>
    <row r="1203" spans="19:20" x14ac:dyDescent="0.25">
      <c r="S1203" s="78">
        <v>28590</v>
      </c>
      <c r="T1203" s="29">
        <v>6.5</v>
      </c>
    </row>
    <row r="1204" spans="19:20" x14ac:dyDescent="0.25">
      <c r="S1204" s="78">
        <v>28591</v>
      </c>
      <c r="T1204" s="29">
        <v>6.5</v>
      </c>
    </row>
    <row r="1205" spans="19:20" x14ac:dyDescent="0.25">
      <c r="S1205" s="78">
        <v>28592</v>
      </c>
      <c r="T1205" s="29">
        <v>7.5</v>
      </c>
    </row>
    <row r="1206" spans="19:20" x14ac:dyDescent="0.25">
      <c r="S1206" s="78">
        <v>28593</v>
      </c>
      <c r="T1206" s="29">
        <v>7.5</v>
      </c>
    </row>
    <row r="1207" spans="19:20" x14ac:dyDescent="0.25">
      <c r="S1207" s="78">
        <v>28594</v>
      </c>
      <c r="T1207" s="29">
        <v>7.5</v>
      </c>
    </row>
    <row r="1208" spans="19:20" x14ac:dyDescent="0.25">
      <c r="S1208" s="78">
        <v>28595</v>
      </c>
      <c r="T1208" s="29">
        <v>7.5</v>
      </c>
    </row>
    <row r="1209" spans="19:20" x14ac:dyDescent="0.25">
      <c r="S1209" s="78">
        <v>28596</v>
      </c>
      <c r="T1209" s="29">
        <v>7.5</v>
      </c>
    </row>
    <row r="1210" spans="19:20" x14ac:dyDescent="0.25">
      <c r="S1210" s="78">
        <v>28597</v>
      </c>
      <c r="T1210" s="29">
        <v>7.5</v>
      </c>
    </row>
    <row r="1211" spans="19:20" x14ac:dyDescent="0.25">
      <c r="S1211" s="78">
        <v>28598</v>
      </c>
      <c r="T1211" s="29">
        <v>7.5</v>
      </c>
    </row>
    <row r="1212" spans="19:20" x14ac:dyDescent="0.25">
      <c r="S1212" s="78">
        <v>28599</v>
      </c>
      <c r="T1212" s="29">
        <v>7.5</v>
      </c>
    </row>
    <row r="1213" spans="19:20" x14ac:dyDescent="0.25">
      <c r="S1213" s="78">
        <v>28600</v>
      </c>
      <c r="T1213" s="29">
        <v>7.5</v>
      </c>
    </row>
    <row r="1214" spans="19:20" x14ac:dyDescent="0.25">
      <c r="S1214" s="78">
        <v>28601</v>
      </c>
      <c r="T1214" s="29">
        <v>7.5</v>
      </c>
    </row>
    <row r="1215" spans="19:20" x14ac:dyDescent="0.25">
      <c r="S1215" s="78">
        <v>28602</v>
      </c>
      <c r="T1215" s="29">
        <v>7.5</v>
      </c>
    </row>
    <row r="1216" spans="19:20" x14ac:dyDescent="0.25">
      <c r="S1216" s="78">
        <v>28603</v>
      </c>
      <c r="T1216" s="29">
        <v>7.5</v>
      </c>
    </row>
    <row r="1217" spans="19:20" x14ac:dyDescent="0.25">
      <c r="S1217" s="78">
        <v>28604</v>
      </c>
      <c r="T1217" s="29">
        <v>7.5</v>
      </c>
    </row>
    <row r="1218" spans="19:20" x14ac:dyDescent="0.25">
      <c r="S1218" s="78">
        <v>28605</v>
      </c>
      <c r="T1218" s="29">
        <v>7.5</v>
      </c>
    </row>
    <row r="1219" spans="19:20" x14ac:dyDescent="0.25">
      <c r="S1219" s="78">
        <v>28606</v>
      </c>
      <c r="T1219" s="29">
        <v>7.5</v>
      </c>
    </row>
    <row r="1220" spans="19:20" x14ac:dyDescent="0.25">
      <c r="S1220" s="78">
        <v>28607</v>
      </c>
      <c r="T1220" s="29">
        <v>7.5</v>
      </c>
    </row>
    <row r="1221" spans="19:20" x14ac:dyDescent="0.25">
      <c r="S1221" s="78">
        <v>28608</v>
      </c>
      <c r="T1221" s="29">
        <v>7.5</v>
      </c>
    </row>
    <row r="1222" spans="19:20" x14ac:dyDescent="0.25">
      <c r="S1222" s="78">
        <v>28609</v>
      </c>
      <c r="T1222" s="29">
        <v>7.5</v>
      </c>
    </row>
    <row r="1223" spans="19:20" x14ac:dyDescent="0.25">
      <c r="S1223" s="78">
        <v>28610</v>
      </c>
      <c r="T1223" s="29">
        <v>7.5</v>
      </c>
    </row>
    <row r="1224" spans="19:20" x14ac:dyDescent="0.25">
      <c r="S1224" s="78">
        <v>28611</v>
      </c>
      <c r="T1224" s="29">
        <v>7.5</v>
      </c>
    </row>
    <row r="1225" spans="19:20" x14ac:dyDescent="0.25">
      <c r="S1225" s="78">
        <v>28612</v>
      </c>
      <c r="T1225" s="29">
        <v>7.5</v>
      </c>
    </row>
    <row r="1226" spans="19:20" x14ac:dyDescent="0.25">
      <c r="S1226" s="78">
        <v>28613</v>
      </c>
      <c r="T1226" s="29">
        <v>7.5</v>
      </c>
    </row>
    <row r="1227" spans="19:20" x14ac:dyDescent="0.25">
      <c r="S1227" s="78">
        <v>28614</v>
      </c>
      <c r="T1227" s="29">
        <v>7.5</v>
      </c>
    </row>
    <row r="1228" spans="19:20" x14ac:dyDescent="0.25">
      <c r="S1228" s="78">
        <v>28615</v>
      </c>
      <c r="T1228" s="29">
        <v>7.5</v>
      </c>
    </row>
    <row r="1229" spans="19:20" x14ac:dyDescent="0.25">
      <c r="S1229" s="78">
        <v>28616</v>
      </c>
      <c r="T1229" s="29">
        <v>7.5</v>
      </c>
    </row>
    <row r="1230" spans="19:20" x14ac:dyDescent="0.25">
      <c r="S1230" s="78">
        <v>28617</v>
      </c>
      <c r="T1230" s="29">
        <v>7.5</v>
      </c>
    </row>
    <row r="1231" spans="19:20" x14ac:dyDescent="0.25">
      <c r="S1231" s="78">
        <v>28618</v>
      </c>
      <c r="T1231" s="29">
        <v>8.75</v>
      </c>
    </row>
    <row r="1232" spans="19:20" x14ac:dyDescent="0.25">
      <c r="S1232" s="78">
        <v>28619</v>
      </c>
      <c r="T1232" s="29">
        <v>8.75</v>
      </c>
    </row>
    <row r="1233" spans="19:20" x14ac:dyDescent="0.25">
      <c r="S1233" s="78">
        <v>28620</v>
      </c>
      <c r="T1233" s="29">
        <v>8.75</v>
      </c>
    </row>
    <row r="1234" spans="19:20" x14ac:dyDescent="0.25">
      <c r="S1234" s="78">
        <v>28621</v>
      </c>
      <c r="T1234" s="29">
        <v>8.75</v>
      </c>
    </row>
    <row r="1235" spans="19:20" x14ac:dyDescent="0.25">
      <c r="S1235" s="78">
        <v>28622</v>
      </c>
      <c r="T1235" s="29">
        <v>8.75</v>
      </c>
    </row>
    <row r="1236" spans="19:20" x14ac:dyDescent="0.25">
      <c r="S1236" s="78">
        <v>28623</v>
      </c>
      <c r="T1236" s="29">
        <v>8.75</v>
      </c>
    </row>
    <row r="1237" spans="19:20" x14ac:dyDescent="0.25">
      <c r="S1237" s="78">
        <v>28624</v>
      </c>
      <c r="T1237" s="29">
        <v>8.75</v>
      </c>
    </row>
    <row r="1238" spans="19:20" x14ac:dyDescent="0.25">
      <c r="S1238" s="78">
        <v>28625</v>
      </c>
      <c r="T1238" s="29">
        <v>9</v>
      </c>
    </row>
    <row r="1239" spans="19:20" x14ac:dyDescent="0.25">
      <c r="S1239" s="78">
        <v>28626</v>
      </c>
      <c r="T1239" s="29">
        <v>9</v>
      </c>
    </row>
    <row r="1240" spans="19:20" x14ac:dyDescent="0.25">
      <c r="S1240" s="78">
        <v>28627</v>
      </c>
      <c r="T1240" s="29">
        <v>9</v>
      </c>
    </row>
    <row r="1241" spans="19:20" x14ac:dyDescent="0.25">
      <c r="S1241" s="78">
        <v>28628</v>
      </c>
      <c r="T1241" s="29">
        <v>9</v>
      </c>
    </row>
    <row r="1242" spans="19:20" x14ac:dyDescent="0.25">
      <c r="S1242" s="78">
        <v>28629</v>
      </c>
      <c r="T1242" s="29">
        <v>9</v>
      </c>
    </row>
    <row r="1243" spans="19:20" x14ac:dyDescent="0.25">
      <c r="S1243" s="78">
        <v>28630</v>
      </c>
      <c r="T1243" s="29">
        <v>9</v>
      </c>
    </row>
    <row r="1244" spans="19:20" x14ac:dyDescent="0.25">
      <c r="S1244" s="78">
        <v>28631</v>
      </c>
      <c r="T1244" s="29">
        <v>9</v>
      </c>
    </row>
    <row r="1245" spans="19:20" x14ac:dyDescent="0.25">
      <c r="S1245" s="78">
        <v>28632</v>
      </c>
      <c r="T1245" s="29">
        <v>9</v>
      </c>
    </row>
    <row r="1246" spans="19:20" x14ac:dyDescent="0.25">
      <c r="S1246" s="78">
        <v>28633</v>
      </c>
      <c r="T1246" s="29">
        <v>9</v>
      </c>
    </row>
    <row r="1247" spans="19:20" x14ac:dyDescent="0.25">
      <c r="S1247" s="78">
        <v>28634</v>
      </c>
      <c r="T1247" s="29">
        <v>9</v>
      </c>
    </row>
    <row r="1248" spans="19:20" x14ac:dyDescent="0.25">
      <c r="S1248" s="78">
        <v>28635</v>
      </c>
      <c r="T1248" s="29">
        <v>9</v>
      </c>
    </row>
    <row r="1249" spans="19:20" x14ac:dyDescent="0.25">
      <c r="S1249" s="78">
        <v>28636</v>
      </c>
      <c r="T1249" s="29">
        <v>9</v>
      </c>
    </row>
    <row r="1250" spans="19:20" x14ac:dyDescent="0.25">
      <c r="S1250" s="78">
        <v>28637</v>
      </c>
      <c r="T1250" s="29">
        <v>9</v>
      </c>
    </row>
    <row r="1251" spans="19:20" x14ac:dyDescent="0.25">
      <c r="S1251" s="78">
        <v>28638</v>
      </c>
      <c r="T1251" s="29">
        <v>9</v>
      </c>
    </row>
    <row r="1252" spans="19:20" x14ac:dyDescent="0.25">
      <c r="S1252" s="78">
        <v>28639</v>
      </c>
      <c r="T1252" s="29">
        <v>9</v>
      </c>
    </row>
    <row r="1253" spans="19:20" x14ac:dyDescent="0.25">
      <c r="S1253" s="78">
        <v>28640</v>
      </c>
      <c r="T1253" s="29">
        <v>9</v>
      </c>
    </row>
    <row r="1254" spans="19:20" x14ac:dyDescent="0.25">
      <c r="S1254" s="78">
        <v>28641</v>
      </c>
      <c r="T1254" s="29">
        <v>9</v>
      </c>
    </row>
    <row r="1255" spans="19:20" x14ac:dyDescent="0.25">
      <c r="S1255" s="78">
        <v>28642</v>
      </c>
      <c r="T1255" s="29">
        <v>9</v>
      </c>
    </row>
    <row r="1256" spans="19:20" x14ac:dyDescent="0.25">
      <c r="S1256" s="78">
        <v>28643</v>
      </c>
      <c r="T1256" s="29">
        <v>9</v>
      </c>
    </row>
    <row r="1257" spans="19:20" x14ac:dyDescent="0.25">
      <c r="S1257" s="78">
        <v>28644</v>
      </c>
      <c r="T1257" s="29">
        <v>9</v>
      </c>
    </row>
    <row r="1258" spans="19:20" x14ac:dyDescent="0.25">
      <c r="S1258" s="78">
        <v>28645</v>
      </c>
      <c r="T1258" s="29">
        <v>9</v>
      </c>
    </row>
    <row r="1259" spans="19:20" x14ac:dyDescent="0.25">
      <c r="S1259" s="78">
        <v>28646</v>
      </c>
      <c r="T1259" s="29">
        <v>9</v>
      </c>
    </row>
    <row r="1260" spans="19:20" x14ac:dyDescent="0.25">
      <c r="S1260" s="78">
        <v>28647</v>
      </c>
      <c r="T1260" s="29">
        <v>9</v>
      </c>
    </row>
    <row r="1261" spans="19:20" x14ac:dyDescent="0.25">
      <c r="S1261" s="78">
        <v>28648</v>
      </c>
      <c r="T1261" s="29">
        <v>9</v>
      </c>
    </row>
    <row r="1262" spans="19:20" x14ac:dyDescent="0.25">
      <c r="S1262" s="78">
        <v>28649</v>
      </c>
      <c r="T1262" s="29">
        <v>10</v>
      </c>
    </row>
    <row r="1263" spans="19:20" x14ac:dyDescent="0.25">
      <c r="S1263" s="78">
        <v>28650</v>
      </c>
      <c r="T1263" s="29">
        <v>10</v>
      </c>
    </row>
    <row r="1264" spans="19:20" x14ac:dyDescent="0.25">
      <c r="S1264" s="78">
        <v>28651</v>
      </c>
      <c r="T1264" s="29">
        <v>10</v>
      </c>
    </row>
    <row r="1265" spans="19:20" x14ac:dyDescent="0.25">
      <c r="S1265" s="78">
        <v>28652</v>
      </c>
      <c r="T1265" s="29">
        <v>10</v>
      </c>
    </row>
    <row r="1266" spans="19:20" x14ac:dyDescent="0.25">
      <c r="S1266" s="78">
        <v>28653</v>
      </c>
      <c r="T1266" s="29">
        <v>10</v>
      </c>
    </row>
    <row r="1267" spans="19:20" x14ac:dyDescent="0.25">
      <c r="S1267" s="78">
        <v>28654</v>
      </c>
      <c r="T1267" s="29">
        <v>10</v>
      </c>
    </row>
    <row r="1268" spans="19:20" x14ac:dyDescent="0.25">
      <c r="S1268" s="78">
        <v>28655</v>
      </c>
      <c r="T1268" s="29">
        <v>10</v>
      </c>
    </row>
    <row r="1269" spans="19:20" x14ac:dyDescent="0.25">
      <c r="S1269" s="78">
        <v>28656</v>
      </c>
      <c r="T1269" s="29">
        <v>10</v>
      </c>
    </row>
    <row r="1270" spans="19:20" x14ac:dyDescent="0.25">
      <c r="S1270" s="78">
        <v>28657</v>
      </c>
      <c r="T1270" s="29">
        <v>10</v>
      </c>
    </row>
    <row r="1271" spans="19:20" x14ac:dyDescent="0.25">
      <c r="S1271" s="78">
        <v>28658</v>
      </c>
      <c r="T1271" s="29">
        <v>10</v>
      </c>
    </row>
    <row r="1272" spans="19:20" x14ac:dyDescent="0.25">
      <c r="S1272" s="78">
        <v>28659</v>
      </c>
      <c r="T1272" s="29">
        <v>10</v>
      </c>
    </row>
    <row r="1273" spans="19:20" x14ac:dyDescent="0.25">
      <c r="S1273" s="78">
        <v>28660</v>
      </c>
      <c r="T1273" s="29">
        <v>10</v>
      </c>
    </row>
    <row r="1274" spans="19:20" x14ac:dyDescent="0.25">
      <c r="S1274" s="78">
        <v>28661</v>
      </c>
      <c r="T1274" s="29">
        <v>10</v>
      </c>
    </row>
    <row r="1275" spans="19:20" x14ac:dyDescent="0.25">
      <c r="S1275" s="78">
        <v>28662</v>
      </c>
      <c r="T1275" s="29">
        <v>10</v>
      </c>
    </row>
    <row r="1276" spans="19:20" x14ac:dyDescent="0.25">
      <c r="S1276" s="78">
        <v>28663</v>
      </c>
      <c r="T1276" s="29">
        <v>10</v>
      </c>
    </row>
    <row r="1277" spans="19:20" x14ac:dyDescent="0.25">
      <c r="S1277" s="78">
        <v>28664</v>
      </c>
      <c r="T1277" s="29">
        <v>10</v>
      </c>
    </row>
    <row r="1278" spans="19:20" x14ac:dyDescent="0.25">
      <c r="S1278" s="78">
        <v>28665</v>
      </c>
      <c r="T1278" s="29">
        <v>10</v>
      </c>
    </row>
    <row r="1279" spans="19:20" x14ac:dyDescent="0.25">
      <c r="S1279" s="78">
        <v>28666</v>
      </c>
      <c r="T1279" s="29">
        <v>10</v>
      </c>
    </row>
    <row r="1280" spans="19:20" x14ac:dyDescent="0.25">
      <c r="S1280" s="78">
        <v>28667</v>
      </c>
      <c r="T1280" s="29">
        <v>10</v>
      </c>
    </row>
    <row r="1281" spans="19:21" x14ac:dyDescent="0.25">
      <c r="S1281" s="78">
        <v>28668</v>
      </c>
      <c r="T1281" s="29">
        <v>10</v>
      </c>
    </row>
    <row r="1282" spans="19:21" x14ac:dyDescent="0.25">
      <c r="S1282" s="78">
        <v>28669</v>
      </c>
      <c r="T1282" s="29">
        <v>10</v>
      </c>
    </row>
    <row r="1283" spans="19:21" x14ac:dyDescent="0.25">
      <c r="S1283" s="78">
        <v>28670</v>
      </c>
      <c r="T1283" s="29">
        <v>10</v>
      </c>
    </row>
    <row r="1284" spans="19:21" x14ac:dyDescent="0.25">
      <c r="S1284" s="78">
        <v>28671</v>
      </c>
      <c r="T1284" s="29">
        <v>10</v>
      </c>
      <c r="U1284" s="40">
        <f>AVERAGE(T1194:T1284)</f>
        <v>8.5027472527472536</v>
      </c>
    </row>
    <row r="1285" spans="19:21" x14ac:dyDescent="0.25">
      <c r="S1285" s="78">
        <v>28672</v>
      </c>
      <c r="T1285" s="29">
        <v>10</v>
      </c>
    </row>
    <row r="1286" spans="19:21" x14ac:dyDescent="0.25">
      <c r="S1286" s="78">
        <v>28673</v>
      </c>
      <c r="T1286" s="29">
        <v>10</v>
      </c>
    </row>
    <row r="1287" spans="19:21" x14ac:dyDescent="0.25">
      <c r="S1287" s="78">
        <v>28674</v>
      </c>
      <c r="T1287" s="29">
        <v>10</v>
      </c>
    </row>
    <row r="1288" spans="19:21" x14ac:dyDescent="0.25">
      <c r="S1288" s="78">
        <v>28675</v>
      </c>
      <c r="T1288" s="29">
        <v>10</v>
      </c>
    </row>
    <row r="1289" spans="19:21" x14ac:dyDescent="0.25">
      <c r="S1289" s="78">
        <v>28676</v>
      </c>
      <c r="T1289" s="29">
        <v>10</v>
      </c>
    </row>
    <row r="1290" spans="19:21" x14ac:dyDescent="0.25">
      <c r="S1290" s="78">
        <v>28677</v>
      </c>
      <c r="T1290" s="29">
        <v>10</v>
      </c>
    </row>
    <row r="1291" spans="19:21" x14ac:dyDescent="0.25">
      <c r="S1291" s="78">
        <v>28678</v>
      </c>
      <c r="T1291" s="29">
        <v>10</v>
      </c>
    </row>
    <row r="1292" spans="19:21" x14ac:dyDescent="0.25">
      <c r="S1292" s="78">
        <v>28679</v>
      </c>
      <c r="T1292" s="29">
        <v>10</v>
      </c>
    </row>
    <row r="1293" spans="19:21" x14ac:dyDescent="0.25">
      <c r="S1293" s="78">
        <v>28680</v>
      </c>
      <c r="T1293" s="29">
        <v>10</v>
      </c>
    </row>
    <row r="1294" spans="19:21" x14ac:dyDescent="0.25">
      <c r="S1294" s="78">
        <v>28681</v>
      </c>
      <c r="T1294" s="29">
        <v>10</v>
      </c>
    </row>
    <row r="1295" spans="19:21" x14ac:dyDescent="0.25">
      <c r="S1295" s="78">
        <v>28682</v>
      </c>
      <c r="T1295" s="29">
        <v>10</v>
      </c>
    </row>
    <row r="1296" spans="19:21" x14ac:dyDescent="0.25">
      <c r="S1296" s="78">
        <v>28683</v>
      </c>
      <c r="T1296" s="29">
        <v>10</v>
      </c>
    </row>
    <row r="1297" spans="19:20" x14ac:dyDescent="0.25">
      <c r="S1297" s="78">
        <v>28684</v>
      </c>
      <c r="T1297" s="29">
        <v>10</v>
      </c>
    </row>
    <row r="1298" spans="19:20" x14ac:dyDescent="0.25">
      <c r="S1298" s="78">
        <v>28685</v>
      </c>
      <c r="T1298" s="29">
        <v>10</v>
      </c>
    </row>
    <row r="1299" spans="19:20" x14ac:dyDescent="0.25">
      <c r="S1299" s="78">
        <v>28686</v>
      </c>
      <c r="T1299" s="29">
        <v>10</v>
      </c>
    </row>
    <row r="1300" spans="19:20" x14ac:dyDescent="0.25">
      <c r="S1300" s="78">
        <v>28687</v>
      </c>
      <c r="T1300" s="29">
        <v>10</v>
      </c>
    </row>
    <row r="1301" spans="19:20" x14ac:dyDescent="0.25">
      <c r="S1301" s="78">
        <v>28688</v>
      </c>
      <c r="T1301" s="29">
        <v>10</v>
      </c>
    </row>
    <row r="1302" spans="19:20" x14ac:dyDescent="0.25">
      <c r="S1302" s="78">
        <v>28689</v>
      </c>
      <c r="T1302" s="29">
        <v>10</v>
      </c>
    </row>
    <row r="1303" spans="19:20" x14ac:dyDescent="0.25">
      <c r="S1303" s="78">
        <v>28690</v>
      </c>
      <c r="T1303" s="29">
        <v>10</v>
      </c>
    </row>
    <row r="1304" spans="19:20" x14ac:dyDescent="0.25">
      <c r="S1304" s="78">
        <v>28691</v>
      </c>
      <c r="T1304" s="29">
        <v>10</v>
      </c>
    </row>
    <row r="1305" spans="19:20" x14ac:dyDescent="0.25">
      <c r="S1305" s="78">
        <v>28692</v>
      </c>
      <c r="T1305" s="29">
        <v>10</v>
      </c>
    </row>
    <row r="1306" spans="19:20" x14ac:dyDescent="0.25">
      <c r="S1306" s="78">
        <v>28693</v>
      </c>
      <c r="T1306" s="29">
        <v>10</v>
      </c>
    </row>
    <row r="1307" spans="19:20" x14ac:dyDescent="0.25">
      <c r="S1307" s="78">
        <v>28694</v>
      </c>
      <c r="T1307" s="29">
        <v>10</v>
      </c>
    </row>
    <row r="1308" spans="19:20" x14ac:dyDescent="0.25">
      <c r="S1308" s="78">
        <v>28695</v>
      </c>
      <c r="T1308" s="29">
        <v>10</v>
      </c>
    </row>
    <row r="1309" spans="19:20" x14ac:dyDescent="0.25">
      <c r="S1309" s="78">
        <v>28696</v>
      </c>
      <c r="T1309" s="29">
        <v>10</v>
      </c>
    </row>
    <row r="1310" spans="19:20" x14ac:dyDescent="0.25">
      <c r="S1310" s="78">
        <v>28697</v>
      </c>
      <c r="T1310" s="29">
        <v>10</v>
      </c>
    </row>
    <row r="1311" spans="19:20" x14ac:dyDescent="0.25">
      <c r="S1311" s="78">
        <v>28698</v>
      </c>
      <c r="T1311" s="29">
        <v>10</v>
      </c>
    </row>
    <row r="1312" spans="19:20" x14ac:dyDescent="0.25">
      <c r="S1312" s="78">
        <v>28699</v>
      </c>
      <c r="T1312" s="29">
        <v>10</v>
      </c>
    </row>
    <row r="1313" spans="19:20" x14ac:dyDescent="0.25">
      <c r="S1313" s="78">
        <v>28700</v>
      </c>
      <c r="T1313" s="29">
        <v>10</v>
      </c>
    </row>
    <row r="1314" spans="19:20" x14ac:dyDescent="0.25">
      <c r="S1314" s="78">
        <v>28701</v>
      </c>
      <c r="T1314" s="29">
        <v>10</v>
      </c>
    </row>
    <row r="1315" spans="19:20" x14ac:dyDescent="0.25">
      <c r="S1315" s="78">
        <v>28702</v>
      </c>
      <c r="T1315" s="29">
        <v>10</v>
      </c>
    </row>
    <row r="1316" spans="19:20" x14ac:dyDescent="0.25">
      <c r="S1316" s="78">
        <v>28703</v>
      </c>
      <c r="T1316" s="29">
        <v>10</v>
      </c>
    </row>
    <row r="1317" spans="19:20" x14ac:dyDescent="0.25">
      <c r="S1317" s="78">
        <v>28704</v>
      </c>
      <c r="T1317" s="29">
        <v>10</v>
      </c>
    </row>
    <row r="1318" spans="19:20" x14ac:dyDescent="0.25">
      <c r="S1318" s="78">
        <v>28705</v>
      </c>
      <c r="T1318" s="29">
        <v>10</v>
      </c>
    </row>
    <row r="1319" spans="19:20" x14ac:dyDescent="0.25">
      <c r="S1319" s="78">
        <v>28706</v>
      </c>
      <c r="T1319" s="29">
        <v>10</v>
      </c>
    </row>
    <row r="1320" spans="19:20" x14ac:dyDescent="0.25">
      <c r="S1320" s="78">
        <v>28707</v>
      </c>
      <c r="T1320" s="29">
        <v>10</v>
      </c>
    </row>
    <row r="1321" spans="19:20" x14ac:dyDescent="0.25">
      <c r="S1321" s="78">
        <v>28708</v>
      </c>
      <c r="T1321" s="29">
        <v>10</v>
      </c>
    </row>
    <row r="1322" spans="19:20" x14ac:dyDescent="0.25">
      <c r="S1322" s="78">
        <v>28709</v>
      </c>
      <c r="T1322" s="29">
        <v>10</v>
      </c>
    </row>
    <row r="1323" spans="19:20" x14ac:dyDescent="0.25">
      <c r="S1323" s="78">
        <v>28710</v>
      </c>
      <c r="T1323" s="29">
        <v>10</v>
      </c>
    </row>
    <row r="1324" spans="19:20" x14ac:dyDescent="0.25">
      <c r="S1324" s="78">
        <v>28711</v>
      </c>
      <c r="T1324" s="29">
        <v>10</v>
      </c>
    </row>
    <row r="1325" spans="19:20" x14ac:dyDescent="0.25">
      <c r="S1325" s="78">
        <v>28712</v>
      </c>
      <c r="T1325" s="29">
        <v>10</v>
      </c>
    </row>
    <row r="1326" spans="19:20" x14ac:dyDescent="0.25">
      <c r="S1326" s="78">
        <v>28713</v>
      </c>
      <c r="T1326" s="29">
        <v>10</v>
      </c>
    </row>
    <row r="1327" spans="19:20" x14ac:dyDescent="0.25">
      <c r="S1327" s="78">
        <v>28714</v>
      </c>
      <c r="T1327" s="29">
        <v>10</v>
      </c>
    </row>
    <row r="1328" spans="19:20" x14ac:dyDescent="0.25">
      <c r="S1328" s="78">
        <v>28715</v>
      </c>
      <c r="T1328" s="29">
        <v>10</v>
      </c>
    </row>
    <row r="1329" spans="19:20" x14ac:dyDescent="0.25">
      <c r="S1329" s="78">
        <v>28716</v>
      </c>
      <c r="T1329" s="29">
        <v>10</v>
      </c>
    </row>
    <row r="1330" spans="19:20" x14ac:dyDescent="0.25">
      <c r="S1330" s="78">
        <v>28717</v>
      </c>
      <c r="T1330" s="29">
        <v>10</v>
      </c>
    </row>
    <row r="1331" spans="19:20" x14ac:dyDescent="0.25">
      <c r="S1331" s="78">
        <v>28718</v>
      </c>
      <c r="T1331" s="29">
        <v>10</v>
      </c>
    </row>
    <row r="1332" spans="19:20" x14ac:dyDescent="0.25">
      <c r="S1332" s="78">
        <v>28719</v>
      </c>
      <c r="T1332" s="29">
        <v>10</v>
      </c>
    </row>
    <row r="1333" spans="19:20" x14ac:dyDescent="0.25">
      <c r="S1333" s="78">
        <v>28720</v>
      </c>
      <c r="T1333" s="29">
        <v>10</v>
      </c>
    </row>
    <row r="1334" spans="19:20" x14ac:dyDescent="0.25">
      <c r="S1334" s="78">
        <v>28721</v>
      </c>
      <c r="T1334" s="29">
        <v>10</v>
      </c>
    </row>
    <row r="1335" spans="19:20" x14ac:dyDescent="0.25">
      <c r="S1335" s="78">
        <v>28722</v>
      </c>
      <c r="T1335" s="29">
        <v>10</v>
      </c>
    </row>
    <row r="1336" spans="19:20" x14ac:dyDescent="0.25">
      <c r="S1336" s="78">
        <v>28723</v>
      </c>
      <c r="T1336" s="29">
        <v>10</v>
      </c>
    </row>
    <row r="1337" spans="19:20" x14ac:dyDescent="0.25">
      <c r="S1337" s="78">
        <v>28724</v>
      </c>
      <c r="T1337" s="29">
        <v>10</v>
      </c>
    </row>
    <row r="1338" spans="19:20" x14ac:dyDescent="0.25">
      <c r="S1338" s="78">
        <v>28725</v>
      </c>
      <c r="T1338" s="29">
        <v>10</v>
      </c>
    </row>
    <row r="1339" spans="19:20" x14ac:dyDescent="0.25">
      <c r="S1339" s="78">
        <v>28726</v>
      </c>
      <c r="T1339" s="29">
        <v>10</v>
      </c>
    </row>
    <row r="1340" spans="19:20" x14ac:dyDescent="0.25">
      <c r="S1340" s="78">
        <v>28727</v>
      </c>
      <c r="T1340" s="29">
        <v>10</v>
      </c>
    </row>
    <row r="1341" spans="19:20" x14ac:dyDescent="0.25">
      <c r="S1341" s="78">
        <v>28728</v>
      </c>
      <c r="T1341" s="29">
        <v>10</v>
      </c>
    </row>
    <row r="1342" spans="19:20" x14ac:dyDescent="0.25">
      <c r="S1342" s="78">
        <v>28729</v>
      </c>
      <c r="T1342" s="29">
        <v>10</v>
      </c>
    </row>
    <row r="1343" spans="19:20" x14ac:dyDescent="0.25">
      <c r="S1343" s="78">
        <v>28730</v>
      </c>
      <c r="T1343" s="29">
        <v>10</v>
      </c>
    </row>
    <row r="1344" spans="19:20" x14ac:dyDescent="0.25">
      <c r="S1344" s="78">
        <v>28731</v>
      </c>
      <c r="T1344" s="29">
        <v>10</v>
      </c>
    </row>
    <row r="1345" spans="19:20" x14ac:dyDescent="0.25">
      <c r="S1345" s="78">
        <v>28732</v>
      </c>
      <c r="T1345" s="29">
        <v>10</v>
      </c>
    </row>
    <row r="1346" spans="19:20" x14ac:dyDescent="0.25">
      <c r="S1346" s="78">
        <v>28733</v>
      </c>
      <c r="T1346" s="29">
        <v>10</v>
      </c>
    </row>
    <row r="1347" spans="19:20" x14ac:dyDescent="0.25">
      <c r="S1347" s="78">
        <v>28734</v>
      </c>
      <c r="T1347" s="29">
        <v>10</v>
      </c>
    </row>
    <row r="1348" spans="19:20" x14ac:dyDescent="0.25">
      <c r="S1348" s="78">
        <v>28735</v>
      </c>
      <c r="T1348" s="29">
        <v>10</v>
      </c>
    </row>
    <row r="1349" spans="19:20" x14ac:dyDescent="0.25">
      <c r="S1349" s="78">
        <v>28736</v>
      </c>
      <c r="T1349" s="29">
        <v>10</v>
      </c>
    </row>
    <row r="1350" spans="19:20" x14ac:dyDescent="0.25">
      <c r="S1350" s="78">
        <v>28737</v>
      </c>
      <c r="T1350" s="29">
        <v>10</v>
      </c>
    </row>
    <row r="1351" spans="19:20" x14ac:dyDescent="0.25">
      <c r="S1351" s="78">
        <v>28738</v>
      </c>
      <c r="T1351" s="29">
        <v>10</v>
      </c>
    </row>
    <row r="1352" spans="19:20" x14ac:dyDescent="0.25">
      <c r="S1352" s="78">
        <v>28739</v>
      </c>
      <c r="T1352" s="29">
        <v>10</v>
      </c>
    </row>
    <row r="1353" spans="19:20" x14ac:dyDescent="0.25">
      <c r="S1353" s="78">
        <v>28740</v>
      </c>
      <c r="T1353" s="29">
        <v>10</v>
      </c>
    </row>
    <row r="1354" spans="19:20" x14ac:dyDescent="0.25">
      <c r="S1354" s="78">
        <v>28741</v>
      </c>
      <c r="T1354" s="29">
        <v>10</v>
      </c>
    </row>
    <row r="1355" spans="19:20" x14ac:dyDescent="0.25">
      <c r="S1355" s="78">
        <v>28742</v>
      </c>
      <c r="T1355" s="29">
        <v>10</v>
      </c>
    </row>
    <row r="1356" spans="19:20" x14ac:dyDescent="0.25">
      <c r="S1356" s="78">
        <v>28743</v>
      </c>
      <c r="T1356" s="29">
        <v>10</v>
      </c>
    </row>
    <row r="1357" spans="19:20" x14ac:dyDescent="0.25">
      <c r="S1357" s="78">
        <v>28744</v>
      </c>
      <c r="T1357" s="29">
        <v>10</v>
      </c>
    </row>
    <row r="1358" spans="19:20" x14ac:dyDescent="0.25">
      <c r="S1358" s="78">
        <v>28745</v>
      </c>
      <c r="T1358" s="29">
        <v>10</v>
      </c>
    </row>
    <row r="1359" spans="19:20" x14ac:dyDescent="0.25">
      <c r="S1359" s="78">
        <v>28746</v>
      </c>
      <c r="T1359" s="29">
        <v>10</v>
      </c>
    </row>
    <row r="1360" spans="19:20" x14ac:dyDescent="0.25">
      <c r="S1360" s="78">
        <v>28747</v>
      </c>
      <c r="T1360" s="29">
        <v>10</v>
      </c>
    </row>
    <row r="1361" spans="19:21" x14ac:dyDescent="0.25">
      <c r="S1361" s="78">
        <v>28748</v>
      </c>
      <c r="T1361" s="29">
        <v>10</v>
      </c>
    </row>
    <row r="1362" spans="19:21" x14ac:dyDescent="0.25">
      <c r="S1362" s="78">
        <v>28749</v>
      </c>
      <c r="T1362" s="29">
        <v>10</v>
      </c>
    </row>
    <row r="1363" spans="19:21" x14ac:dyDescent="0.25">
      <c r="S1363" s="78">
        <v>28750</v>
      </c>
      <c r="T1363" s="29">
        <v>10</v>
      </c>
    </row>
    <row r="1364" spans="19:21" x14ac:dyDescent="0.25">
      <c r="S1364" s="78">
        <v>28751</v>
      </c>
      <c r="T1364" s="29">
        <v>10</v>
      </c>
    </row>
    <row r="1365" spans="19:21" x14ac:dyDescent="0.25">
      <c r="S1365" s="78">
        <v>28752</v>
      </c>
      <c r="T1365" s="29">
        <v>10</v>
      </c>
    </row>
    <row r="1366" spans="19:21" x14ac:dyDescent="0.25">
      <c r="S1366" s="78">
        <v>28753</v>
      </c>
      <c r="T1366" s="29">
        <v>10</v>
      </c>
    </row>
    <row r="1367" spans="19:21" x14ac:dyDescent="0.25">
      <c r="S1367" s="78">
        <v>28754</v>
      </c>
      <c r="T1367" s="29">
        <v>10</v>
      </c>
    </row>
    <row r="1368" spans="19:21" x14ac:dyDescent="0.25">
      <c r="S1368" s="78">
        <v>28755</v>
      </c>
      <c r="T1368" s="29">
        <v>10</v>
      </c>
    </row>
    <row r="1369" spans="19:21" x14ac:dyDescent="0.25">
      <c r="S1369" s="78">
        <v>28756</v>
      </c>
      <c r="T1369" s="29">
        <v>10</v>
      </c>
    </row>
    <row r="1370" spans="19:21" x14ac:dyDescent="0.25">
      <c r="S1370" s="78">
        <v>28757</v>
      </c>
      <c r="T1370" s="29">
        <v>10</v>
      </c>
    </row>
    <row r="1371" spans="19:21" x14ac:dyDescent="0.25">
      <c r="S1371" s="78">
        <v>28758</v>
      </c>
      <c r="T1371" s="29">
        <v>10</v>
      </c>
    </row>
    <row r="1372" spans="19:21" x14ac:dyDescent="0.25">
      <c r="S1372" s="78">
        <v>28759</v>
      </c>
      <c r="T1372" s="29">
        <v>10</v>
      </c>
    </row>
    <row r="1373" spans="19:21" x14ac:dyDescent="0.25">
      <c r="S1373" s="78">
        <v>28760</v>
      </c>
      <c r="T1373" s="29">
        <v>10</v>
      </c>
    </row>
    <row r="1374" spans="19:21" x14ac:dyDescent="0.25">
      <c r="S1374" s="78">
        <v>28761</v>
      </c>
      <c r="T1374" s="29">
        <v>10</v>
      </c>
    </row>
    <row r="1375" spans="19:21" x14ac:dyDescent="0.25">
      <c r="S1375" s="78">
        <v>28762</v>
      </c>
      <c r="T1375" s="29">
        <v>10</v>
      </c>
    </row>
    <row r="1376" spans="19:21" x14ac:dyDescent="0.25">
      <c r="S1376" s="78">
        <v>28763</v>
      </c>
      <c r="T1376" s="29">
        <v>10</v>
      </c>
      <c r="U1376" s="40">
        <f>AVERAGE(T1285:T1376)</f>
        <v>10</v>
      </c>
    </row>
    <row r="1377" spans="19:20" x14ac:dyDescent="0.25">
      <c r="S1377" s="78">
        <v>28764</v>
      </c>
      <c r="T1377" s="29">
        <v>10</v>
      </c>
    </row>
    <row r="1378" spans="19:20" x14ac:dyDescent="0.25">
      <c r="S1378" s="78">
        <v>28765</v>
      </c>
      <c r="T1378" s="29">
        <v>10</v>
      </c>
    </row>
    <row r="1379" spans="19:20" x14ac:dyDescent="0.25">
      <c r="S1379" s="78">
        <v>28766</v>
      </c>
      <c r="T1379" s="29">
        <v>10</v>
      </c>
    </row>
    <row r="1380" spans="19:20" x14ac:dyDescent="0.25">
      <c r="S1380" s="78">
        <v>28767</v>
      </c>
      <c r="T1380" s="29">
        <v>10</v>
      </c>
    </row>
    <row r="1381" spans="19:20" x14ac:dyDescent="0.25">
      <c r="S1381" s="78">
        <v>28768</v>
      </c>
      <c r="T1381" s="29">
        <v>10</v>
      </c>
    </row>
    <row r="1382" spans="19:20" x14ac:dyDescent="0.25">
      <c r="S1382" s="78">
        <v>28769</v>
      </c>
      <c r="T1382" s="29">
        <v>10</v>
      </c>
    </row>
    <row r="1383" spans="19:20" x14ac:dyDescent="0.25">
      <c r="S1383" s="78">
        <v>28770</v>
      </c>
      <c r="T1383" s="29">
        <v>10</v>
      </c>
    </row>
    <row r="1384" spans="19:20" x14ac:dyDescent="0.25">
      <c r="S1384" s="78">
        <v>28771</v>
      </c>
      <c r="T1384" s="29">
        <v>10</v>
      </c>
    </row>
    <row r="1385" spans="19:20" x14ac:dyDescent="0.25">
      <c r="S1385" s="78">
        <v>28772</v>
      </c>
      <c r="T1385" s="29">
        <v>10</v>
      </c>
    </row>
    <row r="1386" spans="19:20" x14ac:dyDescent="0.25">
      <c r="S1386" s="78">
        <v>28773</v>
      </c>
      <c r="T1386" s="29">
        <v>10</v>
      </c>
    </row>
    <row r="1387" spans="19:20" x14ac:dyDescent="0.25">
      <c r="S1387" s="78">
        <v>28774</v>
      </c>
      <c r="T1387" s="29">
        <v>10</v>
      </c>
    </row>
    <row r="1388" spans="19:20" x14ac:dyDescent="0.25">
      <c r="S1388" s="78">
        <v>28775</v>
      </c>
      <c r="T1388" s="29">
        <v>10</v>
      </c>
    </row>
    <row r="1389" spans="19:20" x14ac:dyDescent="0.25">
      <c r="S1389" s="78">
        <v>28776</v>
      </c>
      <c r="T1389" s="29">
        <v>10</v>
      </c>
    </row>
    <row r="1390" spans="19:20" x14ac:dyDescent="0.25">
      <c r="S1390" s="78">
        <v>28777</v>
      </c>
      <c r="T1390" s="29">
        <v>10</v>
      </c>
    </row>
    <row r="1391" spans="19:20" x14ac:dyDescent="0.25">
      <c r="S1391" s="78">
        <v>28778</v>
      </c>
      <c r="T1391" s="29">
        <v>10</v>
      </c>
    </row>
    <row r="1392" spans="19:20" x14ac:dyDescent="0.25">
      <c r="S1392" s="78">
        <v>28779</v>
      </c>
      <c r="T1392" s="29">
        <v>10</v>
      </c>
    </row>
    <row r="1393" spans="19:20" x14ac:dyDescent="0.25">
      <c r="S1393" s="78">
        <v>28780</v>
      </c>
      <c r="T1393" s="29">
        <v>10</v>
      </c>
    </row>
    <row r="1394" spans="19:20" x14ac:dyDescent="0.25">
      <c r="S1394" s="78">
        <v>28781</v>
      </c>
      <c r="T1394" s="29">
        <v>10</v>
      </c>
    </row>
    <row r="1395" spans="19:20" x14ac:dyDescent="0.25">
      <c r="S1395" s="78">
        <v>28782</v>
      </c>
      <c r="T1395" s="29">
        <v>10</v>
      </c>
    </row>
    <row r="1396" spans="19:20" x14ac:dyDescent="0.25">
      <c r="S1396" s="78">
        <v>28783</v>
      </c>
      <c r="T1396" s="29">
        <v>10</v>
      </c>
    </row>
    <row r="1397" spans="19:20" x14ac:dyDescent="0.25">
      <c r="S1397" s="78">
        <v>28784</v>
      </c>
      <c r="T1397" s="29">
        <v>10</v>
      </c>
    </row>
    <row r="1398" spans="19:20" x14ac:dyDescent="0.25">
      <c r="S1398" s="78">
        <v>28785</v>
      </c>
      <c r="T1398" s="29">
        <v>10</v>
      </c>
    </row>
    <row r="1399" spans="19:20" x14ac:dyDescent="0.25">
      <c r="S1399" s="78">
        <v>28786</v>
      </c>
      <c r="T1399" s="29">
        <v>10</v>
      </c>
    </row>
    <row r="1400" spans="19:20" x14ac:dyDescent="0.25">
      <c r="S1400" s="78">
        <v>28787</v>
      </c>
      <c r="T1400" s="29">
        <v>10</v>
      </c>
    </row>
    <row r="1401" spans="19:20" x14ac:dyDescent="0.25">
      <c r="S1401" s="78">
        <v>28788</v>
      </c>
      <c r="T1401" s="29">
        <v>10</v>
      </c>
    </row>
    <row r="1402" spans="19:20" x14ac:dyDescent="0.25">
      <c r="S1402" s="78">
        <v>28789</v>
      </c>
      <c r="T1402" s="29">
        <v>10</v>
      </c>
    </row>
    <row r="1403" spans="19:20" x14ac:dyDescent="0.25">
      <c r="S1403" s="78">
        <v>28790</v>
      </c>
      <c r="T1403" s="29">
        <v>10</v>
      </c>
    </row>
    <row r="1404" spans="19:20" x14ac:dyDescent="0.25">
      <c r="S1404" s="78">
        <v>28791</v>
      </c>
      <c r="T1404" s="29">
        <v>10</v>
      </c>
    </row>
    <row r="1405" spans="19:20" x14ac:dyDescent="0.25">
      <c r="S1405" s="78">
        <v>28792</v>
      </c>
      <c r="T1405" s="29">
        <v>10</v>
      </c>
    </row>
    <row r="1406" spans="19:20" x14ac:dyDescent="0.25">
      <c r="S1406" s="78">
        <v>28793</v>
      </c>
      <c r="T1406" s="29">
        <v>10</v>
      </c>
    </row>
    <row r="1407" spans="19:20" x14ac:dyDescent="0.25">
      <c r="S1407" s="78">
        <v>28794</v>
      </c>
      <c r="T1407" s="29">
        <v>10</v>
      </c>
    </row>
    <row r="1408" spans="19:20" x14ac:dyDescent="0.25">
      <c r="S1408" s="78">
        <v>28795</v>
      </c>
      <c r="T1408" s="29">
        <v>10</v>
      </c>
    </row>
    <row r="1409" spans="19:20" x14ac:dyDescent="0.25">
      <c r="S1409" s="78">
        <v>28796</v>
      </c>
      <c r="T1409" s="29">
        <v>10</v>
      </c>
    </row>
    <row r="1410" spans="19:20" x14ac:dyDescent="0.25">
      <c r="S1410" s="78">
        <v>28797</v>
      </c>
      <c r="T1410" s="29">
        <v>10</v>
      </c>
    </row>
    <row r="1411" spans="19:20" x14ac:dyDescent="0.25">
      <c r="S1411" s="78">
        <v>28798</v>
      </c>
      <c r="T1411" s="29">
        <v>10</v>
      </c>
    </row>
    <row r="1412" spans="19:20" x14ac:dyDescent="0.25">
      <c r="S1412" s="78">
        <v>28799</v>
      </c>
      <c r="T1412" s="29">
        <v>10</v>
      </c>
    </row>
    <row r="1413" spans="19:20" x14ac:dyDescent="0.25">
      <c r="S1413" s="78">
        <v>28800</v>
      </c>
      <c r="T1413" s="29">
        <v>10</v>
      </c>
    </row>
    <row r="1414" spans="19:20" x14ac:dyDescent="0.25">
      <c r="S1414" s="78">
        <v>28801</v>
      </c>
      <c r="T1414" s="29">
        <v>10</v>
      </c>
    </row>
    <row r="1415" spans="19:20" x14ac:dyDescent="0.25">
      <c r="S1415" s="78">
        <v>28802</v>
      </c>
      <c r="T1415" s="29">
        <v>10</v>
      </c>
    </row>
    <row r="1416" spans="19:20" x14ac:dyDescent="0.25">
      <c r="S1416" s="78">
        <v>28803</v>
      </c>
      <c r="T1416" s="29">
        <v>12.5</v>
      </c>
    </row>
    <row r="1417" spans="19:20" x14ac:dyDescent="0.25">
      <c r="S1417" s="78">
        <v>28804</v>
      </c>
      <c r="T1417" s="29">
        <v>12.5</v>
      </c>
    </row>
    <row r="1418" spans="19:20" x14ac:dyDescent="0.25">
      <c r="S1418" s="78">
        <v>28805</v>
      </c>
      <c r="T1418" s="29">
        <v>12.5</v>
      </c>
    </row>
    <row r="1419" spans="19:20" x14ac:dyDescent="0.25">
      <c r="S1419" s="78">
        <v>28806</v>
      </c>
      <c r="T1419" s="29">
        <v>12.5</v>
      </c>
    </row>
    <row r="1420" spans="19:20" x14ac:dyDescent="0.25">
      <c r="S1420" s="78">
        <v>28807</v>
      </c>
      <c r="T1420" s="29">
        <v>12.5</v>
      </c>
    </row>
    <row r="1421" spans="19:20" x14ac:dyDescent="0.25">
      <c r="S1421" s="78">
        <v>28808</v>
      </c>
      <c r="T1421" s="29">
        <v>12.5</v>
      </c>
    </row>
    <row r="1422" spans="19:20" x14ac:dyDescent="0.25">
      <c r="S1422" s="78">
        <v>28809</v>
      </c>
      <c r="T1422" s="29">
        <v>12.5</v>
      </c>
    </row>
    <row r="1423" spans="19:20" x14ac:dyDescent="0.25">
      <c r="S1423" s="78">
        <v>28810</v>
      </c>
      <c r="T1423" s="29">
        <v>12.5</v>
      </c>
    </row>
    <row r="1424" spans="19:20" x14ac:dyDescent="0.25">
      <c r="S1424" s="78">
        <v>28811</v>
      </c>
      <c r="T1424" s="29">
        <v>12.5</v>
      </c>
    </row>
    <row r="1425" spans="19:20" x14ac:dyDescent="0.25">
      <c r="S1425" s="78">
        <v>28812</v>
      </c>
      <c r="T1425" s="29">
        <v>12.5</v>
      </c>
    </row>
    <row r="1426" spans="19:20" x14ac:dyDescent="0.25">
      <c r="S1426" s="78">
        <v>28813</v>
      </c>
      <c r="T1426" s="29">
        <v>12.5</v>
      </c>
    </row>
    <row r="1427" spans="19:20" x14ac:dyDescent="0.25">
      <c r="S1427" s="78">
        <v>28814</v>
      </c>
      <c r="T1427" s="29">
        <v>12.5</v>
      </c>
    </row>
    <row r="1428" spans="19:20" x14ac:dyDescent="0.25">
      <c r="S1428" s="78">
        <v>28815</v>
      </c>
      <c r="T1428" s="29">
        <v>12.5</v>
      </c>
    </row>
    <row r="1429" spans="19:20" x14ac:dyDescent="0.25">
      <c r="S1429" s="78">
        <v>28816</v>
      </c>
      <c r="T1429" s="29">
        <v>12.5</v>
      </c>
    </row>
    <row r="1430" spans="19:20" x14ac:dyDescent="0.25">
      <c r="S1430" s="78">
        <v>28817</v>
      </c>
      <c r="T1430" s="29">
        <v>12.5</v>
      </c>
    </row>
    <row r="1431" spans="19:20" x14ac:dyDescent="0.25">
      <c r="S1431" s="78">
        <v>28818</v>
      </c>
      <c r="T1431" s="29">
        <v>12.5</v>
      </c>
    </row>
    <row r="1432" spans="19:20" x14ac:dyDescent="0.25">
      <c r="S1432" s="78">
        <v>28819</v>
      </c>
      <c r="T1432" s="29">
        <v>12.5</v>
      </c>
    </row>
    <row r="1433" spans="19:20" x14ac:dyDescent="0.25">
      <c r="S1433" s="78">
        <v>28820</v>
      </c>
      <c r="T1433" s="29">
        <v>12.5</v>
      </c>
    </row>
    <row r="1434" spans="19:20" x14ac:dyDescent="0.25">
      <c r="S1434" s="78">
        <v>28821</v>
      </c>
      <c r="T1434" s="29">
        <v>12.5</v>
      </c>
    </row>
    <row r="1435" spans="19:20" x14ac:dyDescent="0.25">
      <c r="S1435" s="78">
        <v>28822</v>
      </c>
      <c r="T1435" s="29">
        <v>12.5</v>
      </c>
    </row>
    <row r="1436" spans="19:20" x14ac:dyDescent="0.25">
      <c r="S1436" s="78">
        <v>28823</v>
      </c>
      <c r="T1436" s="29">
        <v>12.5</v>
      </c>
    </row>
    <row r="1437" spans="19:20" x14ac:dyDescent="0.25">
      <c r="S1437" s="78">
        <v>28824</v>
      </c>
      <c r="T1437" s="29">
        <v>12.5</v>
      </c>
    </row>
    <row r="1438" spans="19:20" x14ac:dyDescent="0.25">
      <c r="S1438" s="78">
        <v>28825</v>
      </c>
      <c r="T1438" s="29">
        <v>12.5</v>
      </c>
    </row>
    <row r="1439" spans="19:20" x14ac:dyDescent="0.25">
      <c r="S1439" s="78">
        <v>28826</v>
      </c>
      <c r="T1439" s="29">
        <v>12.5</v>
      </c>
    </row>
    <row r="1440" spans="19:20" x14ac:dyDescent="0.25">
      <c r="S1440" s="78">
        <v>28827</v>
      </c>
      <c r="T1440" s="29">
        <v>12.5</v>
      </c>
    </row>
    <row r="1441" spans="19:20" x14ac:dyDescent="0.25">
      <c r="S1441" s="78">
        <v>28828</v>
      </c>
      <c r="T1441" s="29">
        <v>12.5</v>
      </c>
    </row>
    <row r="1442" spans="19:20" x14ac:dyDescent="0.25">
      <c r="S1442" s="78">
        <v>28829</v>
      </c>
      <c r="T1442" s="29">
        <v>12.5</v>
      </c>
    </row>
    <row r="1443" spans="19:20" x14ac:dyDescent="0.25">
      <c r="S1443" s="78">
        <v>28830</v>
      </c>
      <c r="T1443" s="29">
        <v>12.5</v>
      </c>
    </row>
    <row r="1444" spans="19:20" x14ac:dyDescent="0.25">
      <c r="S1444" s="78">
        <v>28831</v>
      </c>
      <c r="T1444" s="29">
        <v>12.5</v>
      </c>
    </row>
    <row r="1445" spans="19:20" x14ac:dyDescent="0.25">
      <c r="S1445" s="78">
        <v>28832</v>
      </c>
      <c r="T1445" s="29">
        <v>12.5</v>
      </c>
    </row>
    <row r="1446" spans="19:20" x14ac:dyDescent="0.25">
      <c r="S1446" s="78">
        <v>28833</v>
      </c>
      <c r="T1446" s="29">
        <v>12.5</v>
      </c>
    </row>
    <row r="1447" spans="19:20" x14ac:dyDescent="0.25">
      <c r="S1447" s="78">
        <v>28834</v>
      </c>
      <c r="T1447" s="29">
        <v>12.5</v>
      </c>
    </row>
    <row r="1448" spans="19:20" x14ac:dyDescent="0.25">
      <c r="S1448" s="78">
        <v>28835</v>
      </c>
      <c r="T1448" s="29">
        <v>12.5</v>
      </c>
    </row>
    <row r="1449" spans="19:20" x14ac:dyDescent="0.25">
      <c r="S1449" s="78">
        <v>28836</v>
      </c>
      <c r="T1449" s="29">
        <v>12.5</v>
      </c>
    </row>
    <row r="1450" spans="19:20" x14ac:dyDescent="0.25">
      <c r="S1450" s="78">
        <v>28837</v>
      </c>
      <c r="T1450" s="29">
        <v>12.5</v>
      </c>
    </row>
    <row r="1451" spans="19:20" x14ac:dyDescent="0.25">
      <c r="S1451" s="78">
        <v>28838</v>
      </c>
      <c r="T1451" s="29">
        <v>12.5</v>
      </c>
    </row>
    <row r="1452" spans="19:20" x14ac:dyDescent="0.25">
      <c r="S1452" s="78">
        <v>28839</v>
      </c>
      <c r="T1452" s="29">
        <v>12.5</v>
      </c>
    </row>
    <row r="1453" spans="19:20" x14ac:dyDescent="0.25">
      <c r="S1453" s="78">
        <v>28840</v>
      </c>
      <c r="T1453" s="29">
        <v>12.5</v>
      </c>
    </row>
    <row r="1454" spans="19:20" x14ac:dyDescent="0.25">
      <c r="S1454" s="78">
        <v>28841</v>
      </c>
      <c r="T1454" s="29">
        <v>12.5</v>
      </c>
    </row>
    <row r="1455" spans="19:20" x14ac:dyDescent="0.25">
      <c r="S1455" s="78">
        <v>28842</v>
      </c>
      <c r="T1455" s="29">
        <v>12.5</v>
      </c>
    </row>
    <row r="1456" spans="19:20" x14ac:dyDescent="0.25">
      <c r="S1456" s="78">
        <v>28843</v>
      </c>
      <c r="T1456" s="29">
        <v>12.5</v>
      </c>
    </row>
    <row r="1457" spans="19:21" x14ac:dyDescent="0.25">
      <c r="S1457" s="78">
        <v>28844</v>
      </c>
      <c r="T1457" s="29">
        <v>12.5</v>
      </c>
    </row>
    <row r="1458" spans="19:21" x14ac:dyDescent="0.25">
      <c r="S1458" s="78">
        <v>28845</v>
      </c>
      <c r="T1458" s="29">
        <v>12.5</v>
      </c>
    </row>
    <row r="1459" spans="19:21" x14ac:dyDescent="0.25">
      <c r="S1459" s="78">
        <v>28846</v>
      </c>
      <c r="T1459" s="29">
        <v>12.5</v>
      </c>
    </row>
    <row r="1460" spans="19:21" x14ac:dyDescent="0.25">
      <c r="S1460" s="78">
        <v>28847</v>
      </c>
      <c r="T1460" s="29">
        <v>12.5</v>
      </c>
    </row>
    <row r="1461" spans="19:21" x14ac:dyDescent="0.25">
      <c r="S1461" s="78">
        <v>28848</v>
      </c>
      <c r="T1461" s="29">
        <v>12.5</v>
      </c>
    </row>
    <row r="1462" spans="19:21" x14ac:dyDescent="0.25">
      <c r="S1462" s="78">
        <v>28849</v>
      </c>
      <c r="T1462" s="29">
        <v>12.5</v>
      </c>
    </row>
    <row r="1463" spans="19:21" x14ac:dyDescent="0.25">
      <c r="S1463" s="78">
        <v>28850</v>
      </c>
      <c r="T1463" s="29">
        <v>12.5</v>
      </c>
    </row>
    <row r="1464" spans="19:21" x14ac:dyDescent="0.25">
      <c r="S1464" s="78">
        <v>28851</v>
      </c>
      <c r="T1464" s="29">
        <v>12.5</v>
      </c>
    </row>
    <row r="1465" spans="19:21" x14ac:dyDescent="0.25">
      <c r="S1465" s="78">
        <v>28852</v>
      </c>
      <c r="T1465" s="29">
        <v>12.5</v>
      </c>
    </row>
    <row r="1466" spans="19:21" x14ac:dyDescent="0.25">
      <c r="S1466" s="78">
        <v>28853</v>
      </c>
      <c r="T1466" s="29">
        <v>12.5</v>
      </c>
    </row>
    <row r="1467" spans="19:21" x14ac:dyDescent="0.25">
      <c r="S1467" s="78">
        <v>28854</v>
      </c>
      <c r="T1467" s="29">
        <v>12.5</v>
      </c>
    </row>
    <row r="1468" spans="19:21" x14ac:dyDescent="0.25">
      <c r="S1468" s="78">
        <v>28855</v>
      </c>
      <c r="T1468" s="29">
        <v>12.5</v>
      </c>
      <c r="U1468" s="40">
        <f>AVERAGE(T1377:T1468)</f>
        <v>11.440217391304348</v>
      </c>
    </row>
    <row r="1469" spans="19:21" x14ac:dyDescent="0.25">
      <c r="S1469" s="78">
        <v>28856</v>
      </c>
      <c r="T1469" s="29">
        <v>12.5</v>
      </c>
    </row>
    <row r="1470" spans="19:21" x14ac:dyDescent="0.25">
      <c r="S1470" s="78">
        <v>28857</v>
      </c>
      <c r="T1470" s="29">
        <v>12.5</v>
      </c>
    </row>
    <row r="1471" spans="19:21" x14ac:dyDescent="0.25">
      <c r="S1471" s="78">
        <v>28858</v>
      </c>
      <c r="T1471" s="29">
        <v>12.5</v>
      </c>
    </row>
    <row r="1472" spans="19:21" x14ac:dyDescent="0.25">
      <c r="S1472" s="78">
        <v>28859</v>
      </c>
      <c r="T1472" s="29">
        <v>12.5</v>
      </c>
    </row>
    <row r="1473" spans="19:20" x14ac:dyDescent="0.25">
      <c r="S1473" s="78">
        <v>28860</v>
      </c>
      <c r="T1473" s="29">
        <v>12.5</v>
      </c>
    </row>
    <row r="1474" spans="19:20" x14ac:dyDescent="0.25">
      <c r="S1474" s="78">
        <v>28861</v>
      </c>
      <c r="T1474" s="29">
        <v>12.5</v>
      </c>
    </row>
    <row r="1475" spans="19:20" x14ac:dyDescent="0.25">
      <c r="S1475" s="78">
        <v>28862</v>
      </c>
      <c r="T1475" s="29">
        <v>12.5</v>
      </c>
    </row>
    <row r="1476" spans="19:20" x14ac:dyDescent="0.25">
      <c r="S1476" s="78">
        <v>28863</v>
      </c>
      <c r="T1476" s="29">
        <v>12.5</v>
      </c>
    </row>
    <row r="1477" spans="19:20" x14ac:dyDescent="0.25">
      <c r="S1477" s="78">
        <v>28864</v>
      </c>
      <c r="T1477" s="29">
        <v>12.5</v>
      </c>
    </row>
    <row r="1478" spans="19:20" x14ac:dyDescent="0.25">
      <c r="S1478" s="78">
        <v>28865</v>
      </c>
      <c r="T1478" s="29">
        <v>12.5</v>
      </c>
    </row>
    <row r="1479" spans="19:20" x14ac:dyDescent="0.25">
      <c r="S1479" s="78">
        <v>28866</v>
      </c>
      <c r="T1479" s="29">
        <v>12.5</v>
      </c>
    </row>
    <row r="1480" spans="19:20" x14ac:dyDescent="0.25">
      <c r="S1480" s="78">
        <v>28867</v>
      </c>
      <c r="T1480" s="29">
        <v>12.5</v>
      </c>
    </row>
    <row r="1481" spans="19:20" x14ac:dyDescent="0.25">
      <c r="S1481" s="78">
        <v>28868</v>
      </c>
      <c r="T1481" s="29">
        <v>12.5</v>
      </c>
    </row>
    <row r="1482" spans="19:20" x14ac:dyDescent="0.25">
      <c r="S1482" s="78">
        <v>28869</v>
      </c>
      <c r="T1482" s="29">
        <v>12.5</v>
      </c>
    </row>
    <row r="1483" spans="19:20" x14ac:dyDescent="0.25">
      <c r="S1483" s="78">
        <v>28870</v>
      </c>
      <c r="T1483" s="29">
        <v>12.5</v>
      </c>
    </row>
    <row r="1484" spans="19:20" x14ac:dyDescent="0.25">
      <c r="S1484" s="78">
        <v>28871</v>
      </c>
      <c r="T1484" s="29">
        <v>12.5</v>
      </c>
    </row>
    <row r="1485" spans="19:20" x14ac:dyDescent="0.25">
      <c r="S1485" s="78">
        <v>28872</v>
      </c>
      <c r="T1485" s="29">
        <v>12.5</v>
      </c>
    </row>
    <row r="1486" spans="19:20" x14ac:dyDescent="0.25">
      <c r="S1486" s="78">
        <v>28873</v>
      </c>
      <c r="T1486" s="29">
        <v>12.5</v>
      </c>
    </row>
    <row r="1487" spans="19:20" x14ac:dyDescent="0.25">
      <c r="S1487" s="78">
        <v>28874</v>
      </c>
      <c r="T1487" s="29">
        <v>12.5</v>
      </c>
    </row>
    <row r="1488" spans="19:20" x14ac:dyDescent="0.25">
      <c r="S1488" s="78">
        <v>28875</v>
      </c>
      <c r="T1488" s="29">
        <v>12.5</v>
      </c>
    </row>
    <row r="1489" spans="19:20" x14ac:dyDescent="0.25">
      <c r="S1489" s="78">
        <v>28876</v>
      </c>
      <c r="T1489" s="29">
        <v>12.5</v>
      </c>
    </row>
    <row r="1490" spans="19:20" x14ac:dyDescent="0.25">
      <c r="S1490" s="78">
        <v>28877</v>
      </c>
      <c r="T1490" s="29">
        <v>12.5</v>
      </c>
    </row>
    <row r="1491" spans="19:20" x14ac:dyDescent="0.25">
      <c r="S1491" s="78">
        <v>28878</v>
      </c>
      <c r="T1491" s="29">
        <v>12.5</v>
      </c>
    </row>
    <row r="1492" spans="19:20" x14ac:dyDescent="0.25">
      <c r="S1492" s="78">
        <v>28879</v>
      </c>
      <c r="T1492" s="29">
        <v>12.5</v>
      </c>
    </row>
    <row r="1493" spans="19:20" x14ac:dyDescent="0.25">
      <c r="S1493" s="78">
        <v>28880</v>
      </c>
      <c r="T1493" s="29">
        <v>12.5</v>
      </c>
    </row>
    <row r="1494" spans="19:20" x14ac:dyDescent="0.25">
      <c r="S1494" s="78">
        <v>28881</v>
      </c>
      <c r="T1494" s="29">
        <v>12.5</v>
      </c>
    </row>
    <row r="1495" spans="19:20" x14ac:dyDescent="0.25">
      <c r="S1495" s="78">
        <v>28882</v>
      </c>
      <c r="T1495" s="29">
        <v>12.5</v>
      </c>
    </row>
    <row r="1496" spans="19:20" x14ac:dyDescent="0.25">
      <c r="S1496" s="78">
        <v>28883</v>
      </c>
      <c r="T1496" s="29">
        <v>12.5</v>
      </c>
    </row>
    <row r="1497" spans="19:20" x14ac:dyDescent="0.25">
      <c r="S1497" s="78">
        <v>28884</v>
      </c>
      <c r="T1497" s="29">
        <v>12.5</v>
      </c>
    </row>
    <row r="1498" spans="19:20" x14ac:dyDescent="0.25">
      <c r="S1498" s="78">
        <v>28885</v>
      </c>
      <c r="T1498" s="29">
        <v>12.5</v>
      </c>
    </row>
    <row r="1499" spans="19:20" x14ac:dyDescent="0.25">
      <c r="S1499" s="78">
        <v>28886</v>
      </c>
      <c r="T1499" s="29">
        <v>12.5</v>
      </c>
    </row>
    <row r="1500" spans="19:20" x14ac:dyDescent="0.25">
      <c r="S1500" s="78">
        <v>28887</v>
      </c>
      <c r="T1500" s="29">
        <v>12.5</v>
      </c>
    </row>
    <row r="1501" spans="19:20" x14ac:dyDescent="0.25">
      <c r="S1501" s="78">
        <v>28888</v>
      </c>
      <c r="T1501" s="29">
        <v>12.5</v>
      </c>
    </row>
    <row r="1502" spans="19:20" x14ac:dyDescent="0.25">
      <c r="S1502" s="78">
        <v>28889</v>
      </c>
      <c r="T1502" s="29">
        <v>12.5</v>
      </c>
    </row>
    <row r="1503" spans="19:20" x14ac:dyDescent="0.25">
      <c r="S1503" s="78">
        <v>28890</v>
      </c>
      <c r="T1503" s="29">
        <v>12.5</v>
      </c>
    </row>
    <row r="1504" spans="19:20" x14ac:dyDescent="0.25">
      <c r="S1504" s="78">
        <v>28891</v>
      </c>
      <c r="T1504" s="29">
        <v>12.5</v>
      </c>
    </row>
    <row r="1505" spans="19:20" x14ac:dyDescent="0.25">
      <c r="S1505" s="78">
        <v>28892</v>
      </c>
      <c r="T1505" s="29">
        <v>12.5</v>
      </c>
    </row>
    <row r="1506" spans="19:20" x14ac:dyDescent="0.25">
      <c r="S1506" s="78">
        <v>28893</v>
      </c>
      <c r="T1506" s="29">
        <v>12.5</v>
      </c>
    </row>
    <row r="1507" spans="19:20" x14ac:dyDescent="0.25">
      <c r="S1507" s="78">
        <v>28894</v>
      </c>
      <c r="T1507" s="29">
        <v>14</v>
      </c>
    </row>
    <row r="1508" spans="19:20" x14ac:dyDescent="0.25">
      <c r="S1508" s="78">
        <v>28895</v>
      </c>
      <c r="T1508" s="29">
        <v>14</v>
      </c>
    </row>
    <row r="1509" spans="19:20" x14ac:dyDescent="0.25">
      <c r="S1509" s="78">
        <v>28896</v>
      </c>
      <c r="T1509" s="29">
        <v>14</v>
      </c>
    </row>
    <row r="1510" spans="19:20" x14ac:dyDescent="0.25">
      <c r="S1510" s="78">
        <v>28897</v>
      </c>
      <c r="T1510" s="29">
        <v>14</v>
      </c>
    </row>
    <row r="1511" spans="19:20" x14ac:dyDescent="0.25">
      <c r="S1511" s="78">
        <v>28898</v>
      </c>
      <c r="T1511" s="29">
        <v>14</v>
      </c>
    </row>
    <row r="1512" spans="19:20" x14ac:dyDescent="0.25">
      <c r="S1512" s="78">
        <v>28899</v>
      </c>
      <c r="T1512" s="29">
        <v>14</v>
      </c>
    </row>
    <row r="1513" spans="19:20" x14ac:dyDescent="0.25">
      <c r="S1513" s="78">
        <v>28900</v>
      </c>
      <c r="T1513" s="29">
        <v>14</v>
      </c>
    </row>
    <row r="1514" spans="19:20" x14ac:dyDescent="0.25">
      <c r="S1514" s="78">
        <v>28901</v>
      </c>
      <c r="T1514" s="29">
        <v>14</v>
      </c>
    </row>
    <row r="1515" spans="19:20" x14ac:dyDescent="0.25">
      <c r="S1515" s="78">
        <v>28902</v>
      </c>
      <c r="T1515" s="29">
        <v>14</v>
      </c>
    </row>
    <row r="1516" spans="19:20" x14ac:dyDescent="0.25">
      <c r="S1516" s="78">
        <v>28903</v>
      </c>
      <c r="T1516" s="29">
        <v>14</v>
      </c>
    </row>
    <row r="1517" spans="19:20" x14ac:dyDescent="0.25">
      <c r="S1517" s="78">
        <v>28904</v>
      </c>
      <c r="T1517" s="29">
        <v>14</v>
      </c>
    </row>
    <row r="1518" spans="19:20" x14ac:dyDescent="0.25">
      <c r="S1518" s="78">
        <v>28905</v>
      </c>
      <c r="T1518" s="29">
        <v>14</v>
      </c>
    </row>
    <row r="1519" spans="19:20" x14ac:dyDescent="0.25">
      <c r="S1519" s="78">
        <v>28906</v>
      </c>
      <c r="T1519" s="29">
        <v>14</v>
      </c>
    </row>
    <row r="1520" spans="19:20" x14ac:dyDescent="0.25">
      <c r="S1520" s="78">
        <v>28907</v>
      </c>
      <c r="T1520" s="29">
        <v>14</v>
      </c>
    </row>
    <row r="1521" spans="19:20" x14ac:dyDescent="0.25">
      <c r="S1521" s="78">
        <v>28908</v>
      </c>
      <c r="T1521" s="29">
        <v>14</v>
      </c>
    </row>
    <row r="1522" spans="19:20" x14ac:dyDescent="0.25">
      <c r="S1522" s="78">
        <v>28909</v>
      </c>
      <c r="T1522" s="29">
        <v>14</v>
      </c>
    </row>
    <row r="1523" spans="19:20" x14ac:dyDescent="0.25">
      <c r="S1523" s="78">
        <v>28910</v>
      </c>
      <c r="T1523" s="29">
        <v>14</v>
      </c>
    </row>
    <row r="1524" spans="19:20" x14ac:dyDescent="0.25">
      <c r="S1524" s="78">
        <v>28911</v>
      </c>
      <c r="T1524" s="29">
        <v>14</v>
      </c>
    </row>
    <row r="1525" spans="19:20" x14ac:dyDescent="0.25">
      <c r="S1525" s="78">
        <v>28912</v>
      </c>
      <c r="T1525" s="29">
        <v>14</v>
      </c>
    </row>
    <row r="1526" spans="19:20" x14ac:dyDescent="0.25">
      <c r="S1526" s="78">
        <v>28913</v>
      </c>
      <c r="T1526" s="29">
        <v>14</v>
      </c>
    </row>
    <row r="1527" spans="19:20" x14ac:dyDescent="0.25">
      <c r="S1527" s="78">
        <v>28914</v>
      </c>
      <c r="T1527" s="29">
        <v>14</v>
      </c>
    </row>
    <row r="1528" spans="19:20" x14ac:dyDescent="0.25">
      <c r="S1528" s="78">
        <v>28915</v>
      </c>
      <c r="T1528" s="29">
        <v>13</v>
      </c>
    </row>
    <row r="1529" spans="19:20" x14ac:dyDescent="0.25">
      <c r="S1529" s="78">
        <v>28916</v>
      </c>
      <c r="T1529" s="29">
        <v>13</v>
      </c>
    </row>
    <row r="1530" spans="19:20" x14ac:dyDescent="0.25">
      <c r="S1530" s="78">
        <v>28917</v>
      </c>
      <c r="T1530" s="29">
        <v>13</v>
      </c>
    </row>
    <row r="1531" spans="19:20" x14ac:dyDescent="0.25">
      <c r="S1531" s="78">
        <v>28918</v>
      </c>
      <c r="T1531" s="29">
        <v>13</v>
      </c>
    </row>
    <row r="1532" spans="19:20" x14ac:dyDescent="0.25">
      <c r="S1532" s="78">
        <v>28919</v>
      </c>
      <c r="T1532" s="29">
        <v>13</v>
      </c>
    </row>
    <row r="1533" spans="19:20" x14ac:dyDescent="0.25">
      <c r="S1533" s="78">
        <v>28920</v>
      </c>
      <c r="T1533" s="29">
        <v>13</v>
      </c>
    </row>
    <row r="1534" spans="19:20" x14ac:dyDescent="0.25">
      <c r="S1534" s="78">
        <v>28921</v>
      </c>
      <c r="T1534" s="29">
        <v>13</v>
      </c>
    </row>
    <row r="1535" spans="19:20" x14ac:dyDescent="0.25">
      <c r="S1535" s="78">
        <v>28922</v>
      </c>
      <c r="T1535" s="29">
        <v>13</v>
      </c>
    </row>
    <row r="1536" spans="19:20" x14ac:dyDescent="0.25">
      <c r="S1536" s="78">
        <v>28923</v>
      </c>
      <c r="T1536" s="29">
        <v>13</v>
      </c>
    </row>
    <row r="1537" spans="19:20" x14ac:dyDescent="0.25">
      <c r="S1537" s="78">
        <v>28924</v>
      </c>
      <c r="T1537" s="29">
        <v>13</v>
      </c>
    </row>
    <row r="1538" spans="19:20" x14ac:dyDescent="0.25">
      <c r="S1538" s="78">
        <v>28925</v>
      </c>
      <c r="T1538" s="29">
        <v>13</v>
      </c>
    </row>
    <row r="1539" spans="19:20" x14ac:dyDescent="0.25">
      <c r="S1539" s="78">
        <v>28926</v>
      </c>
      <c r="T1539" s="29">
        <v>13</v>
      </c>
    </row>
    <row r="1540" spans="19:20" x14ac:dyDescent="0.25">
      <c r="S1540" s="78">
        <v>28927</v>
      </c>
      <c r="T1540" s="29">
        <v>13</v>
      </c>
    </row>
    <row r="1541" spans="19:20" x14ac:dyDescent="0.25">
      <c r="S1541" s="78">
        <v>28928</v>
      </c>
      <c r="T1541" s="29">
        <v>13</v>
      </c>
    </row>
    <row r="1542" spans="19:20" x14ac:dyDescent="0.25">
      <c r="S1542" s="78">
        <v>28929</v>
      </c>
      <c r="T1542" s="29">
        <v>13</v>
      </c>
    </row>
    <row r="1543" spans="19:20" x14ac:dyDescent="0.25">
      <c r="S1543" s="78">
        <v>28930</v>
      </c>
      <c r="T1543" s="29">
        <v>13</v>
      </c>
    </row>
    <row r="1544" spans="19:20" x14ac:dyDescent="0.25">
      <c r="S1544" s="78">
        <v>28931</v>
      </c>
      <c r="T1544" s="29">
        <v>13</v>
      </c>
    </row>
    <row r="1545" spans="19:20" x14ac:dyDescent="0.25">
      <c r="S1545" s="78">
        <v>28932</v>
      </c>
      <c r="T1545" s="29">
        <v>13</v>
      </c>
    </row>
    <row r="1546" spans="19:20" x14ac:dyDescent="0.25">
      <c r="S1546" s="78">
        <v>28933</v>
      </c>
      <c r="T1546" s="29">
        <v>13</v>
      </c>
    </row>
    <row r="1547" spans="19:20" x14ac:dyDescent="0.25">
      <c r="S1547" s="78">
        <v>28934</v>
      </c>
      <c r="T1547" s="29">
        <v>13</v>
      </c>
    </row>
    <row r="1548" spans="19:20" x14ac:dyDescent="0.25">
      <c r="S1548" s="78">
        <v>28935</v>
      </c>
      <c r="T1548" s="29">
        <v>13</v>
      </c>
    </row>
    <row r="1549" spans="19:20" x14ac:dyDescent="0.25">
      <c r="S1549" s="78">
        <v>28936</v>
      </c>
      <c r="T1549" s="29">
        <v>13</v>
      </c>
    </row>
    <row r="1550" spans="19:20" x14ac:dyDescent="0.25">
      <c r="S1550" s="78">
        <v>28937</v>
      </c>
      <c r="T1550" s="29">
        <v>13</v>
      </c>
    </row>
    <row r="1551" spans="19:20" x14ac:dyDescent="0.25">
      <c r="S1551" s="78">
        <v>28938</v>
      </c>
      <c r="T1551" s="29">
        <v>13</v>
      </c>
    </row>
    <row r="1552" spans="19:20" x14ac:dyDescent="0.25">
      <c r="S1552" s="78">
        <v>28939</v>
      </c>
      <c r="T1552" s="29">
        <v>13</v>
      </c>
    </row>
    <row r="1553" spans="19:21" x14ac:dyDescent="0.25">
      <c r="S1553" s="78">
        <v>28940</v>
      </c>
      <c r="T1553" s="29">
        <v>13</v>
      </c>
    </row>
    <row r="1554" spans="19:21" x14ac:dyDescent="0.25">
      <c r="S1554" s="78">
        <v>28941</v>
      </c>
      <c r="T1554" s="29">
        <v>13</v>
      </c>
    </row>
    <row r="1555" spans="19:21" x14ac:dyDescent="0.25">
      <c r="S1555" s="78">
        <v>28942</v>
      </c>
      <c r="T1555" s="29">
        <v>13</v>
      </c>
    </row>
    <row r="1556" spans="19:21" x14ac:dyDescent="0.25">
      <c r="S1556" s="78">
        <v>28943</v>
      </c>
      <c r="T1556" s="29">
        <v>13</v>
      </c>
    </row>
    <row r="1557" spans="19:21" x14ac:dyDescent="0.25">
      <c r="S1557" s="78">
        <v>28944</v>
      </c>
      <c r="T1557" s="29">
        <v>13</v>
      </c>
    </row>
    <row r="1558" spans="19:21" x14ac:dyDescent="0.25">
      <c r="S1558" s="78">
        <v>28945</v>
      </c>
      <c r="T1558" s="29">
        <v>13</v>
      </c>
      <c r="U1558" s="39">
        <f>AVERAGE(T1469:T1558)</f>
        <v>13.022222222222222</v>
      </c>
    </row>
    <row r="1559" spans="19:21" x14ac:dyDescent="0.25">
      <c r="S1559" s="78">
        <v>28946</v>
      </c>
      <c r="T1559" s="29">
        <v>13</v>
      </c>
    </row>
    <row r="1560" spans="19:21" x14ac:dyDescent="0.25">
      <c r="S1560" s="78">
        <v>28947</v>
      </c>
      <c r="T1560" s="29">
        <v>13</v>
      </c>
    </row>
    <row r="1561" spans="19:21" x14ac:dyDescent="0.25">
      <c r="S1561" s="78">
        <v>28948</v>
      </c>
      <c r="T1561" s="29">
        <v>13</v>
      </c>
    </row>
    <row r="1562" spans="19:21" x14ac:dyDescent="0.25">
      <c r="S1562" s="78">
        <v>28949</v>
      </c>
      <c r="T1562" s="29">
        <v>13</v>
      </c>
    </row>
    <row r="1563" spans="19:21" x14ac:dyDescent="0.25">
      <c r="S1563" s="78">
        <v>28950</v>
      </c>
      <c r="T1563" s="29">
        <v>12</v>
      </c>
    </row>
    <row r="1564" spans="19:21" x14ac:dyDescent="0.25">
      <c r="S1564" s="78">
        <v>28951</v>
      </c>
      <c r="T1564" s="29">
        <v>12</v>
      </c>
    </row>
    <row r="1565" spans="19:21" x14ac:dyDescent="0.25">
      <c r="S1565" s="78">
        <v>28952</v>
      </c>
      <c r="T1565" s="29">
        <v>12</v>
      </c>
    </row>
    <row r="1566" spans="19:21" x14ac:dyDescent="0.25">
      <c r="S1566" s="78">
        <v>28953</v>
      </c>
      <c r="T1566" s="29">
        <v>12</v>
      </c>
    </row>
    <row r="1567" spans="19:21" x14ac:dyDescent="0.25">
      <c r="S1567" s="78">
        <v>28954</v>
      </c>
      <c r="T1567" s="29">
        <v>12</v>
      </c>
    </row>
    <row r="1568" spans="19:21" x14ac:dyDescent="0.25">
      <c r="S1568" s="78">
        <v>28955</v>
      </c>
      <c r="T1568" s="29">
        <v>12</v>
      </c>
    </row>
    <row r="1569" spans="19:20" x14ac:dyDescent="0.25">
      <c r="S1569" s="78">
        <v>28956</v>
      </c>
      <c r="T1569" s="29">
        <v>12</v>
      </c>
    </row>
    <row r="1570" spans="19:20" x14ac:dyDescent="0.25">
      <c r="S1570" s="78">
        <v>28957</v>
      </c>
      <c r="T1570" s="29">
        <v>12</v>
      </c>
    </row>
    <row r="1571" spans="19:20" x14ac:dyDescent="0.25">
      <c r="S1571" s="78">
        <v>28958</v>
      </c>
      <c r="T1571" s="29">
        <v>12</v>
      </c>
    </row>
    <row r="1572" spans="19:20" x14ac:dyDescent="0.25">
      <c r="S1572" s="78">
        <v>28959</v>
      </c>
      <c r="T1572" s="29">
        <v>12</v>
      </c>
    </row>
    <row r="1573" spans="19:20" x14ac:dyDescent="0.25">
      <c r="S1573" s="78">
        <v>28960</v>
      </c>
      <c r="T1573" s="29">
        <v>12</v>
      </c>
    </row>
    <row r="1574" spans="19:20" x14ac:dyDescent="0.25">
      <c r="S1574" s="78">
        <v>28961</v>
      </c>
      <c r="T1574" s="29">
        <v>12</v>
      </c>
    </row>
    <row r="1575" spans="19:20" x14ac:dyDescent="0.25">
      <c r="S1575" s="78">
        <v>28962</v>
      </c>
      <c r="T1575" s="29">
        <v>12</v>
      </c>
    </row>
    <row r="1576" spans="19:20" x14ac:dyDescent="0.25">
      <c r="S1576" s="78">
        <v>28963</v>
      </c>
      <c r="T1576" s="29">
        <v>12</v>
      </c>
    </row>
    <row r="1577" spans="19:20" x14ac:dyDescent="0.25">
      <c r="S1577" s="78">
        <v>28964</v>
      </c>
      <c r="T1577" s="29">
        <v>12</v>
      </c>
    </row>
    <row r="1578" spans="19:20" x14ac:dyDescent="0.25">
      <c r="S1578" s="78">
        <v>28965</v>
      </c>
      <c r="T1578" s="29">
        <v>12</v>
      </c>
    </row>
    <row r="1579" spans="19:20" x14ac:dyDescent="0.25">
      <c r="S1579" s="78">
        <v>28966</v>
      </c>
      <c r="T1579" s="29">
        <v>12</v>
      </c>
    </row>
    <row r="1580" spans="19:20" x14ac:dyDescent="0.25">
      <c r="S1580" s="78">
        <v>28967</v>
      </c>
      <c r="T1580" s="29">
        <v>12</v>
      </c>
    </row>
    <row r="1581" spans="19:20" x14ac:dyDescent="0.25">
      <c r="S1581" s="78">
        <v>28968</v>
      </c>
      <c r="T1581" s="29">
        <v>12</v>
      </c>
    </row>
    <row r="1582" spans="19:20" x14ac:dyDescent="0.25">
      <c r="S1582" s="78">
        <v>28969</v>
      </c>
      <c r="T1582" s="29">
        <v>12</v>
      </c>
    </row>
    <row r="1583" spans="19:20" x14ac:dyDescent="0.25">
      <c r="S1583" s="78">
        <v>28970</v>
      </c>
      <c r="T1583" s="29">
        <v>12</v>
      </c>
    </row>
    <row r="1584" spans="19:20" x14ac:dyDescent="0.25">
      <c r="S1584" s="78">
        <v>28971</v>
      </c>
      <c r="T1584" s="29">
        <v>12</v>
      </c>
    </row>
    <row r="1585" spans="19:20" x14ac:dyDescent="0.25">
      <c r="S1585" s="78">
        <v>28972</v>
      </c>
      <c r="T1585" s="29">
        <v>12</v>
      </c>
    </row>
    <row r="1586" spans="19:20" x14ac:dyDescent="0.25">
      <c r="S1586" s="78">
        <v>28973</v>
      </c>
      <c r="T1586" s="29">
        <v>12</v>
      </c>
    </row>
    <row r="1587" spans="19:20" x14ac:dyDescent="0.25">
      <c r="S1587" s="78">
        <v>28974</v>
      </c>
      <c r="T1587" s="29">
        <v>12</v>
      </c>
    </row>
    <row r="1588" spans="19:20" x14ac:dyDescent="0.25">
      <c r="S1588" s="78">
        <v>28975</v>
      </c>
      <c r="T1588" s="29">
        <v>12</v>
      </c>
    </row>
    <row r="1589" spans="19:20" x14ac:dyDescent="0.25">
      <c r="S1589" s="78">
        <v>28976</v>
      </c>
      <c r="T1589" s="29">
        <v>12</v>
      </c>
    </row>
    <row r="1590" spans="19:20" x14ac:dyDescent="0.25">
      <c r="S1590" s="78">
        <v>28977</v>
      </c>
      <c r="T1590" s="29">
        <v>12</v>
      </c>
    </row>
    <row r="1591" spans="19:20" x14ac:dyDescent="0.25">
      <c r="S1591" s="78">
        <v>28978</v>
      </c>
      <c r="T1591" s="29">
        <v>12</v>
      </c>
    </row>
    <row r="1592" spans="19:20" x14ac:dyDescent="0.25">
      <c r="S1592" s="78">
        <v>28979</v>
      </c>
      <c r="T1592" s="29">
        <v>12</v>
      </c>
    </row>
    <row r="1593" spans="19:20" x14ac:dyDescent="0.25">
      <c r="S1593" s="78">
        <v>28980</v>
      </c>
      <c r="T1593" s="29">
        <v>12</v>
      </c>
    </row>
    <row r="1594" spans="19:20" x14ac:dyDescent="0.25">
      <c r="S1594" s="78">
        <v>28981</v>
      </c>
      <c r="T1594" s="29">
        <v>12</v>
      </c>
    </row>
    <row r="1595" spans="19:20" x14ac:dyDescent="0.25">
      <c r="S1595" s="78">
        <v>28982</v>
      </c>
      <c r="T1595" s="29">
        <v>12</v>
      </c>
    </row>
    <row r="1596" spans="19:20" x14ac:dyDescent="0.25">
      <c r="S1596" s="78">
        <v>28983</v>
      </c>
      <c r="T1596" s="29">
        <v>12</v>
      </c>
    </row>
    <row r="1597" spans="19:20" x14ac:dyDescent="0.25">
      <c r="S1597" s="78">
        <v>28984</v>
      </c>
      <c r="T1597" s="29">
        <v>12</v>
      </c>
    </row>
    <row r="1598" spans="19:20" x14ac:dyDescent="0.25">
      <c r="S1598" s="78">
        <v>28985</v>
      </c>
      <c r="T1598" s="29">
        <v>12</v>
      </c>
    </row>
    <row r="1599" spans="19:20" x14ac:dyDescent="0.25">
      <c r="S1599" s="78">
        <v>28986</v>
      </c>
      <c r="T1599" s="29">
        <v>12</v>
      </c>
    </row>
    <row r="1600" spans="19:20" x14ac:dyDescent="0.25">
      <c r="S1600" s="78">
        <v>28987</v>
      </c>
      <c r="T1600" s="29">
        <v>12</v>
      </c>
    </row>
    <row r="1601" spans="19:20" x14ac:dyDescent="0.25">
      <c r="S1601" s="78">
        <v>28988</v>
      </c>
      <c r="T1601" s="29">
        <v>12</v>
      </c>
    </row>
    <row r="1602" spans="19:20" x14ac:dyDescent="0.25">
      <c r="S1602" s="78">
        <v>28989</v>
      </c>
      <c r="T1602" s="29">
        <v>12</v>
      </c>
    </row>
    <row r="1603" spans="19:20" x14ac:dyDescent="0.25">
      <c r="S1603" s="78">
        <v>28990</v>
      </c>
      <c r="T1603" s="29">
        <v>12</v>
      </c>
    </row>
    <row r="1604" spans="19:20" x14ac:dyDescent="0.25">
      <c r="S1604" s="78">
        <v>28991</v>
      </c>
      <c r="T1604" s="29">
        <v>12</v>
      </c>
    </row>
    <row r="1605" spans="19:20" x14ac:dyDescent="0.25">
      <c r="S1605" s="78">
        <v>28992</v>
      </c>
      <c r="T1605" s="29">
        <v>12</v>
      </c>
    </row>
    <row r="1606" spans="19:20" x14ac:dyDescent="0.25">
      <c r="S1606" s="78">
        <v>28993</v>
      </c>
      <c r="T1606" s="29">
        <v>12</v>
      </c>
    </row>
    <row r="1607" spans="19:20" x14ac:dyDescent="0.25">
      <c r="S1607" s="78">
        <v>28994</v>
      </c>
      <c r="T1607" s="29">
        <v>12</v>
      </c>
    </row>
    <row r="1608" spans="19:20" x14ac:dyDescent="0.25">
      <c r="S1608" s="78">
        <v>28995</v>
      </c>
      <c r="T1608" s="29">
        <v>12</v>
      </c>
    </row>
    <row r="1609" spans="19:20" x14ac:dyDescent="0.25">
      <c r="S1609" s="78">
        <v>28996</v>
      </c>
      <c r="T1609" s="29">
        <v>12</v>
      </c>
    </row>
    <row r="1610" spans="19:20" x14ac:dyDescent="0.25">
      <c r="S1610" s="78">
        <v>28997</v>
      </c>
      <c r="T1610" s="29">
        <v>12</v>
      </c>
    </row>
    <row r="1611" spans="19:20" x14ac:dyDescent="0.25">
      <c r="S1611" s="78">
        <v>28998</v>
      </c>
      <c r="T1611" s="29">
        <v>12</v>
      </c>
    </row>
    <row r="1612" spans="19:20" x14ac:dyDescent="0.25">
      <c r="S1612" s="78">
        <v>28999</v>
      </c>
      <c r="T1612" s="29">
        <v>12</v>
      </c>
    </row>
    <row r="1613" spans="19:20" x14ac:dyDescent="0.25">
      <c r="S1613" s="78">
        <v>29000</v>
      </c>
      <c r="T1613" s="29">
        <v>12</v>
      </c>
    </row>
    <row r="1614" spans="19:20" x14ac:dyDescent="0.25">
      <c r="S1614" s="78">
        <v>29001</v>
      </c>
      <c r="T1614" s="29">
        <v>12</v>
      </c>
    </row>
    <row r="1615" spans="19:20" x14ac:dyDescent="0.25">
      <c r="S1615" s="78">
        <v>29002</v>
      </c>
      <c r="T1615" s="29">
        <v>12</v>
      </c>
    </row>
    <row r="1616" spans="19:20" x14ac:dyDescent="0.25">
      <c r="S1616" s="78">
        <v>29003</v>
      </c>
      <c r="T1616" s="29">
        <v>12</v>
      </c>
    </row>
    <row r="1617" spans="19:20" x14ac:dyDescent="0.25">
      <c r="S1617" s="78">
        <v>29004</v>
      </c>
      <c r="T1617" s="29">
        <v>12</v>
      </c>
    </row>
    <row r="1618" spans="19:20" x14ac:dyDescent="0.25">
      <c r="S1618" s="78">
        <v>29005</v>
      </c>
      <c r="T1618" s="29">
        <v>12</v>
      </c>
    </row>
    <row r="1619" spans="19:20" x14ac:dyDescent="0.25">
      <c r="S1619" s="78">
        <v>29006</v>
      </c>
      <c r="T1619" s="29">
        <v>12</v>
      </c>
    </row>
    <row r="1620" spans="19:20" x14ac:dyDescent="0.25">
      <c r="S1620" s="78">
        <v>29007</v>
      </c>
      <c r="T1620" s="29">
        <v>12</v>
      </c>
    </row>
    <row r="1621" spans="19:20" x14ac:dyDescent="0.25">
      <c r="S1621" s="78">
        <v>29008</v>
      </c>
      <c r="T1621" s="29">
        <v>12</v>
      </c>
    </row>
    <row r="1622" spans="19:20" x14ac:dyDescent="0.25">
      <c r="S1622" s="78">
        <v>29009</v>
      </c>
      <c r="T1622" s="29">
        <v>12</v>
      </c>
    </row>
    <row r="1623" spans="19:20" x14ac:dyDescent="0.25">
      <c r="S1623" s="78">
        <v>29010</v>
      </c>
      <c r="T1623" s="29">
        <v>12</v>
      </c>
    </row>
    <row r="1624" spans="19:20" x14ac:dyDescent="0.25">
      <c r="S1624" s="78">
        <v>29011</v>
      </c>
      <c r="T1624" s="29">
        <v>12</v>
      </c>
    </row>
    <row r="1625" spans="19:20" x14ac:dyDescent="0.25">
      <c r="S1625" s="78">
        <v>29012</v>
      </c>
      <c r="T1625" s="29">
        <v>12</v>
      </c>
    </row>
    <row r="1626" spans="19:20" x14ac:dyDescent="0.25">
      <c r="S1626" s="78">
        <v>29013</v>
      </c>
      <c r="T1626" s="29">
        <v>12</v>
      </c>
    </row>
    <row r="1627" spans="19:20" x14ac:dyDescent="0.25">
      <c r="S1627" s="78">
        <v>29014</v>
      </c>
      <c r="T1627" s="29">
        <v>12</v>
      </c>
    </row>
    <row r="1628" spans="19:20" x14ac:dyDescent="0.25">
      <c r="S1628" s="78">
        <v>29015</v>
      </c>
      <c r="T1628" s="29">
        <v>12</v>
      </c>
    </row>
    <row r="1629" spans="19:20" x14ac:dyDescent="0.25">
      <c r="S1629" s="78">
        <v>29016</v>
      </c>
      <c r="T1629" s="29">
        <v>12</v>
      </c>
    </row>
    <row r="1630" spans="19:20" x14ac:dyDescent="0.25">
      <c r="S1630" s="78">
        <v>29017</v>
      </c>
      <c r="T1630" s="29">
        <v>12</v>
      </c>
    </row>
    <row r="1631" spans="19:20" x14ac:dyDescent="0.25">
      <c r="S1631" s="78">
        <v>29018</v>
      </c>
      <c r="T1631" s="29">
        <v>12</v>
      </c>
    </row>
    <row r="1632" spans="19:20" x14ac:dyDescent="0.25">
      <c r="S1632" s="78">
        <v>29019</v>
      </c>
      <c r="T1632" s="29">
        <v>14</v>
      </c>
    </row>
    <row r="1633" spans="19:20" x14ac:dyDescent="0.25">
      <c r="S1633" s="78">
        <v>29020</v>
      </c>
      <c r="T1633" s="29">
        <v>14</v>
      </c>
    </row>
    <row r="1634" spans="19:20" x14ac:dyDescent="0.25">
      <c r="S1634" s="78">
        <v>29021</v>
      </c>
      <c r="T1634" s="29">
        <v>14</v>
      </c>
    </row>
    <row r="1635" spans="19:20" x14ac:dyDescent="0.25">
      <c r="S1635" s="78">
        <v>29022</v>
      </c>
      <c r="T1635" s="29">
        <v>14</v>
      </c>
    </row>
    <row r="1636" spans="19:20" x14ac:dyDescent="0.25">
      <c r="S1636" s="78">
        <v>29023</v>
      </c>
      <c r="T1636" s="29">
        <v>14</v>
      </c>
    </row>
    <row r="1637" spans="19:20" x14ac:dyDescent="0.25">
      <c r="S1637" s="78">
        <v>29024</v>
      </c>
      <c r="T1637" s="29">
        <v>14</v>
      </c>
    </row>
    <row r="1638" spans="19:20" x14ac:dyDescent="0.25">
      <c r="S1638" s="78">
        <v>29025</v>
      </c>
      <c r="T1638" s="29">
        <v>14</v>
      </c>
    </row>
    <row r="1639" spans="19:20" x14ac:dyDescent="0.25">
      <c r="S1639" s="78">
        <v>29026</v>
      </c>
      <c r="T1639" s="29">
        <v>14</v>
      </c>
    </row>
    <row r="1640" spans="19:20" x14ac:dyDescent="0.25">
      <c r="S1640" s="78">
        <v>29027</v>
      </c>
      <c r="T1640" s="29">
        <v>14</v>
      </c>
    </row>
    <row r="1641" spans="19:20" x14ac:dyDescent="0.25">
      <c r="S1641" s="78">
        <v>29028</v>
      </c>
      <c r="T1641" s="29">
        <v>14</v>
      </c>
    </row>
    <row r="1642" spans="19:20" x14ac:dyDescent="0.25">
      <c r="S1642" s="78">
        <v>29029</v>
      </c>
      <c r="T1642" s="29">
        <v>14</v>
      </c>
    </row>
    <row r="1643" spans="19:20" x14ac:dyDescent="0.25">
      <c r="S1643" s="78">
        <v>29030</v>
      </c>
      <c r="T1643" s="29">
        <v>14</v>
      </c>
    </row>
    <row r="1644" spans="19:20" x14ac:dyDescent="0.25">
      <c r="S1644" s="78">
        <v>29031</v>
      </c>
      <c r="T1644" s="29">
        <v>14</v>
      </c>
    </row>
    <row r="1645" spans="19:20" x14ac:dyDescent="0.25">
      <c r="S1645" s="78">
        <v>29032</v>
      </c>
      <c r="T1645" s="29">
        <v>14</v>
      </c>
    </row>
    <row r="1646" spans="19:20" x14ac:dyDescent="0.25">
      <c r="S1646" s="78">
        <v>29033</v>
      </c>
      <c r="T1646" s="29">
        <v>14</v>
      </c>
    </row>
    <row r="1647" spans="19:20" x14ac:dyDescent="0.25">
      <c r="S1647" s="78">
        <v>29034</v>
      </c>
      <c r="T1647" s="29">
        <v>14</v>
      </c>
    </row>
    <row r="1648" spans="19:20" x14ac:dyDescent="0.25">
      <c r="S1648" s="78">
        <v>29035</v>
      </c>
      <c r="T1648" s="29">
        <v>14</v>
      </c>
    </row>
    <row r="1649" spans="19:21" x14ac:dyDescent="0.25">
      <c r="S1649" s="78">
        <v>29036</v>
      </c>
      <c r="T1649" s="29">
        <v>14</v>
      </c>
      <c r="U1649" s="40">
        <f>AVERAGE(T1559:T1649)</f>
        <v>12.43956043956044</v>
      </c>
    </row>
    <row r="1650" spans="19:21" x14ac:dyDescent="0.25">
      <c r="S1650" s="78">
        <v>29037</v>
      </c>
      <c r="T1650" s="29">
        <v>14</v>
      </c>
    </row>
    <row r="1651" spans="19:21" x14ac:dyDescent="0.25">
      <c r="S1651" s="78">
        <v>29038</v>
      </c>
      <c r="T1651" s="29">
        <v>14</v>
      </c>
    </row>
    <row r="1652" spans="19:21" x14ac:dyDescent="0.25">
      <c r="S1652" s="78">
        <v>29039</v>
      </c>
      <c r="T1652" s="29">
        <v>14</v>
      </c>
    </row>
    <row r="1653" spans="19:21" x14ac:dyDescent="0.25">
      <c r="S1653" s="78">
        <v>29040</v>
      </c>
      <c r="T1653" s="29">
        <v>14</v>
      </c>
    </row>
    <row r="1654" spans="19:21" x14ac:dyDescent="0.25">
      <c r="S1654" s="78">
        <v>29041</v>
      </c>
      <c r="T1654" s="29">
        <v>14</v>
      </c>
    </row>
    <row r="1655" spans="19:21" x14ac:dyDescent="0.25">
      <c r="S1655" s="78">
        <v>29042</v>
      </c>
      <c r="T1655" s="29">
        <v>14</v>
      </c>
    </row>
    <row r="1656" spans="19:21" x14ac:dyDescent="0.25">
      <c r="S1656" s="78">
        <v>29043</v>
      </c>
      <c r="T1656" s="29">
        <v>14</v>
      </c>
    </row>
    <row r="1657" spans="19:21" x14ac:dyDescent="0.25">
      <c r="S1657" s="78">
        <v>29044</v>
      </c>
      <c r="T1657" s="29">
        <v>14</v>
      </c>
    </row>
    <row r="1658" spans="19:21" x14ac:dyDescent="0.25">
      <c r="S1658" s="78">
        <v>29045</v>
      </c>
      <c r="T1658" s="29">
        <v>14</v>
      </c>
    </row>
    <row r="1659" spans="19:21" x14ac:dyDescent="0.25">
      <c r="S1659" s="78">
        <v>29046</v>
      </c>
      <c r="T1659" s="29">
        <v>14</v>
      </c>
    </row>
    <row r="1660" spans="19:21" x14ac:dyDescent="0.25">
      <c r="S1660" s="78">
        <v>29047</v>
      </c>
      <c r="T1660" s="29">
        <v>14</v>
      </c>
    </row>
    <row r="1661" spans="19:21" x14ac:dyDescent="0.25">
      <c r="S1661" s="78">
        <v>29048</v>
      </c>
      <c r="T1661" s="29">
        <v>14</v>
      </c>
    </row>
    <row r="1662" spans="19:21" x14ac:dyDescent="0.25">
      <c r="S1662" s="78">
        <v>29049</v>
      </c>
      <c r="T1662" s="29">
        <v>14</v>
      </c>
    </row>
    <row r="1663" spans="19:21" x14ac:dyDescent="0.25">
      <c r="S1663" s="78">
        <v>29050</v>
      </c>
      <c r="T1663" s="29">
        <v>14</v>
      </c>
    </row>
    <row r="1664" spans="19:21" x14ac:dyDescent="0.25">
      <c r="S1664" s="78">
        <v>29051</v>
      </c>
      <c r="T1664" s="29">
        <v>14</v>
      </c>
    </row>
    <row r="1665" spans="19:20" x14ac:dyDescent="0.25">
      <c r="S1665" s="78">
        <v>29052</v>
      </c>
      <c r="T1665" s="29">
        <v>14</v>
      </c>
    </row>
    <row r="1666" spans="19:20" x14ac:dyDescent="0.25">
      <c r="S1666" s="78">
        <v>29053</v>
      </c>
      <c r="T1666" s="29">
        <v>14</v>
      </c>
    </row>
    <row r="1667" spans="19:20" x14ac:dyDescent="0.25">
      <c r="S1667" s="78">
        <v>29054</v>
      </c>
      <c r="T1667" s="29">
        <v>14</v>
      </c>
    </row>
    <row r="1668" spans="19:20" x14ac:dyDescent="0.25">
      <c r="S1668" s="78">
        <v>29055</v>
      </c>
      <c r="T1668" s="29">
        <v>14</v>
      </c>
    </row>
    <row r="1669" spans="19:20" x14ac:dyDescent="0.25">
      <c r="S1669" s="78">
        <v>29056</v>
      </c>
      <c r="T1669" s="29">
        <v>14</v>
      </c>
    </row>
    <row r="1670" spans="19:20" x14ac:dyDescent="0.25">
      <c r="S1670" s="78">
        <v>29057</v>
      </c>
      <c r="T1670" s="29">
        <v>14</v>
      </c>
    </row>
    <row r="1671" spans="19:20" x14ac:dyDescent="0.25">
      <c r="S1671" s="78">
        <v>29058</v>
      </c>
      <c r="T1671" s="29">
        <v>14</v>
      </c>
    </row>
    <row r="1672" spans="19:20" x14ac:dyDescent="0.25">
      <c r="S1672" s="78">
        <v>29059</v>
      </c>
      <c r="T1672" s="29">
        <v>14</v>
      </c>
    </row>
    <row r="1673" spans="19:20" x14ac:dyDescent="0.25">
      <c r="S1673" s="78">
        <v>29060</v>
      </c>
      <c r="T1673" s="29">
        <v>14</v>
      </c>
    </row>
    <row r="1674" spans="19:20" x14ac:dyDescent="0.25">
      <c r="S1674" s="78">
        <v>29061</v>
      </c>
      <c r="T1674" s="29">
        <v>14</v>
      </c>
    </row>
    <row r="1675" spans="19:20" x14ac:dyDescent="0.25">
      <c r="S1675" s="78">
        <v>29062</v>
      </c>
      <c r="T1675" s="29">
        <v>14</v>
      </c>
    </row>
    <row r="1676" spans="19:20" x14ac:dyDescent="0.25">
      <c r="S1676" s="78">
        <v>29063</v>
      </c>
      <c r="T1676" s="29">
        <v>14</v>
      </c>
    </row>
    <row r="1677" spans="19:20" x14ac:dyDescent="0.25">
      <c r="S1677" s="78">
        <v>29064</v>
      </c>
      <c r="T1677" s="29">
        <v>14</v>
      </c>
    </row>
    <row r="1678" spans="19:20" x14ac:dyDescent="0.25">
      <c r="S1678" s="78">
        <v>29065</v>
      </c>
      <c r="T1678" s="29">
        <v>14</v>
      </c>
    </row>
    <row r="1679" spans="19:20" x14ac:dyDescent="0.25">
      <c r="S1679" s="78">
        <v>29066</v>
      </c>
      <c r="T1679" s="29">
        <v>14</v>
      </c>
    </row>
    <row r="1680" spans="19:20" x14ac:dyDescent="0.25">
      <c r="S1680" s="78">
        <v>29067</v>
      </c>
      <c r="T1680" s="29">
        <v>14</v>
      </c>
    </row>
    <row r="1681" spans="19:20" x14ac:dyDescent="0.25">
      <c r="S1681" s="78">
        <v>29068</v>
      </c>
      <c r="T1681" s="29">
        <v>14</v>
      </c>
    </row>
    <row r="1682" spans="19:20" x14ac:dyDescent="0.25">
      <c r="S1682" s="78">
        <v>29069</v>
      </c>
      <c r="T1682" s="29">
        <v>14</v>
      </c>
    </row>
    <row r="1683" spans="19:20" x14ac:dyDescent="0.25">
      <c r="S1683" s="78">
        <v>29070</v>
      </c>
      <c r="T1683" s="29">
        <v>14</v>
      </c>
    </row>
    <row r="1684" spans="19:20" x14ac:dyDescent="0.25">
      <c r="S1684" s="78">
        <v>29071</v>
      </c>
      <c r="T1684" s="29">
        <v>14</v>
      </c>
    </row>
    <row r="1685" spans="19:20" x14ac:dyDescent="0.25">
      <c r="S1685" s="78">
        <v>29072</v>
      </c>
      <c r="T1685" s="29">
        <v>14</v>
      </c>
    </row>
    <row r="1686" spans="19:20" x14ac:dyDescent="0.25">
      <c r="S1686" s="78">
        <v>29073</v>
      </c>
      <c r="T1686" s="29">
        <v>14</v>
      </c>
    </row>
    <row r="1687" spans="19:20" x14ac:dyDescent="0.25">
      <c r="S1687" s="78">
        <v>29074</v>
      </c>
      <c r="T1687" s="29">
        <v>14</v>
      </c>
    </row>
    <row r="1688" spans="19:20" x14ac:dyDescent="0.25">
      <c r="S1688" s="78">
        <v>29075</v>
      </c>
      <c r="T1688" s="29">
        <v>14</v>
      </c>
    </row>
    <row r="1689" spans="19:20" x14ac:dyDescent="0.25">
      <c r="S1689" s="78">
        <v>29076</v>
      </c>
      <c r="T1689" s="29">
        <v>14</v>
      </c>
    </row>
    <row r="1690" spans="19:20" x14ac:dyDescent="0.25">
      <c r="S1690" s="78">
        <v>29077</v>
      </c>
      <c r="T1690" s="29">
        <v>14</v>
      </c>
    </row>
    <row r="1691" spans="19:20" x14ac:dyDescent="0.25">
      <c r="S1691" s="78">
        <v>29078</v>
      </c>
      <c r="T1691" s="29">
        <v>14</v>
      </c>
    </row>
    <row r="1692" spans="19:20" x14ac:dyDescent="0.25">
      <c r="S1692" s="78">
        <v>29079</v>
      </c>
      <c r="T1692" s="29">
        <v>14</v>
      </c>
    </row>
    <row r="1693" spans="19:20" x14ac:dyDescent="0.25">
      <c r="S1693" s="78">
        <v>29080</v>
      </c>
      <c r="T1693" s="29">
        <v>14</v>
      </c>
    </row>
    <row r="1694" spans="19:20" x14ac:dyDescent="0.25">
      <c r="S1694" s="78">
        <v>29081</v>
      </c>
      <c r="T1694" s="29">
        <v>14</v>
      </c>
    </row>
    <row r="1695" spans="19:20" x14ac:dyDescent="0.25">
      <c r="S1695" s="78">
        <v>29082</v>
      </c>
      <c r="T1695" s="29">
        <v>14</v>
      </c>
    </row>
    <row r="1696" spans="19:20" x14ac:dyDescent="0.25">
      <c r="S1696" s="78">
        <v>29083</v>
      </c>
      <c r="T1696" s="29">
        <v>14</v>
      </c>
    </row>
    <row r="1697" spans="19:20" x14ac:dyDescent="0.25">
      <c r="S1697" s="78">
        <v>29084</v>
      </c>
      <c r="T1697" s="29">
        <v>14</v>
      </c>
    </row>
    <row r="1698" spans="19:20" x14ac:dyDescent="0.25">
      <c r="S1698" s="78">
        <v>29085</v>
      </c>
      <c r="T1698" s="29">
        <v>14</v>
      </c>
    </row>
    <row r="1699" spans="19:20" x14ac:dyDescent="0.25">
      <c r="S1699" s="78">
        <v>29086</v>
      </c>
      <c r="T1699" s="29">
        <v>14</v>
      </c>
    </row>
    <row r="1700" spans="19:20" x14ac:dyDescent="0.25">
      <c r="S1700" s="78">
        <v>29087</v>
      </c>
      <c r="T1700" s="29">
        <v>14</v>
      </c>
    </row>
    <row r="1701" spans="19:20" x14ac:dyDescent="0.25">
      <c r="S1701" s="78">
        <v>29088</v>
      </c>
      <c r="T1701" s="29">
        <v>14</v>
      </c>
    </row>
    <row r="1702" spans="19:20" x14ac:dyDescent="0.25">
      <c r="S1702" s="78">
        <v>29089</v>
      </c>
      <c r="T1702" s="29">
        <v>14</v>
      </c>
    </row>
    <row r="1703" spans="19:20" x14ac:dyDescent="0.25">
      <c r="S1703" s="78">
        <v>29090</v>
      </c>
      <c r="T1703" s="29">
        <v>14</v>
      </c>
    </row>
    <row r="1704" spans="19:20" x14ac:dyDescent="0.25">
      <c r="S1704" s="78">
        <v>29091</v>
      </c>
      <c r="T1704" s="29">
        <v>14</v>
      </c>
    </row>
    <row r="1705" spans="19:20" x14ac:dyDescent="0.25">
      <c r="S1705" s="78">
        <v>29092</v>
      </c>
      <c r="T1705" s="29">
        <v>14</v>
      </c>
    </row>
    <row r="1706" spans="19:20" x14ac:dyDescent="0.25">
      <c r="S1706" s="78">
        <v>29093</v>
      </c>
      <c r="T1706" s="29">
        <v>14</v>
      </c>
    </row>
    <row r="1707" spans="19:20" x14ac:dyDescent="0.25">
      <c r="S1707" s="78">
        <v>29094</v>
      </c>
      <c r="T1707" s="29">
        <v>14</v>
      </c>
    </row>
    <row r="1708" spans="19:20" x14ac:dyDescent="0.25">
      <c r="S1708" s="78">
        <v>29095</v>
      </c>
      <c r="T1708" s="29">
        <v>14</v>
      </c>
    </row>
    <row r="1709" spans="19:20" x14ac:dyDescent="0.25">
      <c r="S1709" s="78">
        <v>29096</v>
      </c>
      <c r="T1709" s="29">
        <v>14</v>
      </c>
    </row>
    <row r="1710" spans="19:20" x14ac:dyDescent="0.25">
      <c r="S1710" s="78">
        <v>29097</v>
      </c>
      <c r="T1710" s="29">
        <v>14</v>
      </c>
    </row>
    <row r="1711" spans="19:20" x14ac:dyDescent="0.25">
      <c r="S1711" s="78">
        <v>29098</v>
      </c>
      <c r="T1711" s="29">
        <v>14</v>
      </c>
    </row>
    <row r="1712" spans="19:20" x14ac:dyDescent="0.25">
      <c r="S1712" s="78">
        <v>29099</v>
      </c>
      <c r="T1712" s="29">
        <v>14</v>
      </c>
    </row>
    <row r="1713" spans="19:20" x14ac:dyDescent="0.25">
      <c r="S1713" s="78">
        <v>29100</v>
      </c>
      <c r="T1713" s="29">
        <v>14</v>
      </c>
    </row>
    <row r="1714" spans="19:20" x14ac:dyDescent="0.25">
      <c r="S1714" s="78">
        <v>29101</v>
      </c>
      <c r="T1714" s="29">
        <v>14</v>
      </c>
    </row>
    <row r="1715" spans="19:20" x14ac:dyDescent="0.25">
      <c r="S1715" s="78">
        <v>29102</v>
      </c>
      <c r="T1715" s="29">
        <v>14</v>
      </c>
    </row>
    <row r="1716" spans="19:20" x14ac:dyDescent="0.25">
      <c r="S1716" s="78">
        <v>29103</v>
      </c>
      <c r="T1716" s="29">
        <v>14</v>
      </c>
    </row>
    <row r="1717" spans="19:20" x14ac:dyDescent="0.25">
      <c r="S1717" s="78">
        <v>29104</v>
      </c>
      <c r="T1717" s="29">
        <v>14</v>
      </c>
    </row>
    <row r="1718" spans="19:20" x14ac:dyDescent="0.25">
      <c r="S1718" s="78">
        <v>29105</v>
      </c>
      <c r="T1718" s="29">
        <v>14</v>
      </c>
    </row>
    <row r="1719" spans="19:20" x14ac:dyDescent="0.25">
      <c r="S1719" s="78">
        <v>29106</v>
      </c>
      <c r="T1719" s="29">
        <v>14</v>
      </c>
    </row>
    <row r="1720" spans="19:20" x14ac:dyDescent="0.25">
      <c r="S1720" s="78">
        <v>29107</v>
      </c>
      <c r="T1720" s="29">
        <v>14</v>
      </c>
    </row>
    <row r="1721" spans="19:20" x14ac:dyDescent="0.25">
      <c r="S1721" s="78">
        <v>29108</v>
      </c>
      <c r="T1721" s="29">
        <v>14</v>
      </c>
    </row>
    <row r="1722" spans="19:20" x14ac:dyDescent="0.25">
      <c r="S1722" s="78">
        <v>29109</v>
      </c>
      <c r="T1722" s="29">
        <v>14</v>
      </c>
    </row>
    <row r="1723" spans="19:20" x14ac:dyDescent="0.25">
      <c r="S1723" s="78">
        <v>29110</v>
      </c>
      <c r="T1723" s="29">
        <v>14</v>
      </c>
    </row>
    <row r="1724" spans="19:20" x14ac:dyDescent="0.25">
      <c r="S1724" s="78">
        <v>29111</v>
      </c>
      <c r="T1724" s="29">
        <v>14</v>
      </c>
    </row>
    <row r="1725" spans="19:20" x14ac:dyDescent="0.25">
      <c r="S1725" s="78">
        <v>29112</v>
      </c>
      <c r="T1725" s="29">
        <v>14</v>
      </c>
    </row>
    <row r="1726" spans="19:20" x14ac:dyDescent="0.25">
      <c r="S1726" s="78">
        <v>29113</v>
      </c>
      <c r="T1726" s="29">
        <v>14</v>
      </c>
    </row>
    <row r="1727" spans="19:20" x14ac:dyDescent="0.25">
      <c r="S1727" s="78">
        <v>29114</v>
      </c>
      <c r="T1727" s="29">
        <v>14</v>
      </c>
    </row>
    <row r="1728" spans="19:20" x14ac:dyDescent="0.25">
      <c r="S1728" s="78">
        <v>29115</v>
      </c>
      <c r="T1728" s="29">
        <v>14</v>
      </c>
    </row>
    <row r="1729" spans="19:21" x14ac:dyDescent="0.25">
      <c r="S1729" s="78">
        <v>29116</v>
      </c>
      <c r="T1729" s="29">
        <v>14</v>
      </c>
    </row>
    <row r="1730" spans="19:21" x14ac:dyDescent="0.25">
      <c r="S1730" s="78">
        <v>29117</v>
      </c>
      <c r="T1730" s="29">
        <v>14</v>
      </c>
    </row>
    <row r="1731" spans="19:21" x14ac:dyDescent="0.25">
      <c r="S1731" s="78">
        <v>29118</v>
      </c>
      <c r="T1731" s="29">
        <v>14</v>
      </c>
    </row>
    <row r="1732" spans="19:21" x14ac:dyDescent="0.25">
      <c r="S1732" s="78">
        <v>29119</v>
      </c>
      <c r="T1732" s="29">
        <v>14</v>
      </c>
    </row>
    <row r="1733" spans="19:21" x14ac:dyDescent="0.25">
      <c r="S1733" s="78">
        <v>29120</v>
      </c>
      <c r="T1733" s="29">
        <v>14</v>
      </c>
    </row>
    <row r="1734" spans="19:21" x14ac:dyDescent="0.25">
      <c r="S1734" s="78">
        <v>29121</v>
      </c>
      <c r="T1734" s="29">
        <v>14</v>
      </c>
    </row>
    <row r="1735" spans="19:21" x14ac:dyDescent="0.25">
      <c r="S1735" s="78">
        <v>29122</v>
      </c>
      <c r="T1735" s="29">
        <v>14</v>
      </c>
    </row>
    <row r="1736" spans="19:21" x14ac:dyDescent="0.25">
      <c r="S1736" s="78">
        <v>29123</v>
      </c>
      <c r="T1736" s="29">
        <v>14</v>
      </c>
    </row>
    <row r="1737" spans="19:21" x14ac:dyDescent="0.25">
      <c r="S1737" s="78">
        <v>29124</v>
      </c>
      <c r="T1737" s="29">
        <v>14</v>
      </c>
    </row>
    <row r="1738" spans="19:21" x14ac:dyDescent="0.25">
      <c r="S1738" s="78">
        <v>29125</v>
      </c>
      <c r="T1738" s="29">
        <v>14</v>
      </c>
    </row>
    <row r="1739" spans="19:21" x14ac:dyDescent="0.25">
      <c r="S1739" s="78">
        <v>29126</v>
      </c>
      <c r="T1739" s="29">
        <v>14</v>
      </c>
    </row>
    <row r="1740" spans="19:21" x14ac:dyDescent="0.25">
      <c r="S1740" s="78">
        <v>29127</v>
      </c>
      <c r="T1740" s="29">
        <v>14</v>
      </c>
    </row>
    <row r="1741" spans="19:21" x14ac:dyDescent="0.25">
      <c r="S1741" s="78">
        <v>29128</v>
      </c>
      <c r="T1741" s="29">
        <v>14</v>
      </c>
      <c r="U1741" s="40">
        <f>AVERAGE(T1650:T1741)</f>
        <v>14</v>
      </c>
    </row>
    <row r="1742" spans="19:21" x14ac:dyDescent="0.25">
      <c r="S1742" s="78">
        <v>29129</v>
      </c>
      <c r="T1742" s="29">
        <v>14</v>
      </c>
    </row>
    <row r="1743" spans="19:21" x14ac:dyDescent="0.25">
      <c r="S1743" s="78">
        <v>29130</v>
      </c>
      <c r="T1743" s="29">
        <v>14</v>
      </c>
    </row>
    <row r="1744" spans="19:21" x14ac:dyDescent="0.25">
      <c r="S1744" s="78">
        <v>29131</v>
      </c>
      <c r="T1744" s="29">
        <v>14</v>
      </c>
    </row>
    <row r="1745" spans="19:20" x14ac:dyDescent="0.25">
      <c r="S1745" s="78">
        <v>29132</v>
      </c>
      <c r="T1745" s="29">
        <v>14</v>
      </c>
    </row>
    <row r="1746" spans="19:20" x14ac:dyDescent="0.25">
      <c r="S1746" s="78">
        <v>29133</v>
      </c>
      <c r="T1746" s="29">
        <v>14</v>
      </c>
    </row>
    <row r="1747" spans="19:20" x14ac:dyDescent="0.25">
      <c r="S1747" s="78">
        <v>29134</v>
      </c>
      <c r="T1747" s="29">
        <v>14</v>
      </c>
    </row>
    <row r="1748" spans="19:20" x14ac:dyDescent="0.25">
      <c r="S1748" s="78">
        <v>29135</v>
      </c>
      <c r="T1748" s="29">
        <v>14</v>
      </c>
    </row>
    <row r="1749" spans="19:20" x14ac:dyDescent="0.25">
      <c r="S1749" s="78">
        <v>29136</v>
      </c>
      <c r="T1749" s="29">
        <v>14</v>
      </c>
    </row>
    <row r="1750" spans="19:20" x14ac:dyDescent="0.25">
      <c r="S1750" s="78">
        <v>29137</v>
      </c>
      <c r="T1750" s="29">
        <v>14</v>
      </c>
    </row>
    <row r="1751" spans="19:20" x14ac:dyDescent="0.25">
      <c r="S1751" s="78">
        <v>29138</v>
      </c>
      <c r="T1751" s="29">
        <v>14</v>
      </c>
    </row>
    <row r="1752" spans="19:20" x14ac:dyDescent="0.25">
      <c r="S1752" s="78">
        <v>29139</v>
      </c>
      <c r="T1752" s="29">
        <v>14</v>
      </c>
    </row>
    <row r="1753" spans="19:20" x14ac:dyDescent="0.25">
      <c r="S1753" s="78">
        <v>29140</v>
      </c>
      <c r="T1753" s="29">
        <v>14</v>
      </c>
    </row>
    <row r="1754" spans="19:20" x14ac:dyDescent="0.25">
      <c r="S1754" s="78">
        <v>29141</v>
      </c>
      <c r="T1754" s="29">
        <v>14</v>
      </c>
    </row>
    <row r="1755" spans="19:20" x14ac:dyDescent="0.25">
      <c r="S1755" s="78">
        <v>29142</v>
      </c>
      <c r="T1755" s="29">
        <v>14</v>
      </c>
    </row>
    <row r="1756" spans="19:20" x14ac:dyDescent="0.25">
      <c r="S1756" s="78">
        <v>29143</v>
      </c>
      <c r="T1756" s="29">
        <v>14</v>
      </c>
    </row>
    <row r="1757" spans="19:20" x14ac:dyDescent="0.25">
      <c r="S1757" s="78">
        <v>29144</v>
      </c>
      <c r="T1757" s="29">
        <v>14</v>
      </c>
    </row>
    <row r="1758" spans="19:20" x14ac:dyDescent="0.25">
      <c r="S1758" s="78">
        <v>29145</v>
      </c>
      <c r="T1758" s="29">
        <v>14</v>
      </c>
    </row>
    <row r="1759" spans="19:20" x14ac:dyDescent="0.25">
      <c r="S1759" s="78">
        <v>29146</v>
      </c>
      <c r="T1759" s="29">
        <v>14</v>
      </c>
    </row>
    <row r="1760" spans="19:20" x14ac:dyDescent="0.25">
      <c r="S1760" s="78">
        <v>29147</v>
      </c>
      <c r="T1760" s="29">
        <v>14</v>
      </c>
    </row>
    <row r="1761" spans="19:20" x14ac:dyDescent="0.25">
      <c r="S1761" s="78">
        <v>29148</v>
      </c>
      <c r="T1761" s="29">
        <v>14</v>
      </c>
    </row>
    <row r="1762" spans="19:20" x14ac:dyDescent="0.25">
      <c r="S1762" s="78">
        <v>29149</v>
      </c>
      <c r="T1762" s="29">
        <v>14</v>
      </c>
    </row>
    <row r="1763" spans="19:20" x14ac:dyDescent="0.25">
      <c r="S1763" s="78">
        <v>29150</v>
      </c>
      <c r="T1763" s="29">
        <v>14</v>
      </c>
    </row>
    <row r="1764" spans="19:20" x14ac:dyDescent="0.25">
      <c r="S1764" s="78">
        <v>29151</v>
      </c>
      <c r="T1764" s="29">
        <v>14</v>
      </c>
    </row>
    <row r="1765" spans="19:20" x14ac:dyDescent="0.25">
      <c r="S1765" s="78">
        <v>29152</v>
      </c>
      <c r="T1765" s="29">
        <v>14</v>
      </c>
    </row>
    <row r="1766" spans="19:20" x14ac:dyDescent="0.25">
      <c r="S1766" s="78">
        <v>29153</v>
      </c>
      <c r="T1766" s="29">
        <v>14</v>
      </c>
    </row>
    <row r="1767" spans="19:20" x14ac:dyDescent="0.25">
      <c r="S1767" s="78">
        <v>29154</v>
      </c>
      <c r="T1767" s="29">
        <v>14</v>
      </c>
    </row>
    <row r="1768" spans="19:20" x14ac:dyDescent="0.25">
      <c r="S1768" s="78">
        <v>29155</v>
      </c>
      <c r="T1768" s="29">
        <v>14</v>
      </c>
    </row>
    <row r="1769" spans="19:20" x14ac:dyDescent="0.25">
      <c r="S1769" s="78">
        <v>29156</v>
      </c>
      <c r="T1769" s="29">
        <v>14</v>
      </c>
    </row>
    <row r="1770" spans="19:20" x14ac:dyDescent="0.25">
      <c r="S1770" s="78">
        <v>29157</v>
      </c>
      <c r="T1770" s="29">
        <v>14</v>
      </c>
    </row>
    <row r="1771" spans="19:20" x14ac:dyDescent="0.25">
      <c r="S1771" s="78">
        <v>29158</v>
      </c>
      <c r="T1771" s="29">
        <v>14</v>
      </c>
    </row>
    <row r="1772" spans="19:20" x14ac:dyDescent="0.25">
      <c r="S1772" s="78">
        <v>29159</v>
      </c>
      <c r="T1772" s="29">
        <v>14</v>
      </c>
    </row>
    <row r="1773" spans="19:20" x14ac:dyDescent="0.25">
      <c r="S1773" s="78">
        <v>29160</v>
      </c>
      <c r="T1773" s="29">
        <v>14</v>
      </c>
    </row>
    <row r="1774" spans="19:20" x14ac:dyDescent="0.25">
      <c r="S1774" s="78">
        <v>29161</v>
      </c>
      <c r="T1774" s="29">
        <v>14</v>
      </c>
    </row>
    <row r="1775" spans="19:20" x14ac:dyDescent="0.25">
      <c r="S1775" s="78">
        <v>29162</v>
      </c>
      <c r="T1775" s="29">
        <v>14</v>
      </c>
    </row>
    <row r="1776" spans="19:20" x14ac:dyDescent="0.25">
      <c r="S1776" s="78">
        <v>29163</v>
      </c>
      <c r="T1776" s="29">
        <v>14</v>
      </c>
    </row>
    <row r="1777" spans="19:20" x14ac:dyDescent="0.25">
      <c r="S1777" s="78">
        <v>29164</v>
      </c>
      <c r="T1777" s="29">
        <v>14</v>
      </c>
    </row>
    <row r="1778" spans="19:20" x14ac:dyDescent="0.25">
      <c r="S1778" s="78">
        <v>29165</v>
      </c>
      <c r="T1778" s="29">
        <v>14</v>
      </c>
    </row>
    <row r="1779" spans="19:20" x14ac:dyDescent="0.25">
      <c r="S1779" s="78">
        <v>29166</v>
      </c>
      <c r="T1779" s="29">
        <v>14</v>
      </c>
    </row>
    <row r="1780" spans="19:20" x14ac:dyDescent="0.25">
      <c r="S1780" s="78">
        <v>29167</v>
      </c>
      <c r="T1780" s="29">
        <v>14</v>
      </c>
    </row>
    <row r="1781" spans="19:20" x14ac:dyDescent="0.25">
      <c r="S1781" s="78">
        <v>29168</v>
      </c>
      <c r="T1781" s="29">
        <v>14</v>
      </c>
    </row>
    <row r="1782" spans="19:20" x14ac:dyDescent="0.25">
      <c r="S1782" s="78">
        <v>29169</v>
      </c>
      <c r="T1782" s="29">
        <v>14</v>
      </c>
    </row>
    <row r="1783" spans="19:20" x14ac:dyDescent="0.25">
      <c r="S1783" s="78">
        <v>29170</v>
      </c>
      <c r="T1783" s="29">
        <v>14</v>
      </c>
    </row>
    <row r="1784" spans="19:20" x14ac:dyDescent="0.25">
      <c r="S1784" s="78">
        <v>29171</v>
      </c>
      <c r="T1784" s="29">
        <v>14</v>
      </c>
    </row>
    <row r="1785" spans="19:20" x14ac:dyDescent="0.25">
      <c r="S1785" s="78">
        <v>29172</v>
      </c>
      <c r="T1785" s="29">
        <v>14</v>
      </c>
    </row>
    <row r="1786" spans="19:20" x14ac:dyDescent="0.25">
      <c r="S1786" s="78">
        <v>29173</v>
      </c>
      <c r="T1786" s="29">
        <v>14</v>
      </c>
    </row>
    <row r="1787" spans="19:20" x14ac:dyDescent="0.25">
      <c r="S1787" s="78">
        <v>29174</v>
      </c>
      <c r="T1787" s="29">
        <v>17</v>
      </c>
    </row>
    <row r="1788" spans="19:20" x14ac:dyDescent="0.25">
      <c r="S1788" s="78">
        <v>29175</v>
      </c>
      <c r="T1788" s="29">
        <v>17</v>
      </c>
    </row>
    <row r="1789" spans="19:20" x14ac:dyDescent="0.25">
      <c r="S1789" s="78">
        <v>29176</v>
      </c>
      <c r="T1789" s="29">
        <v>17</v>
      </c>
    </row>
    <row r="1790" spans="19:20" x14ac:dyDescent="0.25">
      <c r="S1790" s="78">
        <v>29177</v>
      </c>
      <c r="T1790" s="29">
        <v>17</v>
      </c>
    </row>
    <row r="1791" spans="19:20" x14ac:dyDescent="0.25">
      <c r="S1791" s="78">
        <v>29178</v>
      </c>
      <c r="T1791" s="29">
        <v>17</v>
      </c>
    </row>
    <row r="1792" spans="19:20" x14ac:dyDescent="0.25">
      <c r="S1792" s="78">
        <v>29179</v>
      </c>
      <c r="T1792" s="29">
        <v>17</v>
      </c>
    </row>
    <row r="1793" spans="19:20" x14ac:dyDescent="0.25">
      <c r="S1793" s="78">
        <v>29180</v>
      </c>
      <c r="T1793" s="29">
        <v>17</v>
      </c>
    </row>
    <row r="1794" spans="19:20" x14ac:dyDescent="0.25">
      <c r="S1794" s="78">
        <v>29181</v>
      </c>
      <c r="T1794" s="29">
        <v>17</v>
      </c>
    </row>
    <row r="1795" spans="19:20" x14ac:dyDescent="0.25">
      <c r="S1795" s="78">
        <v>29182</v>
      </c>
      <c r="T1795" s="29">
        <v>17</v>
      </c>
    </row>
    <row r="1796" spans="19:20" x14ac:dyDescent="0.25">
      <c r="S1796" s="78">
        <v>29183</v>
      </c>
      <c r="T1796" s="29">
        <v>17</v>
      </c>
    </row>
    <row r="1797" spans="19:20" x14ac:dyDescent="0.25">
      <c r="S1797" s="78">
        <v>29184</v>
      </c>
      <c r="T1797" s="29">
        <v>17</v>
      </c>
    </row>
    <row r="1798" spans="19:20" x14ac:dyDescent="0.25">
      <c r="S1798" s="78">
        <v>29185</v>
      </c>
      <c r="T1798" s="29">
        <v>17</v>
      </c>
    </row>
    <row r="1799" spans="19:20" x14ac:dyDescent="0.25">
      <c r="S1799" s="78">
        <v>29186</v>
      </c>
      <c r="T1799" s="29">
        <v>17</v>
      </c>
    </row>
    <row r="1800" spans="19:20" x14ac:dyDescent="0.25">
      <c r="S1800" s="78">
        <v>29187</v>
      </c>
      <c r="T1800" s="29">
        <v>17</v>
      </c>
    </row>
    <row r="1801" spans="19:20" x14ac:dyDescent="0.25">
      <c r="S1801" s="78">
        <v>29188</v>
      </c>
      <c r="T1801" s="29">
        <v>17</v>
      </c>
    </row>
    <row r="1802" spans="19:20" x14ac:dyDescent="0.25">
      <c r="S1802" s="78">
        <v>29189</v>
      </c>
      <c r="T1802" s="29">
        <v>17</v>
      </c>
    </row>
    <row r="1803" spans="19:20" x14ac:dyDescent="0.25">
      <c r="S1803" s="78">
        <v>29190</v>
      </c>
      <c r="T1803" s="29">
        <v>17</v>
      </c>
    </row>
    <row r="1804" spans="19:20" x14ac:dyDescent="0.25">
      <c r="S1804" s="78">
        <v>29191</v>
      </c>
      <c r="T1804" s="29">
        <v>17</v>
      </c>
    </row>
    <row r="1805" spans="19:20" x14ac:dyDescent="0.25">
      <c r="S1805" s="78">
        <v>29192</v>
      </c>
      <c r="T1805" s="29">
        <v>17</v>
      </c>
    </row>
    <row r="1806" spans="19:20" x14ac:dyDescent="0.25">
      <c r="S1806" s="78">
        <v>29193</v>
      </c>
      <c r="T1806" s="29">
        <v>17</v>
      </c>
    </row>
    <row r="1807" spans="19:20" x14ac:dyDescent="0.25">
      <c r="S1807" s="78">
        <v>29194</v>
      </c>
      <c r="T1807" s="29">
        <v>17</v>
      </c>
    </row>
    <row r="1808" spans="19:20" x14ac:dyDescent="0.25">
      <c r="S1808" s="78">
        <v>29195</v>
      </c>
      <c r="T1808" s="29">
        <v>17</v>
      </c>
    </row>
    <row r="1809" spans="19:20" x14ac:dyDescent="0.25">
      <c r="S1809" s="78">
        <v>29196</v>
      </c>
      <c r="T1809" s="29">
        <v>17</v>
      </c>
    </row>
    <row r="1810" spans="19:20" x14ac:dyDescent="0.25">
      <c r="S1810" s="78">
        <v>29197</v>
      </c>
      <c r="T1810" s="29">
        <v>17</v>
      </c>
    </row>
    <row r="1811" spans="19:20" x14ac:dyDescent="0.25">
      <c r="S1811" s="78">
        <v>29198</v>
      </c>
      <c r="T1811" s="29">
        <v>17</v>
      </c>
    </row>
    <row r="1812" spans="19:20" x14ac:dyDescent="0.25">
      <c r="S1812" s="78">
        <v>29199</v>
      </c>
      <c r="T1812" s="29">
        <v>17</v>
      </c>
    </row>
    <row r="1813" spans="19:20" x14ac:dyDescent="0.25">
      <c r="S1813" s="78">
        <v>29200</v>
      </c>
      <c r="T1813" s="29">
        <v>17</v>
      </c>
    </row>
    <row r="1814" spans="19:20" x14ac:dyDescent="0.25">
      <c r="S1814" s="78">
        <v>29201</v>
      </c>
      <c r="T1814" s="29">
        <v>17</v>
      </c>
    </row>
    <row r="1815" spans="19:20" x14ac:dyDescent="0.25">
      <c r="S1815" s="78">
        <v>29202</v>
      </c>
      <c r="T1815" s="29">
        <v>17</v>
      </c>
    </row>
    <row r="1816" spans="19:20" x14ac:dyDescent="0.25">
      <c r="S1816" s="78">
        <v>29203</v>
      </c>
      <c r="T1816" s="29">
        <v>17</v>
      </c>
    </row>
    <row r="1817" spans="19:20" x14ac:dyDescent="0.25">
      <c r="S1817" s="78">
        <v>29204</v>
      </c>
      <c r="T1817" s="29">
        <v>17</v>
      </c>
    </row>
    <row r="1818" spans="19:20" x14ac:dyDescent="0.25">
      <c r="S1818" s="78">
        <v>29205</v>
      </c>
      <c r="T1818" s="29">
        <v>17</v>
      </c>
    </row>
    <row r="1819" spans="19:20" x14ac:dyDescent="0.25">
      <c r="S1819" s="78">
        <v>29206</v>
      </c>
      <c r="T1819" s="29">
        <v>17</v>
      </c>
    </row>
    <row r="1820" spans="19:20" x14ac:dyDescent="0.25">
      <c r="S1820" s="78">
        <v>29207</v>
      </c>
      <c r="T1820" s="29">
        <v>17</v>
      </c>
    </row>
    <row r="1821" spans="19:20" x14ac:dyDescent="0.25">
      <c r="S1821" s="78">
        <v>29208</v>
      </c>
      <c r="T1821" s="29">
        <v>17</v>
      </c>
    </row>
    <row r="1822" spans="19:20" x14ac:dyDescent="0.25">
      <c r="S1822" s="78">
        <v>29209</v>
      </c>
      <c r="T1822" s="29">
        <v>17</v>
      </c>
    </row>
    <row r="1823" spans="19:20" x14ac:dyDescent="0.25">
      <c r="S1823" s="78">
        <v>29210</v>
      </c>
      <c r="T1823" s="29">
        <v>17</v>
      </c>
    </row>
    <row r="1824" spans="19:20" x14ac:dyDescent="0.25">
      <c r="S1824" s="78">
        <v>29211</v>
      </c>
      <c r="T1824" s="29">
        <v>17</v>
      </c>
    </row>
    <row r="1825" spans="19:21" x14ac:dyDescent="0.25">
      <c r="S1825" s="78">
        <v>29212</v>
      </c>
      <c r="T1825" s="29">
        <v>17</v>
      </c>
    </row>
    <row r="1826" spans="19:21" x14ac:dyDescent="0.25">
      <c r="S1826" s="78">
        <v>29213</v>
      </c>
      <c r="T1826" s="29">
        <v>17</v>
      </c>
    </row>
    <row r="1827" spans="19:21" x14ac:dyDescent="0.25">
      <c r="S1827" s="78">
        <v>29214</v>
      </c>
      <c r="T1827" s="29">
        <v>17</v>
      </c>
    </row>
    <row r="1828" spans="19:21" x14ac:dyDescent="0.25">
      <c r="S1828" s="78">
        <v>29215</v>
      </c>
      <c r="T1828" s="29">
        <v>17</v>
      </c>
    </row>
    <row r="1829" spans="19:21" x14ac:dyDescent="0.25">
      <c r="S1829" s="78">
        <v>29216</v>
      </c>
      <c r="T1829" s="29">
        <v>17</v>
      </c>
    </row>
    <row r="1830" spans="19:21" x14ac:dyDescent="0.25">
      <c r="S1830" s="78">
        <v>29217</v>
      </c>
      <c r="T1830" s="29">
        <v>17</v>
      </c>
    </row>
    <row r="1831" spans="19:21" x14ac:dyDescent="0.25">
      <c r="S1831" s="78">
        <v>29218</v>
      </c>
      <c r="T1831" s="29">
        <v>17</v>
      </c>
    </row>
    <row r="1832" spans="19:21" x14ac:dyDescent="0.25">
      <c r="S1832" s="78">
        <v>29219</v>
      </c>
      <c r="T1832" s="29">
        <v>17</v>
      </c>
    </row>
    <row r="1833" spans="19:21" x14ac:dyDescent="0.25">
      <c r="S1833" s="78">
        <v>29220</v>
      </c>
      <c r="T1833" s="29">
        <v>17</v>
      </c>
      <c r="U1833" s="40">
        <f>AVERAGE(T1742:T1833)</f>
        <v>15.532608695652174</v>
      </c>
    </row>
    <row r="1834" spans="19:21" x14ac:dyDescent="0.25">
      <c r="S1834" s="78">
        <v>29221</v>
      </c>
      <c r="T1834" s="29">
        <v>17</v>
      </c>
    </row>
    <row r="1835" spans="19:21" x14ac:dyDescent="0.25">
      <c r="S1835" s="78">
        <v>29222</v>
      </c>
      <c r="T1835" s="29">
        <v>17</v>
      </c>
    </row>
    <row r="1836" spans="19:21" x14ac:dyDescent="0.25">
      <c r="S1836" s="78">
        <v>29223</v>
      </c>
      <c r="T1836" s="29">
        <v>17</v>
      </c>
    </row>
    <row r="1837" spans="19:21" x14ac:dyDescent="0.25">
      <c r="S1837" s="78">
        <v>29224</v>
      </c>
      <c r="T1837" s="29">
        <v>17</v>
      </c>
    </row>
    <row r="1838" spans="19:21" x14ac:dyDescent="0.25">
      <c r="S1838" s="78">
        <v>29225</v>
      </c>
      <c r="T1838" s="29">
        <v>17</v>
      </c>
    </row>
    <row r="1839" spans="19:21" x14ac:dyDescent="0.25">
      <c r="S1839" s="78">
        <v>29226</v>
      </c>
      <c r="T1839" s="29">
        <v>17</v>
      </c>
    </row>
    <row r="1840" spans="19:21" x14ac:dyDescent="0.25">
      <c r="S1840" s="78">
        <v>29227</v>
      </c>
      <c r="T1840" s="29">
        <v>17</v>
      </c>
    </row>
    <row r="1841" spans="19:20" x14ac:dyDescent="0.25">
      <c r="S1841" s="78">
        <v>29228</v>
      </c>
      <c r="T1841" s="29">
        <v>17</v>
      </c>
    </row>
    <row r="1842" spans="19:20" x14ac:dyDescent="0.25">
      <c r="S1842" s="78">
        <v>29229</v>
      </c>
      <c r="T1842" s="29">
        <v>17</v>
      </c>
    </row>
    <row r="1843" spans="19:20" x14ac:dyDescent="0.25">
      <c r="S1843" s="78">
        <v>29230</v>
      </c>
      <c r="T1843" s="29">
        <v>17</v>
      </c>
    </row>
    <row r="1844" spans="19:20" x14ac:dyDescent="0.25">
      <c r="S1844" s="78">
        <v>29231</v>
      </c>
      <c r="T1844" s="29">
        <v>17</v>
      </c>
    </row>
    <row r="1845" spans="19:20" x14ac:dyDescent="0.25">
      <c r="S1845" s="78">
        <v>29232</v>
      </c>
      <c r="T1845" s="29">
        <v>17</v>
      </c>
    </row>
    <row r="1846" spans="19:20" x14ac:dyDescent="0.25">
      <c r="S1846" s="78">
        <v>29233</v>
      </c>
      <c r="T1846" s="29">
        <v>17</v>
      </c>
    </row>
    <row r="1847" spans="19:20" x14ac:dyDescent="0.25">
      <c r="S1847" s="78">
        <v>29234</v>
      </c>
      <c r="T1847" s="29">
        <v>17</v>
      </c>
    </row>
    <row r="1848" spans="19:20" x14ac:dyDescent="0.25">
      <c r="S1848" s="78">
        <v>29235</v>
      </c>
      <c r="T1848" s="29">
        <v>17</v>
      </c>
    </row>
    <row r="1849" spans="19:20" x14ac:dyDescent="0.25">
      <c r="S1849" s="78">
        <v>29236</v>
      </c>
      <c r="T1849" s="29">
        <v>17</v>
      </c>
    </row>
    <row r="1850" spans="19:20" x14ac:dyDescent="0.25">
      <c r="S1850" s="78">
        <v>29237</v>
      </c>
      <c r="T1850" s="29">
        <v>17</v>
      </c>
    </row>
    <row r="1851" spans="19:20" x14ac:dyDescent="0.25">
      <c r="S1851" s="78">
        <v>29238</v>
      </c>
      <c r="T1851" s="29">
        <v>17</v>
      </c>
    </row>
    <row r="1852" spans="19:20" x14ac:dyDescent="0.25">
      <c r="S1852" s="78">
        <v>29239</v>
      </c>
      <c r="T1852" s="29">
        <v>17</v>
      </c>
    </row>
    <row r="1853" spans="19:20" x14ac:dyDescent="0.25">
      <c r="S1853" s="78">
        <v>29240</v>
      </c>
      <c r="T1853" s="29">
        <v>17</v>
      </c>
    </row>
    <row r="1854" spans="19:20" x14ac:dyDescent="0.25">
      <c r="S1854" s="78">
        <v>29241</v>
      </c>
      <c r="T1854" s="29">
        <v>17</v>
      </c>
    </row>
    <row r="1855" spans="19:20" x14ac:dyDescent="0.25">
      <c r="S1855" s="78">
        <v>29242</v>
      </c>
      <c r="T1855" s="29">
        <v>17</v>
      </c>
    </row>
    <row r="1856" spans="19:20" x14ac:dyDescent="0.25">
      <c r="S1856" s="78">
        <v>29243</v>
      </c>
      <c r="T1856" s="29">
        <v>17</v>
      </c>
    </row>
    <row r="1857" spans="19:20" x14ac:dyDescent="0.25">
      <c r="S1857" s="78">
        <v>29244</v>
      </c>
      <c r="T1857" s="29">
        <v>17</v>
      </c>
    </row>
    <row r="1858" spans="19:20" x14ac:dyDescent="0.25">
      <c r="S1858" s="78">
        <v>29245</v>
      </c>
      <c r="T1858" s="29">
        <v>17</v>
      </c>
    </row>
    <row r="1859" spans="19:20" x14ac:dyDescent="0.25">
      <c r="S1859" s="78">
        <v>29246</v>
      </c>
      <c r="T1859" s="29">
        <v>17</v>
      </c>
    </row>
    <row r="1860" spans="19:20" x14ac:dyDescent="0.25">
      <c r="S1860" s="78">
        <v>29247</v>
      </c>
      <c r="T1860" s="29">
        <v>17</v>
      </c>
    </row>
    <row r="1861" spans="19:20" x14ac:dyDescent="0.25">
      <c r="S1861" s="78">
        <v>29248</v>
      </c>
      <c r="T1861" s="29">
        <v>17</v>
      </c>
    </row>
    <row r="1862" spans="19:20" x14ac:dyDescent="0.25">
      <c r="S1862" s="78">
        <v>29249</v>
      </c>
      <c r="T1862" s="29">
        <v>17</v>
      </c>
    </row>
    <row r="1863" spans="19:20" x14ac:dyDescent="0.25">
      <c r="S1863" s="78">
        <v>29250</v>
      </c>
      <c r="T1863" s="29">
        <v>17</v>
      </c>
    </row>
    <row r="1864" spans="19:20" x14ac:dyDescent="0.25">
      <c r="S1864" s="78">
        <v>29251</v>
      </c>
      <c r="T1864" s="29">
        <v>17</v>
      </c>
    </row>
    <row r="1865" spans="19:20" x14ac:dyDescent="0.25">
      <c r="S1865" s="78">
        <v>29252</v>
      </c>
      <c r="T1865" s="29">
        <v>17</v>
      </c>
    </row>
    <row r="1866" spans="19:20" x14ac:dyDescent="0.25">
      <c r="S1866" s="78">
        <v>29253</v>
      </c>
      <c r="T1866" s="29">
        <v>17</v>
      </c>
    </row>
    <row r="1867" spans="19:20" x14ac:dyDescent="0.25">
      <c r="S1867" s="78">
        <v>29254</v>
      </c>
      <c r="T1867" s="29">
        <v>17</v>
      </c>
    </row>
    <row r="1868" spans="19:20" x14ac:dyDescent="0.25">
      <c r="S1868" s="78">
        <v>29255</v>
      </c>
      <c r="T1868" s="29">
        <v>17</v>
      </c>
    </row>
    <row r="1869" spans="19:20" x14ac:dyDescent="0.25">
      <c r="S1869" s="78">
        <v>29256</v>
      </c>
      <c r="T1869" s="29">
        <v>17</v>
      </c>
    </row>
    <row r="1870" spans="19:20" x14ac:dyDescent="0.25">
      <c r="S1870" s="78">
        <v>29257</v>
      </c>
      <c r="T1870" s="29">
        <v>17</v>
      </c>
    </row>
    <row r="1871" spans="19:20" x14ac:dyDescent="0.25">
      <c r="S1871" s="78">
        <v>29258</v>
      </c>
      <c r="T1871" s="29">
        <v>17</v>
      </c>
    </row>
    <row r="1872" spans="19:20" x14ac:dyDescent="0.25">
      <c r="S1872" s="78">
        <v>29259</v>
      </c>
      <c r="T1872" s="29">
        <v>17</v>
      </c>
    </row>
    <row r="1873" spans="19:20" x14ac:dyDescent="0.25">
      <c r="S1873" s="78">
        <v>29260</v>
      </c>
      <c r="T1873" s="29">
        <v>17</v>
      </c>
    </row>
    <row r="1874" spans="19:20" x14ac:dyDescent="0.25">
      <c r="S1874" s="78">
        <v>29261</v>
      </c>
      <c r="T1874" s="29">
        <v>17</v>
      </c>
    </row>
    <row r="1875" spans="19:20" x14ac:dyDescent="0.25">
      <c r="S1875" s="78">
        <v>29262</v>
      </c>
      <c r="T1875" s="29">
        <v>17</v>
      </c>
    </row>
    <row r="1876" spans="19:20" x14ac:dyDescent="0.25">
      <c r="S1876" s="78">
        <v>29263</v>
      </c>
      <c r="T1876" s="29">
        <v>17</v>
      </c>
    </row>
    <row r="1877" spans="19:20" x14ac:dyDescent="0.25">
      <c r="S1877" s="78">
        <v>29264</v>
      </c>
      <c r="T1877" s="29">
        <v>17</v>
      </c>
    </row>
    <row r="1878" spans="19:20" x14ac:dyDescent="0.25">
      <c r="S1878" s="78">
        <v>29265</v>
      </c>
      <c r="T1878" s="29">
        <v>17</v>
      </c>
    </row>
    <row r="1879" spans="19:20" x14ac:dyDescent="0.25">
      <c r="S1879" s="78">
        <v>29266</v>
      </c>
      <c r="T1879" s="29">
        <v>17</v>
      </c>
    </row>
    <row r="1880" spans="19:20" x14ac:dyDescent="0.25">
      <c r="S1880" s="78">
        <v>29267</v>
      </c>
      <c r="T1880" s="29">
        <v>17</v>
      </c>
    </row>
    <row r="1881" spans="19:20" x14ac:dyDescent="0.25">
      <c r="S1881" s="78">
        <v>29268</v>
      </c>
      <c r="T1881" s="29">
        <v>17</v>
      </c>
    </row>
    <row r="1882" spans="19:20" x14ac:dyDescent="0.25">
      <c r="S1882" s="78">
        <v>29269</v>
      </c>
      <c r="T1882" s="29">
        <v>17</v>
      </c>
    </row>
    <row r="1883" spans="19:20" x14ac:dyDescent="0.25">
      <c r="S1883" s="78">
        <v>29270</v>
      </c>
      <c r="T1883" s="29">
        <v>17</v>
      </c>
    </row>
    <row r="1884" spans="19:20" x14ac:dyDescent="0.25">
      <c r="S1884" s="78">
        <v>29271</v>
      </c>
      <c r="T1884" s="29">
        <v>17</v>
      </c>
    </row>
    <row r="1885" spans="19:20" x14ac:dyDescent="0.25">
      <c r="S1885" s="78">
        <v>29272</v>
      </c>
      <c r="T1885" s="29">
        <v>17</v>
      </c>
    </row>
    <row r="1886" spans="19:20" x14ac:dyDescent="0.25">
      <c r="S1886" s="78">
        <v>29273</v>
      </c>
      <c r="T1886" s="29">
        <v>17</v>
      </c>
    </row>
    <row r="1887" spans="19:20" x14ac:dyDescent="0.25">
      <c r="S1887" s="78">
        <v>29274</v>
      </c>
      <c r="T1887" s="29">
        <v>17</v>
      </c>
    </row>
    <row r="1888" spans="19:20" x14ac:dyDescent="0.25">
      <c r="S1888" s="78">
        <v>29275</v>
      </c>
      <c r="T1888" s="29">
        <v>17</v>
      </c>
    </row>
    <row r="1889" spans="19:20" x14ac:dyDescent="0.25">
      <c r="S1889" s="78">
        <v>29276</v>
      </c>
      <c r="T1889" s="29">
        <v>17</v>
      </c>
    </row>
    <row r="1890" spans="19:20" x14ac:dyDescent="0.25">
      <c r="S1890" s="78">
        <v>29277</v>
      </c>
      <c r="T1890" s="29">
        <v>17</v>
      </c>
    </row>
    <row r="1891" spans="19:20" x14ac:dyDescent="0.25">
      <c r="S1891" s="78">
        <v>29278</v>
      </c>
      <c r="T1891" s="29">
        <v>17</v>
      </c>
    </row>
    <row r="1892" spans="19:20" x14ac:dyDescent="0.25">
      <c r="S1892" s="78">
        <v>29279</v>
      </c>
      <c r="T1892" s="29">
        <v>17</v>
      </c>
    </row>
    <row r="1893" spans="19:20" x14ac:dyDescent="0.25">
      <c r="S1893" s="78">
        <v>29280</v>
      </c>
      <c r="T1893" s="29">
        <v>17</v>
      </c>
    </row>
    <row r="1894" spans="19:20" x14ac:dyDescent="0.25">
      <c r="S1894" s="78">
        <v>29281</v>
      </c>
      <c r="T1894" s="29">
        <v>17</v>
      </c>
    </row>
    <row r="1895" spans="19:20" x14ac:dyDescent="0.25">
      <c r="S1895" s="78">
        <v>29282</v>
      </c>
      <c r="T1895" s="29">
        <v>17</v>
      </c>
    </row>
    <row r="1896" spans="19:20" x14ac:dyDescent="0.25">
      <c r="S1896" s="78">
        <v>29283</v>
      </c>
      <c r="T1896" s="29">
        <v>17</v>
      </c>
    </row>
    <row r="1897" spans="19:20" x14ac:dyDescent="0.25">
      <c r="S1897" s="78">
        <v>29284</v>
      </c>
      <c r="T1897" s="29">
        <v>17</v>
      </c>
    </row>
    <row r="1898" spans="19:20" x14ac:dyDescent="0.25">
      <c r="S1898" s="78">
        <v>29285</v>
      </c>
      <c r="T1898" s="29">
        <v>17</v>
      </c>
    </row>
    <row r="1899" spans="19:20" x14ac:dyDescent="0.25">
      <c r="S1899" s="78">
        <v>29286</v>
      </c>
      <c r="T1899" s="29">
        <v>17</v>
      </c>
    </row>
    <row r="1900" spans="19:20" x14ac:dyDescent="0.25">
      <c r="S1900" s="78">
        <v>29287</v>
      </c>
      <c r="T1900" s="29">
        <v>17</v>
      </c>
    </row>
    <row r="1901" spans="19:20" x14ac:dyDescent="0.25">
      <c r="S1901" s="78">
        <v>29288</v>
      </c>
      <c r="T1901" s="29">
        <v>17</v>
      </c>
    </row>
    <row r="1902" spans="19:20" x14ac:dyDescent="0.25">
      <c r="S1902" s="78">
        <v>29289</v>
      </c>
      <c r="T1902" s="29">
        <v>17</v>
      </c>
    </row>
    <row r="1903" spans="19:20" x14ac:dyDescent="0.25">
      <c r="S1903" s="78">
        <v>29290</v>
      </c>
      <c r="T1903" s="29">
        <v>17</v>
      </c>
    </row>
    <row r="1904" spans="19:20" x14ac:dyDescent="0.25">
      <c r="S1904" s="78">
        <v>29291</v>
      </c>
      <c r="T1904" s="29">
        <v>17</v>
      </c>
    </row>
    <row r="1905" spans="19:20" x14ac:dyDescent="0.25">
      <c r="S1905" s="78">
        <v>29292</v>
      </c>
      <c r="T1905" s="29">
        <v>17</v>
      </c>
    </row>
    <row r="1906" spans="19:20" x14ac:dyDescent="0.25">
      <c r="S1906" s="78">
        <v>29293</v>
      </c>
      <c r="T1906" s="29">
        <v>17</v>
      </c>
    </row>
    <row r="1907" spans="19:20" x14ac:dyDescent="0.25">
      <c r="S1907" s="78">
        <v>29294</v>
      </c>
      <c r="T1907" s="29">
        <v>17</v>
      </c>
    </row>
    <row r="1908" spans="19:20" x14ac:dyDescent="0.25">
      <c r="S1908" s="78">
        <v>29295</v>
      </c>
      <c r="T1908" s="29">
        <v>17</v>
      </c>
    </row>
    <row r="1909" spans="19:20" x14ac:dyDescent="0.25">
      <c r="S1909" s="78">
        <v>29296</v>
      </c>
      <c r="T1909" s="29">
        <v>17</v>
      </c>
    </row>
    <row r="1910" spans="19:20" x14ac:dyDescent="0.25">
      <c r="S1910" s="78">
        <v>29297</v>
      </c>
      <c r="T1910" s="29">
        <v>17</v>
      </c>
    </row>
    <row r="1911" spans="19:20" x14ac:dyDescent="0.25">
      <c r="S1911" s="78">
        <v>29298</v>
      </c>
      <c r="T1911" s="29">
        <v>17</v>
      </c>
    </row>
    <row r="1912" spans="19:20" x14ac:dyDescent="0.25">
      <c r="S1912" s="78">
        <v>29299</v>
      </c>
      <c r="T1912" s="29">
        <v>17</v>
      </c>
    </row>
    <row r="1913" spans="19:20" x14ac:dyDescent="0.25">
      <c r="S1913" s="78">
        <v>29300</v>
      </c>
      <c r="T1913" s="29">
        <v>17</v>
      </c>
    </row>
    <row r="1914" spans="19:20" x14ac:dyDescent="0.25">
      <c r="S1914" s="78">
        <v>29301</v>
      </c>
      <c r="T1914" s="29">
        <v>17</v>
      </c>
    </row>
    <row r="1915" spans="19:20" x14ac:dyDescent="0.25">
      <c r="S1915" s="78">
        <v>29302</v>
      </c>
      <c r="T1915" s="29">
        <v>17</v>
      </c>
    </row>
    <row r="1916" spans="19:20" x14ac:dyDescent="0.25">
      <c r="S1916" s="78">
        <v>29303</v>
      </c>
      <c r="T1916" s="29">
        <v>17</v>
      </c>
    </row>
    <row r="1917" spans="19:20" x14ac:dyDescent="0.25">
      <c r="S1917" s="78">
        <v>29304</v>
      </c>
      <c r="T1917" s="29">
        <v>17</v>
      </c>
    </row>
    <row r="1918" spans="19:20" x14ac:dyDescent="0.25">
      <c r="S1918" s="78">
        <v>29305</v>
      </c>
      <c r="T1918" s="29">
        <v>17</v>
      </c>
    </row>
    <row r="1919" spans="19:20" x14ac:dyDescent="0.25">
      <c r="S1919" s="78">
        <v>29306</v>
      </c>
      <c r="T1919" s="29">
        <v>17</v>
      </c>
    </row>
    <row r="1920" spans="19:20" x14ac:dyDescent="0.25">
      <c r="S1920" s="78">
        <v>29307</v>
      </c>
      <c r="T1920" s="29">
        <v>17</v>
      </c>
    </row>
    <row r="1921" spans="19:21" x14ac:dyDescent="0.25">
      <c r="S1921" s="78">
        <v>29308</v>
      </c>
      <c r="T1921" s="29">
        <v>17</v>
      </c>
    </row>
    <row r="1922" spans="19:21" x14ac:dyDescent="0.25">
      <c r="S1922" s="78">
        <v>29309</v>
      </c>
      <c r="T1922" s="29">
        <v>17</v>
      </c>
    </row>
    <row r="1923" spans="19:21" x14ac:dyDescent="0.25">
      <c r="S1923" s="78">
        <v>29310</v>
      </c>
      <c r="T1923" s="29">
        <v>17</v>
      </c>
    </row>
    <row r="1924" spans="19:21" x14ac:dyDescent="0.25">
      <c r="S1924" s="78">
        <v>29311</v>
      </c>
      <c r="T1924" s="29">
        <v>17</v>
      </c>
      <c r="U1924" s="39">
        <f>AVERAGE(T1834:T1924)</f>
        <v>17</v>
      </c>
    </row>
    <row r="1925" spans="19:21" x14ac:dyDescent="0.25">
      <c r="S1925" s="78">
        <v>29312</v>
      </c>
      <c r="T1925" s="29">
        <v>17</v>
      </c>
    </row>
    <row r="1926" spans="19:21" x14ac:dyDescent="0.25">
      <c r="S1926" s="78">
        <v>29313</v>
      </c>
      <c r="T1926" s="29">
        <v>17</v>
      </c>
    </row>
    <row r="1927" spans="19:21" x14ac:dyDescent="0.25">
      <c r="S1927" s="78">
        <v>29314</v>
      </c>
      <c r="T1927" s="29">
        <v>17</v>
      </c>
    </row>
    <row r="1928" spans="19:21" x14ac:dyDescent="0.25">
      <c r="S1928" s="78">
        <v>29315</v>
      </c>
      <c r="T1928" s="29">
        <v>17</v>
      </c>
    </row>
    <row r="1929" spans="19:21" x14ac:dyDescent="0.25">
      <c r="S1929" s="78">
        <v>29316</v>
      </c>
      <c r="T1929" s="29">
        <v>17</v>
      </c>
    </row>
    <row r="1930" spans="19:21" x14ac:dyDescent="0.25">
      <c r="S1930" s="78">
        <v>29317</v>
      </c>
      <c r="T1930" s="29">
        <v>17</v>
      </c>
    </row>
    <row r="1931" spans="19:21" x14ac:dyDescent="0.25">
      <c r="S1931" s="78">
        <v>29318</v>
      </c>
      <c r="T1931" s="29">
        <v>17</v>
      </c>
    </row>
    <row r="1932" spans="19:21" x14ac:dyDescent="0.25">
      <c r="S1932" s="78">
        <v>29319</v>
      </c>
      <c r="T1932" s="29">
        <v>17</v>
      </c>
    </row>
    <row r="1933" spans="19:21" x14ac:dyDescent="0.25">
      <c r="S1933" s="78">
        <v>29320</v>
      </c>
      <c r="T1933" s="29">
        <v>17</v>
      </c>
    </row>
    <row r="1934" spans="19:21" x14ac:dyDescent="0.25">
      <c r="S1934" s="78">
        <v>29321</v>
      </c>
      <c r="T1934" s="29">
        <v>17</v>
      </c>
    </row>
    <row r="1935" spans="19:21" x14ac:dyDescent="0.25">
      <c r="S1935" s="78">
        <v>29322</v>
      </c>
      <c r="T1935" s="29">
        <v>17</v>
      </c>
    </row>
    <row r="1936" spans="19:21" x14ac:dyDescent="0.25">
      <c r="S1936" s="78">
        <v>29323</v>
      </c>
      <c r="T1936" s="29">
        <v>17</v>
      </c>
    </row>
    <row r="1937" spans="19:20" x14ac:dyDescent="0.25">
      <c r="S1937" s="78">
        <v>29324</v>
      </c>
      <c r="T1937" s="29">
        <v>17</v>
      </c>
    </row>
    <row r="1938" spans="19:20" x14ac:dyDescent="0.25">
      <c r="S1938" s="78">
        <v>29325</v>
      </c>
      <c r="T1938" s="29">
        <v>17</v>
      </c>
    </row>
    <row r="1939" spans="19:20" x14ac:dyDescent="0.25">
      <c r="S1939" s="78">
        <v>29326</v>
      </c>
      <c r="T1939" s="29">
        <v>17</v>
      </c>
    </row>
    <row r="1940" spans="19:20" x14ac:dyDescent="0.25">
      <c r="S1940" s="78">
        <v>29327</v>
      </c>
      <c r="T1940" s="29">
        <v>17</v>
      </c>
    </row>
    <row r="1941" spans="19:20" x14ac:dyDescent="0.25">
      <c r="S1941" s="78">
        <v>29328</v>
      </c>
      <c r="T1941" s="29">
        <v>17</v>
      </c>
    </row>
    <row r="1942" spans="19:20" x14ac:dyDescent="0.25">
      <c r="S1942" s="78">
        <v>29329</v>
      </c>
      <c r="T1942" s="29">
        <v>17</v>
      </c>
    </row>
    <row r="1943" spans="19:20" x14ac:dyDescent="0.25">
      <c r="S1943" s="78">
        <v>29330</v>
      </c>
      <c r="T1943" s="29">
        <v>17</v>
      </c>
    </row>
    <row r="1944" spans="19:20" x14ac:dyDescent="0.25">
      <c r="S1944" s="78">
        <v>29331</v>
      </c>
      <c r="T1944" s="29">
        <v>17</v>
      </c>
    </row>
    <row r="1945" spans="19:20" x14ac:dyDescent="0.25">
      <c r="S1945" s="78">
        <v>29332</v>
      </c>
      <c r="T1945" s="29">
        <v>17</v>
      </c>
    </row>
    <row r="1946" spans="19:20" x14ac:dyDescent="0.25">
      <c r="S1946" s="78">
        <v>29333</v>
      </c>
      <c r="T1946" s="29">
        <v>17</v>
      </c>
    </row>
    <row r="1947" spans="19:20" x14ac:dyDescent="0.25">
      <c r="S1947" s="78">
        <v>29334</v>
      </c>
      <c r="T1947" s="29">
        <v>17</v>
      </c>
    </row>
    <row r="1948" spans="19:20" x14ac:dyDescent="0.25">
      <c r="S1948" s="78">
        <v>29335</v>
      </c>
      <c r="T1948" s="29">
        <v>17</v>
      </c>
    </row>
    <row r="1949" spans="19:20" x14ac:dyDescent="0.25">
      <c r="S1949" s="78">
        <v>29336</v>
      </c>
      <c r="T1949" s="29">
        <v>17</v>
      </c>
    </row>
    <row r="1950" spans="19:20" x14ac:dyDescent="0.25">
      <c r="S1950" s="78">
        <v>29337</v>
      </c>
      <c r="T1950" s="29">
        <v>17</v>
      </c>
    </row>
    <row r="1951" spans="19:20" x14ac:dyDescent="0.25">
      <c r="S1951" s="78">
        <v>29338</v>
      </c>
      <c r="T1951" s="29">
        <v>17</v>
      </c>
    </row>
    <row r="1952" spans="19:20" x14ac:dyDescent="0.25">
      <c r="S1952" s="78">
        <v>29339</v>
      </c>
      <c r="T1952" s="29">
        <v>17</v>
      </c>
    </row>
    <row r="1953" spans="19:20" x14ac:dyDescent="0.25">
      <c r="S1953" s="78">
        <v>29340</v>
      </c>
      <c r="T1953" s="29">
        <v>17</v>
      </c>
    </row>
    <row r="1954" spans="19:20" x14ac:dyDescent="0.25">
      <c r="S1954" s="78">
        <v>29341</v>
      </c>
      <c r="T1954" s="29">
        <v>17</v>
      </c>
    </row>
    <row r="1955" spans="19:20" x14ac:dyDescent="0.25">
      <c r="S1955" s="78">
        <v>29342</v>
      </c>
      <c r="T1955" s="29">
        <v>17</v>
      </c>
    </row>
    <row r="1956" spans="19:20" x14ac:dyDescent="0.25">
      <c r="S1956" s="78">
        <v>29343</v>
      </c>
      <c r="T1956" s="29">
        <v>17</v>
      </c>
    </row>
    <row r="1957" spans="19:20" x14ac:dyDescent="0.25">
      <c r="S1957" s="78">
        <v>29344</v>
      </c>
      <c r="T1957" s="29">
        <v>17</v>
      </c>
    </row>
    <row r="1958" spans="19:20" x14ac:dyDescent="0.25">
      <c r="S1958" s="78">
        <v>29345</v>
      </c>
      <c r="T1958" s="29">
        <v>17</v>
      </c>
    </row>
    <row r="1959" spans="19:20" x14ac:dyDescent="0.25">
      <c r="S1959" s="78">
        <v>29346</v>
      </c>
      <c r="T1959" s="29">
        <v>17</v>
      </c>
    </row>
    <row r="1960" spans="19:20" x14ac:dyDescent="0.25">
      <c r="S1960" s="78">
        <v>29347</v>
      </c>
      <c r="T1960" s="29">
        <v>17</v>
      </c>
    </row>
    <row r="1961" spans="19:20" x14ac:dyDescent="0.25">
      <c r="S1961" s="78">
        <v>29348</v>
      </c>
      <c r="T1961" s="29">
        <v>17</v>
      </c>
    </row>
    <row r="1962" spans="19:20" x14ac:dyDescent="0.25">
      <c r="S1962" s="78">
        <v>29349</v>
      </c>
      <c r="T1962" s="29">
        <v>17</v>
      </c>
    </row>
    <row r="1963" spans="19:20" x14ac:dyDescent="0.25">
      <c r="S1963" s="78">
        <v>29350</v>
      </c>
      <c r="T1963" s="29">
        <v>17</v>
      </c>
    </row>
    <row r="1964" spans="19:20" x14ac:dyDescent="0.25">
      <c r="S1964" s="78">
        <v>29351</v>
      </c>
      <c r="T1964" s="29">
        <v>17</v>
      </c>
    </row>
    <row r="1965" spans="19:20" x14ac:dyDescent="0.25">
      <c r="S1965" s="78">
        <v>29352</v>
      </c>
      <c r="T1965" s="29">
        <v>17</v>
      </c>
    </row>
    <row r="1966" spans="19:20" x14ac:dyDescent="0.25">
      <c r="S1966" s="78">
        <v>29353</v>
      </c>
      <c r="T1966" s="29">
        <v>17</v>
      </c>
    </row>
    <row r="1967" spans="19:20" x14ac:dyDescent="0.25">
      <c r="S1967" s="78">
        <v>29354</v>
      </c>
      <c r="T1967" s="29">
        <v>17</v>
      </c>
    </row>
    <row r="1968" spans="19:20" x14ac:dyDescent="0.25">
      <c r="S1968" s="78">
        <v>29355</v>
      </c>
      <c r="T1968" s="29">
        <v>17</v>
      </c>
    </row>
    <row r="1969" spans="19:20" x14ac:dyDescent="0.25">
      <c r="S1969" s="78">
        <v>29356</v>
      </c>
      <c r="T1969" s="29">
        <v>17</v>
      </c>
    </row>
    <row r="1970" spans="19:20" x14ac:dyDescent="0.25">
      <c r="S1970" s="78">
        <v>29357</v>
      </c>
      <c r="T1970" s="29">
        <v>17</v>
      </c>
    </row>
    <row r="1971" spans="19:20" x14ac:dyDescent="0.25">
      <c r="S1971" s="78">
        <v>29358</v>
      </c>
      <c r="T1971" s="29">
        <v>17</v>
      </c>
    </row>
    <row r="1972" spans="19:20" x14ac:dyDescent="0.25">
      <c r="S1972" s="78">
        <v>29359</v>
      </c>
      <c r="T1972" s="29">
        <v>17</v>
      </c>
    </row>
    <row r="1973" spans="19:20" x14ac:dyDescent="0.25">
      <c r="S1973" s="78">
        <v>29360</v>
      </c>
      <c r="T1973" s="29">
        <v>17</v>
      </c>
    </row>
    <row r="1974" spans="19:20" x14ac:dyDescent="0.25">
      <c r="S1974" s="78">
        <v>29361</v>
      </c>
      <c r="T1974" s="29">
        <v>17</v>
      </c>
    </row>
    <row r="1975" spans="19:20" x14ac:dyDescent="0.25">
      <c r="S1975" s="78">
        <v>29362</v>
      </c>
      <c r="T1975" s="29">
        <v>17</v>
      </c>
    </row>
    <row r="1976" spans="19:20" x14ac:dyDescent="0.25">
      <c r="S1976" s="78">
        <v>29363</v>
      </c>
      <c r="T1976" s="29">
        <v>17</v>
      </c>
    </row>
    <row r="1977" spans="19:20" x14ac:dyDescent="0.25">
      <c r="S1977" s="78">
        <v>29364</v>
      </c>
      <c r="T1977" s="29">
        <v>17</v>
      </c>
    </row>
    <row r="1978" spans="19:20" x14ac:dyDescent="0.25">
      <c r="S1978" s="78">
        <v>29365</v>
      </c>
      <c r="T1978" s="29">
        <v>17</v>
      </c>
    </row>
    <row r="1979" spans="19:20" x14ac:dyDescent="0.25">
      <c r="S1979" s="78">
        <v>29366</v>
      </c>
      <c r="T1979" s="29">
        <v>17</v>
      </c>
    </row>
    <row r="1980" spans="19:20" x14ac:dyDescent="0.25">
      <c r="S1980" s="78">
        <v>29367</v>
      </c>
      <c r="T1980" s="29">
        <v>17</v>
      </c>
    </row>
    <row r="1981" spans="19:20" x14ac:dyDescent="0.25">
      <c r="S1981" s="78">
        <v>29368</v>
      </c>
      <c r="T1981" s="29">
        <v>17</v>
      </c>
    </row>
    <row r="1982" spans="19:20" x14ac:dyDescent="0.25">
      <c r="S1982" s="78">
        <v>29369</v>
      </c>
      <c r="T1982" s="29">
        <v>17</v>
      </c>
    </row>
    <row r="1983" spans="19:20" x14ac:dyDescent="0.25">
      <c r="S1983" s="78">
        <v>29370</v>
      </c>
      <c r="T1983" s="29">
        <v>17</v>
      </c>
    </row>
    <row r="1984" spans="19:20" x14ac:dyDescent="0.25">
      <c r="S1984" s="78">
        <v>29371</v>
      </c>
      <c r="T1984" s="29">
        <v>17</v>
      </c>
    </row>
    <row r="1985" spans="19:20" x14ac:dyDescent="0.25">
      <c r="S1985" s="78">
        <v>29372</v>
      </c>
      <c r="T1985" s="29">
        <v>17</v>
      </c>
    </row>
    <row r="1986" spans="19:20" x14ac:dyDescent="0.25">
      <c r="S1986" s="78">
        <v>29373</v>
      </c>
      <c r="T1986" s="29">
        <v>17</v>
      </c>
    </row>
    <row r="1987" spans="19:20" x14ac:dyDescent="0.25">
      <c r="S1987" s="78">
        <v>29374</v>
      </c>
      <c r="T1987" s="29">
        <v>17</v>
      </c>
    </row>
    <row r="1988" spans="19:20" x14ac:dyDescent="0.25">
      <c r="S1988" s="78">
        <v>29375</v>
      </c>
      <c r="T1988" s="29">
        <v>17</v>
      </c>
    </row>
    <row r="1989" spans="19:20" x14ac:dyDescent="0.25">
      <c r="S1989" s="78">
        <v>29376</v>
      </c>
      <c r="T1989" s="29">
        <v>17</v>
      </c>
    </row>
    <row r="1990" spans="19:20" x14ac:dyDescent="0.25">
      <c r="S1990" s="78">
        <v>29377</v>
      </c>
      <c r="T1990" s="29">
        <v>17</v>
      </c>
    </row>
    <row r="1991" spans="19:20" x14ac:dyDescent="0.25">
      <c r="S1991" s="78">
        <v>29378</v>
      </c>
      <c r="T1991" s="29">
        <v>17</v>
      </c>
    </row>
    <row r="1992" spans="19:20" x14ac:dyDescent="0.25">
      <c r="S1992" s="78">
        <v>29379</v>
      </c>
      <c r="T1992" s="29">
        <v>17</v>
      </c>
    </row>
    <row r="1993" spans="19:20" x14ac:dyDescent="0.25">
      <c r="S1993" s="78">
        <v>29380</v>
      </c>
      <c r="T1993" s="29">
        <v>17</v>
      </c>
    </row>
    <row r="1994" spans="19:20" x14ac:dyDescent="0.25">
      <c r="S1994" s="78">
        <v>29381</v>
      </c>
      <c r="T1994" s="29">
        <v>17</v>
      </c>
    </row>
    <row r="1995" spans="19:20" x14ac:dyDescent="0.25">
      <c r="S1995" s="78">
        <v>29382</v>
      </c>
      <c r="T1995" s="29">
        <v>17</v>
      </c>
    </row>
    <row r="1996" spans="19:20" x14ac:dyDescent="0.25">
      <c r="S1996" s="78">
        <v>29383</v>
      </c>
      <c r="T1996" s="29">
        <v>17</v>
      </c>
    </row>
    <row r="1997" spans="19:20" x14ac:dyDescent="0.25">
      <c r="S1997" s="78">
        <v>29384</v>
      </c>
      <c r="T1997" s="29">
        <v>17</v>
      </c>
    </row>
    <row r="1998" spans="19:20" x14ac:dyDescent="0.25">
      <c r="S1998" s="78">
        <v>29385</v>
      </c>
      <c r="T1998" s="29">
        <v>17</v>
      </c>
    </row>
    <row r="1999" spans="19:20" x14ac:dyDescent="0.25">
      <c r="S1999" s="78">
        <v>29386</v>
      </c>
      <c r="T1999" s="29">
        <v>17</v>
      </c>
    </row>
    <row r="2000" spans="19:20" x14ac:dyDescent="0.25">
      <c r="S2000" s="78">
        <v>29387</v>
      </c>
      <c r="T2000" s="29">
        <v>17</v>
      </c>
    </row>
    <row r="2001" spans="19:21" x14ac:dyDescent="0.25">
      <c r="S2001" s="78">
        <v>29388</v>
      </c>
      <c r="T2001" s="29">
        <v>17</v>
      </c>
    </row>
    <row r="2002" spans="19:21" x14ac:dyDescent="0.25">
      <c r="S2002" s="78">
        <v>29389</v>
      </c>
      <c r="T2002" s="29">
        <v>17</v>
      </c>
    </row>
    <row r="2003" spans="19:21" x14ac:dyDescent="0.25">
      <c r="S2003" s="78">
        <v>29390</v>
      </c>
      <c r="T2003" s="29">
        <v>17</v>
      </c>
    </row>
    <row r="2004" spans="19:21" x14ac:dyDescent="0.25">
      <c r="S2004" s="78">
        <v>29391</v>
      </c>
      <c r="T2004" s="29">
        <v>17</v>
      </c>
    </row>
    <row r="2005" spans="19:21" x14ac:dyDescent="0.25">
      <c r="S2005" s="78">
        <v>29392</v>
      </c>
      <c r="T2005" s="29">
        <v>17</v>
      </c>
    </row>
    <row r="2006" spans="19:21" x14ac:dyDescent="0.25">
      <c r="S2006" s="78">
        <v>29393</v>
      </c>
      <c r="T2006" s="29">
        <v>17</v>
      </c>
    </row>
    <row r="2007" spans="19:21" x14ac:dyDescent="0.25">
      <c r="S2007" s="78">
        <v>29394</v>
      </c>
      <c r="T2007" s="29">
        <v>17</v>
      </c>
    </row>
    <row r="2008" spans="19:21" x14ac:dyDescent="0.25">
      <c r="S2008" s="78">
        <v>29395</v>
      </c>
      <c r="T2008" s="29">
        <v>17</v>
      </c>
    </row>
    <row r="2009" spans="19:21" x14ac:dyDescent="0.25">
      <c r="S2009" s="78">
        <v>29396</v>
      </c>
      <c r="T2009" s="29">
        <v>17</v>
      </c>
    </row>
    <row r="2010" spans="19:21" x14ac:dyDescent="0.25">
      <c r="S2010" s="78">
        <v>29397</v>
      </c>
      <c r="T2010" s="29">
        <v>17</v>
      </c>
    </row>
    <row r="2011" spans="19:21" x14ac:dyDescent="0.25">
      <c r="S2011" s="78">
        <v>29398</v>
      </c>
      <c r="T2011" s="29">
        <v>17</v>
      </c>
    </row>
    <row r="2012" spans="19:21" x14ac:dyDescent="0.25">
      <c r="S2012" s="78">
        <v>29399</v>
      </c>
      <c r="T2012" s="29">
        <v>17</v>
      </c>
    </row>
    <row r="2013" spans="19:21" x14ac:dyDescent="0.25">
      <c r="S2013" s="78">
        <v>29400</v>
      </c>
      <c r="T2013" s="29">
        <v>17</v>
      </c>
    </row>
    <row r="2014" spans="19:21" x14ac:dyDescent="0.25">
      <c r="S2014" s="78">
        <v>29401</v>
      </c>
      <c r="T2014" s="29">
        <v>17</v>
      </c>
      <c r="U2014" s="40"/>
    </row>
    <row r="2015" spans="19:21" x14ac:dyDescent="0.25">
      <c r="S2015" s="78">
        <v>29402</v>
      </c>
      <c r="T2015" s="29">
        <v>17</v>
      </c>
      <c r="U2015" s="40">
        <f>AVERAGE(T1925:T2015)</f>
        <v>17</v>
      </c>
    </row>
    <row r="2016" spans="19:21" x14ac:dyDescent="0.25">
      <c r="S2016" s="78">
        <v>29403</v>
      </c>
      <c r="T2016" s="29">
        <v>17</v>
      </c>
    </row>
    <row r="2017" spans="19:20" x14ac:dyDescent="0.25">
      <c r="S2017" s="78">
        <v>29404</v>
      </c>
      <c r="T2017" s="29">
        <v>17</v>
      </c>
    </row>
    <row r="2018" spans="19:20" x14ac:dyDescent="0.25">
      <c r="S2018" s="78">
        <v>29405</v>
      </c>
      <c r="T2018" s="29">
        <v>16</v>
      </c>
    </row>
    <row r="2019" spans="19:20" x14ac:dyDescent="0.25">
      <c r="S2019" s="78">
        <v>29406</v>
      </c>
      <c r="T2019" s="29">
        <v>16</v>
      </c>
    </row>
    <row r="2020" spans="19:20" x14ac:dyDescent="0.25">
      <c r="S2020" s="78">
        <v>29407</v>
      </c>
      <c r="T2020" s="29">
        <v>16</v>
      </c>
    </row>
    <row r="2021" spans="19:20" x14ac:dyDescent="0.25">
      <c r="S2021" s="78">
        <v>29408</v>
      </c>
      <c r="T2021" s="29">
        <v>16</v>
      </c>
    </row>
    <row r="2022" spans="19:20" x14ac:dyDescent="0.25">
      <c r="S2022" s="78">
        <v>29409</v>
      </c>
      <c r="T2022" s="29">
        <v>16</v>
      </c>
    </row>
    <row r="2023" spans="19:20" x14ac:dyDescent="0.25">
      <c r="S2023" s="78">
        <v>29410</v>
      </c>
      <c r="T2023" s="29">
        <v>16</v>
      </c>
    </row>
    <row r="2024" spans="19:20" x14ac:dyDescent="0.25">
      <c r="S2024" s="78">
        <v>29411</v>
      </c>
      <c r="T2024" s="29">
        <v>16</v>
      </c>
    </row>
    <row r="2025" spans="19:20" x14ac:dyDescent="0.25">
      <c r="S2025" s="78">
        <v>29412</v>
      </c>
      <c r="T2025" s="29">
        <v>16</v>
      </c>
    </row>
    <row r="2026" spans="19:20" x14ac:dyDescent="0.25">
      <c r="S2026" s="78">
        <v>29413</v>
      </c>
      <c r="T2026" s="29">
        <v>16</v>
      </c>
    </row>
    <row r="2027" spans="19:20" x14ac:dyDescent="0.25">
      <c r="S2027" s="78">
        <v>29414</v>
      </c>
      <c r="T2027" s="29">
        <v>16</v>
      </c>
    </row>
    <row r="2028" spans="19:20" x14ac:dyDescent="0.25">
      <c r="S2028" s="78">
        <v>29415</v>
      </c>
      <c r="T2028" s="29">
        <v>16</v>
      </c>
    </row>
    <row r="2029" spans="19:20" x14ac:dyDescent="0.25">
      <c r="S2029" s="78">
        <v>29416</v>
      </c>
      <c r="T2029" s="29">
        <v>16</v>
      </c>
    </row>
    <row r="2030" spans="19:20" x14ac:dyDescent="0.25">
      <c r="S2030" s="78">
        <v>29417</v>
      </c>
      <c r="T2030" s="29">
        <v>16</v>
      </c>
    </row>
    <row r="2031" spans="19:20" x14ac:dyDescent="0.25">
      <c r="S2031" s="78">
        <v>29418</v>
      </c>
      <c r="T2031" s="29">
        <v>16</v>
      </c>
    </row>
    <row r="2032" spans="19:20" x14ac:dyDescent="0.25">
      <c r="S2032" s="78">
        <v>29419</v>
      </c>
      <c r="T2032" s="29">
        <v>16</v>
      </c>
    </row>
    <row r="2033" spans="19:20" x14ac:dyDescent="0.25">
      <c r="S2033" s="78">
        <v>29420</v>
      </c>
      <c r="T2033" s="29">
        <v>16</v>
      </c>
    </row>
    <row r="2034" spans="19:20" x14ac:dyDescent="0.25">
      <c r="S2034" s="78">
        <v>29421</v>
      </c>
      <c r="T2034" s="29">
        <v>16</v>
      </c>
    </row>
    <row r="2035" spans="19:20" x14ac:dyDescent="0.25">
      <c r="S2035" s="78">
        <v>29422</v>
      </c>
      <c r="T2035" s="29">
        <v>16</v>
      </c>
    </row>
    <row r="2036" spans="19:20" x14ac:dyDescent="0.25">
      <c r="S2036" s="78">
        <v>29423</v>
      </c>
      <c r="T2036" s="29">
        <v>16</v>
      </c>
    </row>
    <row r="2037" spans="19:20" x14ac:dyDescent="0.25">
      <c r="S2037" s="78">
        <v>29424</v>
      </c>
      <c r="T2037" s="29">
        <v>16</v>
      </c>
    </row>
    <row r="2038" spans="19:20" x14ac:dyDescent="0.25">
      <c r="S2038" s="78">
        <v>29425</v>
      </c>
      <c r="T2038" s="29">
        <v>16</v>
      </c>
    </row>
    <row r="2039" spans="19:20" x14ac:dyDescent="0.25">
      <c r="S2039" s="78">
        <v>29426</v>
      </c>
      <c r="T2039" s="29">
        <v>16</v>
      </c>
    </row>
    <row r="2040" spans="19:20" x14ac:dyDescent="0.25">
      <c r="S2040" s="78">
        <v>29427</v>
      </c>
      <c r="T2040" s="29">
        <v>16</v>
      </c>
    </row>
    <row r="2041" spans="19:20" x14ac:dyDescent="0.25">
      <c r="S2041" s="78">
        <v>29428</v>
      </c>
      <c r="T2041" s="29">
        <v>16</v>
      </c>
    </row>
    <row r="2042" spans="19:20" x14ac:dyDescent="0.25">
      <c r="S2042" s="78">
        <v>29429</v>
      </c>
      <c r="T2042" s="29">
        <v>16</v>
      </c>
    </row>
    <row r="2043" spans="19:20" x14ac:dyDescent="0.25">
      <c r="S2043" s="78">
        <v>29430</v>
      </c>
      <c r="T2043" s="29">
        <v>16</v>
      </c>
    </row>
    <row r="2044" spans="19:20" x14ac:dyDescent="0.25">
      <c r="S2044" s="78">
        <v>29431</v>
      </c>
      <c r="T2044" s="29">
        <v>16</v>
      </c>
    </row>
    <row r="2045" spans="19:20" x14ac:dyDescent="0.25">
      <c r="S2045" s="78">
        <v>29432</v>
      </c>
      <c r="T2045" s="29">
        <v>16</v>
      </c>
    </row>
    <row r="2046" spans="19:20" x14ac:dyDescent="0.25">
      <c r="S2046" s="78">
        <v>29433</v>
      </c>
      <c r="T2046" s="29">
        <v>16</v>
      </c>
    </row>
    <row r="2047" spans="19:20" x14ac:dyDescent="0.25">
      <c r="S2047" s="78">
        <v>29434</v>
      </c>
      <c r="T2047" s="29">
        <v>16</v>
      </c>
    </row>
    <row r="2048" spans="19:20" x14ac:dyDescent="0.25">
      <c r="S2048" s="78">
        <v>29435</v>
      </c>
      <c r="T2048" s="29">
        <v>16</v>
      </c>
    </row>
    <row r="2049" spans="19:20" x14ac:dyDescent="0.25">
      <c r="S2049" s="78">
        <v>29436</v>
      </c>
      <c r="T2049" s="29">
        <v>16</v>
      </c>
    </row>
    <row r="2050" spans="19:20" x14ac:dyDescent="0.25">
      <c r="S2050" s="78">
        <v>29437</v>
      </c>
      <c r="T2050" s="29">
        <v>16</v>
      </c>
    </row>
    <row r="2051" spans="19:20" x14ac:dyDescent="0.25">
      <c r="S2051" s="78">
        <v>29438</v>
      </c>
      <c r="T2051" s="29">
        <v>16</v>
      </c>
    </row>
    <row r="2052" spans="19:20" x14ac:dyDescent="0.25">
      <c r="S2052" s="78">
        <v>29439</v>
      </c>
      <c r="T2052" s="29">
        <v>16</v>
      </c>
    </row>
    <row r="2053" spans="19:20" x14ac:dyDescent="0.25">
      <c r="S2053" s="78">
        <v>29440</v>
      </c>
      <c r="T2053" s="29">
        <v>16</v>
      </c>
    </row>
    <row r="2054" spans="19:20" x14ac:dyDescent="0.25">
      <c r="S2054" s="78">
        <v>29441</v>
      </c>
      <c r="T2054" s="29">
        <v>16</v>
      </c>
    </row>
    <row r="2055" spans="19:20" x14ac:dyDescent="0.25">
      <c r="S2055" s="78">
        <v>29442</v>
      </c>
      <c r="T2055" s="29">
        <v>16</v>
      </c>
    </row>
    <row r="2056" spans="19:20" x14ac:dyDescent="0.25">
      <c r="S2056" s="78">
        <v>29443</v>
      </c>
      <c r="T2056" s="29">
        <v>16</v>
      </c>
    </row>
    <row r="2057" spans="19:20" x14ac:dyDescent="0.25">
      <c r="S2057" s="78">
        <v>29444</v>
      </c>
      <c r="T2057" s="29">
        <v>16</v>
      </c>
    </row>
    <row r="2058" spans="19:20" x14ac:dyDescent="0.25">
      <c r="S2058" s="78">
        <v>29445</v>
      </c>
      <c r="T2058" s="29">
        <v>16</v>
      </c>
    </row>
    <row r="2059" spans="19:20" x14ac:dyDescent="0.25">
      <c r="S2059" s="78">
        <v>29446</v>
      </c>
      <c r="T2059" s="29">
        <v>16</v>
      </c>
    </row>
    <row r="2060" spans="19:20" x14ac:dyDescent="0.25">
      <c r="S2060" s="78">
        <v>29447</v>
      </c>
      <c r="T2060" s="29">
        <v>16</v>
      </c>
    </row>
    <row r="2061" spans="19:20" x14ac:dyDescent="0.25">
      <c r="S2061" s="78">
        <v>29448</v>
      </c>
      <c r="T2061" s="29">
        <v>16</v>
      </c>
    </row>
    <row r="2062" spans="19:20" x14ac:dyDescent="0.25">
      <c r="S2062" s="78">
        <v>29449</v>
      </c>
      <c r="T2062" s="29">
        <v>16</v>
      </c>
    </row>
    <row r="2063" spans="19:20" x14ac:dyDescent="0.25">
      <c r="S2063" s="78">
        <v>29450</v>
      </c>
      <c r="T2063" s="29">
        <v>16</v>
      </c>
    </row>
    <row r="2064" spans="19:20" x14ac:dyDescent="0.25">
      <c r="S2064" s="78">
        <v>29451</v>
      </c>
      <c r="T2064" s="29">
        <v>16</v>
      </c>
    </row>
    <row r="2065" spans="19:20" x14ac:dyDescent="0.25">
      <c r="S2065" s="78">
        <v>29452</v>
      </c>
      <c r="T2065" s="29">
        <v>16</v>
      </c>
    </row>
    <row r="2066" spans="19:20" x14ac:dyDescent="0.25">
      <c r="S2066" s="78">
        <v>29453</v>
      </c>
      <c r="T2066" s="29">
        <v>16</v>
      </c>
    </row>
    <row r="2067" spans="19:20" x14ac:dyDescent="0.25">
      <c r="S2067" s="78">
        <v>29454</v>
      </c>
      <c r="T2067" s="29">
        <v>16</v>
      </c>
    </row>
    <row r="2068" spans="19:20" x14ac:dyDescent="0.25">
      <c r="S2068" s="78">
        <v>29455</v>
      </c>
      <c r="T2068" s="29">
        <v>16</v>
      </c>
    </row>
    <row r="2069" spans="19:20" x14ac:dyDescent="0.25">
      <c r="S2069" s="78">
        <v>29456</v>
      </c>
      <c r="T2069" s="29">
        <v>16</v>
      </c>
    </row>
    <row r="2070" spans="19:20" x14ac:dyDescent="0.25">
      <c r="S2070" s="78">
        <v>29457</v>
      </c>
      <c r="T2070" s="29">
        <v>16</v>
      </c>
    </row>
    <row r="2071" spans="19:20" x14ac:dyDescent="0.25">
      <c r="S2071" s="78">
        <v>29458</v>
      </c>
      <c r="T2071" s="29">
        <v>16</v>
      </c>
    </row>
    <row r="2072" spans="19:20" x14ac:dyDescent="0.25">
      <c r="S2072" s="78">
        <v>29459</v>
      </c>
      <c r="T2072" s="29">
        <v>16</v>
      </c>
    </row>
    <row r="2073" spans="19:20" x14ac:dyDescent="0.25">
      <c r="S2073" s="78">
        <v>29460</v>
      </c>
      <c r="T2073" s="29">
        <v>16</v>
      </c>
    </row>
    <row r="2074" spans="19:20" x14ac:dyDescent="0.25">
      <c r="S2074" s="78">
        <v>29461</v>
      </c>
      <c r="T2074" s="29">
        <v>16</v>
      </c>
    </row>
    <row r="2075" spans="19:20" x14ac:dyDescent="0.25">
      <c r="S2075" s="78">
        <v>29462</v>
      </c>
      <c r="T2075" s="29">
        <v>16</v>
      </c>
    </row>
    <row r="2076" spans="19:20" x14ac:dyDescent="0.25">
      <c r="S2076" s="78">
        <v>29463</v>
      </c>
      <c r="T2076" s="29">
        <v>16</v>
      </c>
    </row>
    <row r="2077" spans="19:20" x14ac:dyDescent="0.25">
      <c r="S2077" s="78">
        <v>29464</v>
      </c>
      <c r="T2077" s="29">
        <v>16</v>
      </c>
    </row>
    <row r="2078" spans="19:20" x14ac:dyDescent="0.25">
      <c r="S2078" s="78">
        <v>29465</v>
      </c>
      <c r="T2078" s="29">
        <v>16</v>
      </c>
    </row>
    <row r="2079" spans="19:20" x14ac:dyDescent="0.25">
      <c r="S2079" s="78">
        <v>29466</v>
      </c>
      <c r="T2079" s="29">
        <v>16</v>
      </c>
    </row>
    <row r="2080" spans="19:20" x14ac:dyDescent="0.25">
      <c r="S2080" s="78">
        <v>29467</v>
      </c>
      <c r="T2080" s="29">
        <v>16</v>
      </c>
    </row>
    <row r="2081" spans="19:20" x14ac:dyDescent="0.25">
      <c r="S2081" s="78">
        <v>29468</v>
      </c>
      <c r="T2081" s="29">
        <v>16</v>
      </c>
    </row>
    <row r="2082" spans="19:20" x14ac:dyDescent="0.25">
      <c r="S2082" s="78">
        <v>29469</v>
      </c>
      <c r="T2082" s="29">
        <v>16</v>
      </c>
    </row>
    <row r="2083" spans="19:20" x14ac:dyDescent="0.25">
      <c r="S2083" s="78">
        <v>29470</v>
      </c>
      <c r="T2083" s="29">
        <v>16</v>
      </c>
    </row>
    <row r="2084" spans="19:20" x14ac:dyDescent="0.25">
      <c r="S2084" s="78">
        <v>29471</v>
      </c>
      <c r="T2084" s="29">
        <v>16</v>
      </c>
    </row>
    <row r="2085" spans="19:20" x14ac:dyDescent="0.25">
      <c r="S2085" s="78">
        <v>29472</v>
      </c>
      <c r="T2085" s="29">
        <v>16</v>
      </c>
    </row>
    <row r="2086" spans="19:20" x14ac:dyDescent="0.25">
      <c r="S2086" s="78">
        <v>29473</v>
      </c>
      <c r="T2086" s="29">
        <v>16</v>
      </c>
    </row>
    <row r="2087" spans="19:20" x14ac:dyDescent="0.25">
      <c r="S2087" s="78">
        <v>29474</v>
      </c>
      <c r="T2087" s="29">
        <v>16</v>
      </c>
    </row>
    <row r="2088" spans="19:20" x14ac:dyDescent="0.25">
      <c r="S2088" s="78">
        <v>29475</v>
      </c>
      <c r="T2088" s="29">
        <v>16</v>
      </c>
    </row>
    <row r="2089" spans="19:20" x14ac:dyDescent="0.25">
      <c r="S2089" s="78">
        <v>29476</v>
      </c>
      <c r="T2089" s="29">
        <v>16</v>
      </c>
    </row>
    <row r="2090" spans="19:20" x14ac:dyDescent="0.25">
      <c r="S2090" s="78">
        <v>29477</v>
      </c>
      <c r="T2090" s="29">
        <v>16</v>
      </c>
    </row>
    <row r="2091" spans="19:20" x14ac:dyDescent="0.25">
      <c r="S2091" s="78">
        <v>29478</v>
      </c>
      <c r="T2091" s="29">
        <v>16</v>
      </c>
    </row>
    <row r="2092" spans="19:20" x14ac:dyDescent="0.25">
      <c r="S2092" s="78">
        <v>29479</v>
      </c>
      <c r="T2092" s="29">
        <v>16</v>
      </c>
    </row>
    <row r="2093" spans="19:20" x14ac:dyDescent="0.25">
      <c r="S2093" s="78">
        <v>29480</v>
      </c>
      <c r="T2093" s="29">
        <v>16</v>
      </c>
    </row>
    <row r="2094" spans="19:20" x14ac:dyDescent="0.25">
      <c r="S2094" s="78">
        <v>29481</v>
      </c>
      <c r="T2094" s="29">
        <v>16</v>
      </c>
    </row>
    <row r="2095" spans="19:20" x14ac:dyDescent="0.25">
      <c r="S2095" s="78">
        <v>29482</v>
      </c>
      <c r="T2095" s="29">
        <v>16</v>
      </c>
    </row>
    <row r="2096" spans="19:20" x14ac:dyDescent="0.25">
      <c r="S2096" s="78">
        <v>29483</v>
      </c>
      <c r="T2096" s="29">
        <v>16</v>
      </c>
    </row>
    <row r="2097" spans="19:21" x14ac:dyDescent="0.25">
      <c r="S2097" s="78">
        <v>29484</v>
      </c>
      <c r="T2097" s="29">
        <v>16</v>
      </c>
    </row>
    <row r="2098" spans="19:21" x14ac:dyDescent="0.25">
      <c r="S2098" s="78">
        <v>29485</v>
      </c>
      <c r="T2098" s="29">
        <v>16</v>
      </c>
    </row>
    <row r="2099" spans="19:21" x14ac:dyDescent="0.25">
      <c r="S2099" s="78">
        <v>29486</v>
      </c>
      <c r="T2099" s="29">
        <v>16</v>
      </c>
    </row>
    <row r="2100" spans="19:21" x14ac:dyDescent="0.25">
      <c r="S2100" s="78">
        <v>29487</v>
      </c>
      <c r="T2100" s="29">
        <v>16</v>
      </c>
    </row>
    <row r="2101" spans="19:21" x14ac:dyDescent="0.25">
      <c r="S2101" s="78">
        <v>29488</v>
      </c>
      <c r="T2101" s="29">
        <v>16</v>
      </c>
    </row>
    <row r="2102" spans="19:21" x14ac:dyDescent="0.25">
      <c r="S2102" s="78">
        <v>29489</v>
      </c>
      <c r="T2102" s="29">
        <v>16</v>
      </c>
    </row>
    <row r="2103" spans="19:21" x14ac:dyDescent="0.25">
      <c r="S2103" s="78">
        <v>29490</v>
      </c>
      <c r="T2103" s="29">
        <v>16</v>
      </c>
    </row>
    <row r="2104" spans="19:21" x14ac:dyDescent="0.25">
      <c r="S2104" s="78">
        <v>29491</v>
      </c>
      <c r="T2104" s="29">
        <v>16</v>
      </c>
    </row>
    <row r="2105" spans="19:21" x14ac:dyDescent="0.25">
      <c r="S2105" s="78">
        <v>29492</v>
      </c>
      <c r="T2105" s="29">
        <v>16</v>
      </c>
    </row>
    <row r="2106" spans="19:21" x14ac:dyDescent="0.25">
      <c r="S2106" s="78">
        <v>29493</v>
      </c>
      <c r="T2106" s="29">
        <v>16</v>
      </c>
      <c r="U2106" s="40"/>
    </row>
    <row r="2107" spans="19:21" x14ac:dyDescent="0.25">
      <c r="S2107" s="78">
        <v>29494</v>
      </c>
      <c r="T2107" s="29">
        <v>16</v>
      </c>
      <c r="U2107" s="40">
        <f>AVERAGE(T2016:T2107)</f>
        <v>16.021739130434781</v>
      </c>
    </row>
    <row r="2108" spans="19:21" x14ac:dyDescent="0.25">
      <c r="S2108" s="78">
        <v>29495</v>
      </c>
      <c r="T2108" s="29">
        <v>16</v>
      </c>
    </row>
    <row r="2109" spans="19:21" x14ac:dyDescent="0.25">
      <c r="S2109" s="78">
        <v>29496</v>
      </c>
      <c r="T2109" s="29">
        <v>16</v>
      </c>
    </row>
    <row r="2110" spans="19:21" x14ac:dyDescent="0.25">
      <c r="S2110" s="78">
        <v>29497</v>
      </c>
      <c r="T2110" s="29">
        <v>16</v>
      </c>
    </row>
    <row r="2111" spans="19:21" x14ac:dyDescent="0.25">
      <c r="S2111" s="78">
        <v>29498</v>
      </c>
      <c r="T2111" s="29">
        <v>16</v>
      </c>
    </row>
    <row r="2112" spans="19:21" x14ac:dyDescent="0.25">
      <c r="S2112" s="78">
        <v>29499</v>
      </c>
      <c r="T2112" s="29">
        <v>16</v>
      </c>
    </row>
    <row r="2113" spans="19:20" x14ac:dyDescent="0.25">
      <c r="S2113" s="78">
        <v>29500</v>
      </c>
      <c r="T2113" s="29">
        <v>16</v>
      </c>
    </row>
    <row r="2114" spans="19:20" x14ac:dyDescent="0.25">
      <c r="S2114" s="78">
        <v>29501</v>
      </c>
      <c r="T2114" s="29">
        <v>16</v>
      </c>
    </row>
    <row r="2115" spans="19:20" x14ac:dyDescent="0.25">
      <c r="S2115" s="78">
        <v>29502</v>
      </c>
      <c r="T2115" s="29">
        <v>16</v>
      </c>
    </row>
    <row r="2116" spans="19:20" x14ac:dyDescent="0.25">
      <c r="S2116" s="78">
        <v>29503</v>
      </c>
      <c r="T2116" s="29">
        <v>16</v>
      </c>
    </row>
    <row r="2117" spans="19:20" x14ac:dyDescent="0.25">
      <c r="S2117" s="78">
        <v>29504</v>
      </c>
      <c r="T2117" s="29">
        <v>16</v>
      </c>
    </row>
    <row r="2118" spans="19:20" x14ac:dyDescent="0.25">
      <c r="S2118" s="78">
        <v>29505</v>
      </c>
      <c r="T2118" s="29">
        <v>16</v>
      </c>
    </row>
    <row r="2119" spans="19:20" x14ac:dyDescent="0.25">
      <c r="S2119" s="78">
        <v>29506</v>
      </c>
      <c r="T2119" s="29">
        <v>16</v>
      </c>
    </row>
    <row r="2120" spans="19:20" x14ac:dyDescent="0.25">
      <c r="S2120" s="78">
        <v>29507</v>
      </c>
      <c r="T2120" s="29">
        <v>16</v>
      </c>
    </row>
    <row r="2121" spans="19:20" x14ac:dyDescent="0.25">
      <c r="S2121" s="78">
        <v>29508</v>
      </c>
      <c r="T2121" s="29">
        <v>16</v>
      </c>
    </row>
    <row r="2122" spans="19:20" x14ac:dyDescent="0.25">
      <c r="S2122" s="78">
        <v>29509</v>
      </c>
      <c r="T2122" s="29">
        <v>16</v>
      </c>
    </row>
    <row r="2123" spans="19:20" x14ac:dyDescent="0.25">
      <c r="S2123" s="78">
        <v>29510</v>
      </c>
      <c r="T2123" s="29">
        <v>16</v>
      </c>
    </row>
    <row r="2124" spans="19:20" x14ac:dyDescent="0.25">
      <c r="S2124" s="78">
        <v>29511</v>
      </c>
      <c r="T2124" s="29">
        <v>16</v>
      </c>
    </row>
    <row r="2125" spans="19:20" x14ac:dyDescent="0.25">
      <c r="S2125" s="78">
        <v>29512</v>
      </c>
      <c r="T2125" s="29">
        <v>16</v>
      </c>
    </row>
    <row r="2126" spans="19:20" x14ac:dyDescent="0.25">
      <c r="S2126" s="78">
        <v>29513</v>
      </c>
      <c r="T2126" s="29">
        <v>16</v>
      </c>
    </row>
    <row r="2127" spans="19:20" x14ac:dyDescent="0.25">
      <c r="S2127" s="78">
        <v>29514</v>
      </c>
      <c r="T2127" s="29">
        <v>16</v>
      </c>
    </row>
    <row r="2128" spans="19:20" x14ac:dyDescent="0.25">
      <c r="S2128" s="78">
        <v>29515</v>
      </c>
      <c r="T2128" s="29">
        <v>16</v>
      </c>
    </row>
    <row r="2129" spans="19:20" x14ac:dyDescent="0.25">
      <c r="S2129" s="78">
        <v>29516</v>
      </c>
      <c r="T2129" s="29">
        <v>16</v>
      </c>
    </row>
    <row r="2130" spans="19:20" x14ac:dyDescent="0.25">
      <c r="S2130" s="78">
        <v>29517</v>
      </c>
      <c r="T2130" s="29">
        <v>16</v>
      </c>
    </row>
    <row r="2131" spans="19:20" x14ac:dyDescent="0.25">
      <c r="S2131" s="78">
        <v>29518</v>
      </c>
      <c r="T2131" s="29">
        <v>16</v>
      </c>
    </row>
    <row r="2132" spans="19:20" x14ac:dyDescent="0.25">
      <c r="S2132" s="78">
        <v>29519</v>
      </c>
      <c r="T2132" s="29">
        <v>16</v>
      </c>
    </row>
    <row r="2133" spans="19:20" x14ac:dyDescent="0.25">
      <c r="S2133" s="78">
        <v>29520</v>
      </c>
      <c r="T2133" s="29">
        <v>16</v>
      </c>
    </row>
    <row r="2134" spans="19:20" x14ac:dyDescent="0.25">
      <c r="S2134" s="78">
        <v>29521</v>
      </c>
      <c r="T2134" s="29">
        <v>16</v>
      </c>
    </row>
    <row r="2135" spans="19:20" x14ac:dyDescent="0.25">
      <c r="S2135" s="78">
        <v>29522</v>
      </c>
      <c r="T2135" s="29">
        <v>16</v>
      </c>
    </row>
    <row r="2136" spans="19:20" x14ac:dyDescent="0.25">
      <c r="S2136" s="78">
        <v>29523</v>
      </c>
      <c r="T2136" s="29">
        <v>16</v>
      </c>
    </row>
    <row r="2137" spans="19:20" x14ac:dyDescent="0.25">
      <c r="S2137" s="78">
        <v>29524</v>
      </c>
      <c r="T2137" s="29">
        <v>16</v>
      </c>
    </row>
    <row r="2138" spans="19:20" x14ac:dyDescent="0.25">
      <c r="S2138" s="78">
        <v>29525</v>
      </c>
      <c r="T2138" s="29">
        <v>16</v>
      </c>
    </row>
    <row r="2139" spans="19:20" x14ac:dyDescent="0.25">
      <c r="S2139" s="78">
        <v>29526</v>
      </c>
      <c r="T2139" s="29">
        <v>16</v>
      </c>
    </row>
    <row r="2140" spans="19:20" x14ac:dyDescent="0.25">
      <c r="S2140" s="78">
        <v>29527</v>
      </c>
      <c r="T2140" s="29">
        <v>16</v>
      </c>
    </row>
    <row r="2141" spans="19:20" x14ac:dyDescent="0.25">
      <c r="S2141" s="78">
        <v>29528</v>
      </c>
      <c r="T2141" s="29">
        <v>16</v>
      </c>
    </row>
    <row r="2142" spans="19:20" x14ac:dyDescent="0.25">
      <c r="S2142" s="78">
        <v>29529</v>
      </c>
      <c r="T2142" s="29">
        <v>16</v>
      </c>
    </row>
    <row r="2143" spans="19:20" x14ac:dyDescent="0.25">
      <c r="S2143" s="78">
        <v>29530</v>
      </c>
      <c r="T2143" s="29">
        <v>16</v>
      </c>
    </row>
    <row r="2144" spans="19:20" x14ac:dyDescent="0.25">
      <c r="S2144" s="78">
        <v>29531</v>
      </c>
      <c r="T2144" s="29">
        <v>16</v>
      </c>
    </row>
    <row r="2145" spans="19:20" x14ac:dyDescent="0.25">
      <c r="S2145" s="78">
        <v>29532</v>
      </c>
      <c r="T2145" s="29">
        <v>16</v>
      </c>
    </row>
    <row r="2146" spans="19:20" x14ac:dyDescent="0.25">
      <c r="S2146" s="78">
        <v>29533</v>
      </c>
      <c r="T2146" s="29">
        <v>16</v>
      </c>
    </row>
    <row r="2147" spans="19:20" x14ac:dyDescent="0.25">
      <c r="S2147" s="78">
        <v>29534</v>
      </c>
      <c r="T2147" s="29">
        <v>16</v>
      </c>
    </row>
    <row r="2148" spans="19:20" x14ac:dyDescent="0.25">
      <c r="S2148" s="78">
        <v>29535</v>
      </c>
      <c r="T2148" s="29">
        <v>16</v>
      </c>
    </row>
    <row r="2149" spans="19:20" x14ac:dyDescent="0.25">
      <c r="S2149" s="78">
        <v>29536</v>
      </c>
      <c r="T2149" s="29">
        <v>16</v>
      </c>
    </row>
    <row r="2150" spans="19:20" x14ac:dyDescent="0.25">
      <c r="S2150" s="78">
        <v>29537</v>
      </c>
      <c r="T2150" s="29">
        <v>16</v>
      </c>
    </row>
    <row r="2151" spans="19:20" x14ac:dyDescent="0.25">
      <c r="S2151" s="78">
        <v>29538</v>
      </c>
      <c r="T2151" s="29">
        <v>16</v>
      </c>
    </row>
    <row r="2152" spans="19:20" x14ac:dyDescent="0.25">
      <c r="S2152" s="78">
        <v>29539</v>
      </c>
      <c r="T2152" s="29">
        <v>16</v>
      </c>
    </row>
    <row r="2153" spans="19:20" x14ac:dyDescent="0.25">
      <c r="S2153" s="78">
        <v>29540</v>
      </c>
      <c r="T2153" s="29">
        <v>16</v>
      </c>
    </row>
    <row r="2154" spans="19:20" x14ac:dyDescent="0.25">
      <c r="S2154" s="78">
        <v>29541</v>
      </c>
      <c r="T2154" s="29">
        <v>16</v>
      </c>
    </row>
    <row r="2155" spans="19:20" x14ac:dyDescent="0.25">
      <c r="S2155" s="78">
        <v>29542</v>
      </c>
      <c r="T2155" s="29">
        <v>16</v>
      </c>
    </row>
    <row r="2156" spans="19:20" x14ac:dyDescent="0.25">
      <c r="S2156" s="78">
        <v>29543</v>
      </c>
      <c r="T2156" s="29">
        <v>16</v>
      </c>
    </row>
    <row r="2157" spans="19:20" x14ac:dyDescent="0.25">
      <c r="S2157" s="78">
        <v>29544</v>
      </c>
      <c r="T2157" s="29">
        <v>16</v>
      </c>
    </row>
    <row r="2158" spans="19:20" x14ac:dyDescent="0.25">
      <c r="S2158" s="78">
        <v>29545</v>
      </c>
      <c r="T2158" s="29">
        <v>16</v>
      </c>
    </row>
    <row r="2159" spans="19:20" x14ac:dyDescent="0.25">
      <c r="S2159" s="78">
        <v>29546</v>
      </c>
      <c r="T2159" s="29">
        <v>16</v>
      </c>
    </row>
    <row r="2160" spans="19:20" x14ac:dyDescent="0.25">
      <c r="S2160" s="78">
        <v>29547</v>
      </c>
      <c r="T2160" s="29">
        <v>16</v>
      </c>
    </row>
    <row r="2161" spans="19:20" x14ac:dyDescent="0.25">
      <c r="S2161" s="78">
        <v>29548</v>
      </c>
      <c r="T2161" s="29">
        <v>16</v>
      </c>
    </row>
    <row r="2162" spans="19:20" x14ac:dyDescent="0.25">
      <c r="S2162" s="78">
        <v>29549</v>
      </c>
      <c r="T2162" s="29">
        <v>16</v>
      </c>
    </row>
    <row r="2163" spans="19:20" x14ac:dyDescent="0.25">
      <c r="S2163" s="78">
        <v>29550</v>
      </c>
      <c r="T2163" s="29">
        <v>14</v>
      </c>
    </row>
    <row r="2164" spans="19:20" x14ac:dyDescent="0.25">
      <c r="S2164" s="78">
        <v>29551</v>
      </c>
      <c r="T2164" s="29">
        <v>14</v>
      </c>
    </row>
    <row r="2165" spans="19:20" x14ac:dyDescent="0.25">
      <c r="S2165" s="78">
        <v>29552</v>
      </c>
      <c r="T2165" s="29">
        <v>14</v>
      </c>
    </row>
    <row r="2166" spans="19:20" x14ac:dyDescent="0.25">
      <c r="S2166" s="78">
        <v>29553</v>
      </c>
      <c r="T2166" s="29">
        <v>14</v>
      </c>
    </row>
    <row r="2167" spans="19:20" x14ac:dyDescent="0.25">
      <c r="S2167" s="78">
        <v>29554</v>
      </c>
      <c r="T2167" s="29">
        <v>14</v>
      </c>
    </row>
    <row r="2168" spans="19:20" x14ac:dyDescent="0.25">
      <c r="S2168" s="78">
        <v>29555</v>
      </c>
      <c r="T2168" s="29">
        <v>14</v>
      </c>
    </row>
    <row r="2169" spans="19:20" x14ac:dyDescent="0.25">
      <c r="S2169" s="78">
        <v>29556</v>
      </c>
      <c r="T2169" s="29">
        <v>14</v>
      </c>
    </row>
    <row r="2170" spans="19:20" x14ac:dyDescent="0.25">
      <c r="S2170" s="78">
        <v>29557</v>
      </c>
      <c r="T2170" s="29">
        <v>14</v>
      </c>
    </row>
    <row r="2171" spans="19:20" x14ac:dyDescent="0.25">
      <c r="S2171" s="78">
        <v>29558</v>
      </c>
      <c r="T2171" s="29">
        <v>14</v>
      </c>
    </row>
    <row r="2172" spans="19:20" x14ac:dyDescent="0.25">
      <c r="S2172" s="78">
        <v>29559</v>
      </c>
      <c r="T2172" s="29">
        <v>14</v>
      </c>
    </row>
    <row r="2173" spans="19:20" x14ac:dyDescent="0.25">
      <c r="S2173" s="78">
        <v>29560</v>
      </c>
      <c r="T2173" s="29">
        <v>14</v>
      </c>
    </row>
    <row r="2174" spans="19:20" x14ac:dyDescent="0.25">
      <c r="S2174" s="78">
        <v>29561</v>
      </c>
      <c r="T2174" s="29">
        <v>14</v>
      </c>
    </row>
    <row r="2175" spans="19:20" x14ac:dyDescent="0.25">
      <c r="S2175" s="78">
        <v>29562</v>
      </c>
      <c r="T2175" s="29">
        <v>14</v>
      </c>
    </row>
    <row r="2176" spans="19:20" x14ac:dyDescent="0.25">
      <c r="S2176" s="78">
        <v>29563</v>
      </c>
      <c r="T2176" s="29">
        <v>14</v>
      </c>
    </row>
    <row r="2177" spans="19:20" x14ac:dyDescent="0.25">
      <c r="S2177" s="78">
        <v>29564</v>
      </c>
      <c r="T2177" s="29">
        <v>14</v>
      </c>
    </row>
    <row r="2178" spans="19:20" x14ac:dyDescent="0.25">
      <c r="S2178" s="78">
        <v>29565</v>
      </c>
      <c r="T2178" s="29">
        <v>14</v>
      </c>
    </row>
    <row r="2179" spans="19:20" x14ac:dyDescent="0.25">
      <c r="S2179" s="78">
        <v>29566</v>
      </c>
      <c r="T2179" s="29">
        <v>14</v>
      </c>
    </row>
    <row r="2180" spans="19:20" x14ac:dyDescent="0.25">
      <c r="S2180" s="78">
        <v>29567</v>
      </c>
      <c r="T2180" s="29">
        <v>14</v>
      </c>
    </row>
    <row r="2181" spans="19:20" x14ac:dyDescent="0.25">
      <c r="S2181" s="78">
        <v>29568</v>
      </c>
      <c r="T2181" s="29">
        <v>14</v>
      </c>
    </row>
    <row r="2182" spans="19:20" x14ac:dyDescent="0.25">
      <c r="S2182" s="78">
        <v>29569</v>
      </c>
      <c r="T2182" s="29">
        <v>14</v>
      </c>
    </row>
    <row r="2183" spans="19:20" x14ac:dyDescent="0.25">
      <c r="S2183" s="78">
        <v>29570</v>
      </c>
      <c r="T2183" s="29">
        <v>14</v>
      </c>
    </row>
    <row r="2184" spans="19:20" x14ac:dyDescent="0.25">
      <c r="S2184" s="78">
        <v>29571</v>
      </c>
      <c r="T2184" s="29">
        <v>14</v>
      </c>
    </row>
    <row r="2185" spans="19:20" x14ac:dyDescent="0.25">
      <c r="S2185" s="78">
        <v>29572</v>
      </c>
      <c r="T2185" s="29">
        <v>14</v>
      </c>
    </row>
    <row r="2186" spans="19:20" x14ac:dyDescent="0.25">
      <c r="S2186" s="78">
        <v>29573</v>
      </c>
      <c r="T2186" s="29">
        <v>14</v>
      </c>
    </row>
    <row r="2187" spans="19:20" x14ac:dyDescent="0.25">
      <c r="S2187" s="78">
        <v>29574</v>
      </c>
      <c r="T2187" s="29">
        <v>14</v>
      </c>
    </row>
    <row r="2188" spans="19:20" x14ac:dyDescent="0.25">
      <c r="S2188" s="78">
        <v>29575</v>
      </c>
      <c r="T2188" s="29">
        <v>14</v>
      </c>
    </row>
    <row r="2189" spans="19:20" x14ac:dyDescent="0.25">
      <c r="S2189" s="78">
        <v>29576</v>
      </c>
      <c r="T2189" s="29">
        <v>14</v>
      </c>
    </row>
    <row r="2190" spans="19:20" x14ac:dyDescent="0.25">
      <c r="S2190" s="78">
        <v>29577</v>
      </c>
      <c r="T2190" s="29">
        <v>14</v>
      </c>
    </row>
    <row r="2191" spans="19:20" x14ac:dyDescent="0.25">
      <c r="S2191" s="78">
        <v>29578</v>
      </c>
      <c r="T2191" s="29">
        <v>14</v>
      </c>
    </row>
    <row r="2192" spans="19:20" x14ac:dyDescent="0.25">
      <c r="S2192" s="78">
        <v>29579</v>
      </c>
      <c r="T2192" s="29">
        <v>14</v>
      </c>
    </row>
    <row r="2193" spans="19:21" x14ac:dyDescent="0.25">
      <c r="S2193" s="78">
        <v>29580</v>
      </c>
      <c r="T2193" s="29">
        <v>14</v>
      </c>
    </row>
    <row r="2194" spans="19:21" x14ac:dyDescent="0.25">
      <c r="S2194" s="78">
        <v>29581</v>
      </c>
      <c r="T2194" s="29">
        <v>14</v>
      </c>
    </row>
    <row r="2195" spans="19:21" x14ac:dyDescent="0.25">
      <c r="S2195" s="78">
        <v>29582</v>
      </c>
      <c r="T2195" s="29">
        <v>14</v>
      </c>
    </row>
    <row r="2196" spans="19:21" x14ac:dyDescent="0.25">
      <c r="S2196" s="78">
        <v>29583</v>
      </c>
      <c r="T2196" s="29">
        <v>14</v>
      </c>
    </row>
    <row r="2197" spans="19:21" x14ac:dyDescent="0.25">
      <c r="S2197" s="78">
        <v>29584</v>
      </c>
      <c r="T2197" s="29">
        <v>14</v>
      </c>
    </row>
    <row r="2198" spans="19:21" x14ac:dyDescent="0.25">
      <c r="S2198" s="78">
        <v>29585</v>
      </c>
      <c r="T2198" s="29">
        <v>14</v>
      </c>
      <c r="U2198" s="40"/>
    </row>
    <row r="2199" spans="19:21" x14ac:dyDescent="0.25">
      <c r="S2199" s="78">
        <v>29586</v>
      </c>
      <c r="T2199" s="29">
        <v>14</v>
      </c>
      <c r="U2199" s="40">
        <f>AVERAGE(T2108:T2199)</f>
        <v>15.195652173913043</v>
      </c>
    </row>
    <row r="2200" spans="19:21" x14ac:dyDescent="0.25">
      <c r="S2200" s="78">
        <v>29587</v>
      </c>
      <c r="T2200" s="29">
        <v>14</v>
      </c>
    </row>
    <row r="2201" spans="19:21" x14ac:dyDescent="0.25">
      <c r="S2201" s="78">
        <v>29588</v>
      </c>
      <c r="T2201" s="29">
        <v>14</v>
      </c>
    </row>
    <row r="2202" spans="19:21" x14ac:dyDescent="0.25">
      <c r="S2202" s="78">
        <v>29589</v>
      </c>
      <c r="T2202" s="29">
        <v>14</v>
      </c>
    </row>
    <row r="2203" spans="19:21" x14ac:dyDescent="0.25">
      <c r="S2203" s="78">
        <v>29590</v>
      </c>
      <c r="T2203" s="29">
        <v>14</v>
      </c>
    </row>
    <row r="2204" spans="19:21" x14ac:dyDescent="0.25">
      <c r="S2204" s="78">
        <v>29591</v>
      </c>
      <c r="T2204" s="29">
        <v>14</v>
      </c>
    </row>
    <row r="2205" spans="19:21" x14ac:dyDescent="0.25">
      <c r="S2205" s="78">
        <v>29592</v>
      </c>
      <c r="T2205" s="29">
        <v>14</v>
      </c>
    </row>
    <row r="2206" spans="19:21" x14ac:dyDescent="0.25">
      <c r="S2206" s="78">
        <v>29593</v>
      </c>
      <c r="T2206" s="29">
        <v>14</v>
      </c>
    </row>
    <row r="2207" spans="19:21" x14ac:dyDescent="0.25">
      <c r="S2207" s="78">
        <v>29594</v>
      </c>
      <c r="T2207" s="29">
        <v>14</v>
      </c>
    </row>
    <row r="2208" spans="19:21" x14ac:dyDescent="0.25">
      <c r="S2208" s="78">
        <v>29595</v>
      </c>
      <c r="T2208" s="29">
        <v>14</v>
      </c>
    </row>
    <row r="2209" spans="19:20" x14ac:dyDescent="0.25">
      <c r="S2209" s="78">
        <v>29596</v>
      </c>
      <c r="T2209" s="29">
        <v>14</v>
      </c>
    </row>
    <row r="2210" spans="19:20" x14ac:dyDescent="0.25">
      <c r="S2210" s="78">
        <v>29597</v>
      </c>
      <c r="T2210" s="29">
        <v>14</v>
      </c>
    </row>
    <row r="2211" spans="19:20" x14ac:dyDescent="0.25">
      <c r="S2211" s="78">
        <v>29598</v>
      </c>
      <c r="T2211" s="29">
        <v>14</v>
      </c>
    </row>
    <row r="2212" spans="19:20" x14ac:dyDescent="0.25">
      <c r="S2212" s="78">
        <v>29599</v>
      </c>
      <c r="T2212" s="29">
        <v>14</v>
      </c>
    </row>
    <row r="2213" spans="19:20" x14ac:dyDescent="0.25">
      <c r="S2213" s="78">
        <v>29600</v>
      </c>
      <c r="T2213" s="29">
        <v>14</v>
      </c>
    </row>
    <row r="2214" spans="19:20" x14ac:dyDescent="0.25">
      <c r="S2214" s="78">
        <v>29601</v>
      </c>
      <c r="T2214" s="29">
        <v>14</v>
      </c>
    </row>
    <row r="2215" spans="19:20" x14ac:dyDescent="0.25">
      <c r="S2215" s="78">
        <v>29602</v>
      </c>
      <c r="T2215" s="29">
        <v>14</v>
      </c>
    </row>
    <row r="2216" spans="19:20" x14ac:dyDescent="0.25">
      <c r="S2216" s="78">
        <v>29603</v>
      </c>
      <c r="T2216" s="29">
        <v>14</v>
      </c>
    </row>
    <row r="2217" spans="19:20" x14ac:dyDescent="0.25">
      <c r="S2217" s="78">
        <v>29604</v>
      </c>
      <c r="T2217" s="29">
        <v>14</v>
      </c>
    </row>
    <row r="2218" spans="19:20" x14ac:dyDescent="0.25">
      <c r="S2218" s="78">
        <v>29605</v>
      </c>
      <c r="T2218" s="29">
        <v>14</v>
      </c>
    </row>
    <row r="2219" spans="19:20" x14ac:dyDescent="0.25">
      <c r="S2219" s="78">
        <v>29606</v>
      </c>
      <c r="T2219" s="29">
        <v>14</v>
      </c>
    </row>
    <row r="2220" spans="19:20" x14ac:dyDescent="0.25">
      <c r="S2220" s="78">
        <v>29607</v>
      </c>
      <c r="T2220" s="29">
        <v>14</v>
      </c>
    </row>
    <row r="2221" spans="19:20" x14ac:dyDescent="0.25">
      <c r="S2221" s="78">
        <v>29608</v>
      </c>
      <c r="T2221" s="29">
        <v>14</v>
      </c>
    </row>
    <row r="2222" spans="19:20" x14ac:dyDescent="0.25">
      <c r="S2222" s="78">
        <v>29609</v>
      </c>
      <c r="T2222" s="29">
        <v>14</v>
      </c>
    </row>
    <row r="2223" spans="19:20" x14ac:dyDescent="0.25">
      <c r="S2223" s="78">
        <v>29610</v>
      </c>
      <c r="T2223" s="29">
        <v>14</v>
      </c>
    </row>
    <row r="2224" spans="19:20" x14ac:dyDescent="0.25">
      <c r="S2224" s="78">
        <v>29611</v>
      </c>
      <c r="T2224" s="29">
        <v>14</v>
      </c>
    </row>
    <row r="2225" spans="19:20" x14ac:dyDescent="0.25">
      <c r="S2225" s="78">
        <v>29612</v>
      </c>
      <c r="T2225" s="29">
        <v>14</v>
      </c>
    </row>
    <row r="2226" spans="19:20" x14ac:dyDescent="0.25">
      <c r="S2226" s="78">
        <v>29613</v>
      </c>
      <c r="T2226" s="29">
        <v>14</v>
      </c>
    </row>
    <row r="2227" spans="19:20" x14ac:dyDescent="0.25">
      <c r="S2227" s="78">
        <v>29614</v>
      </c>
      <c r="T2227" s="29">
        <v>14</v>
      </c>
    </row>
    <row r="2228" spans="19:20" x14ac:dyDescent="0.25">
      <c r="S2228" s="78">
        <v>29615</v>
      </c>
      <c r="T2228" s="29">
        <v>14</v>
      </c>
    </row>
    <row r="2229" spans="19:20" x14ac:dyDescent="0.25">
      <c r="S2229" s="78">
        <v>29616</v>
      </c>
      <c r="T2229" s="29">
        <v>14</v>
      </c>
    </row>
    <row r="2230" spans="19:20" x14ac:dyDescent="0.25">
      <c r="S2230" s="78">
        <v>29617</v>
      </c>
      <c r="T2230" s="29">
        <v>14</v>
      </c>
    </row>
    <row r="2231" spans="19:20" x14ac:dyDescent="0.25">
      <c r="S2231" s="78">
        <v>29618</v>
      </c>
      <c r="T2231" s="29">
        <v>14</v>
      </c>
    </row>
    <row r="2232" spans="19:20" x14ac:dyDescent="0.25">
      <c r="S2232" s="78">
        <v>29619</v>
      </c>
      <c r="T2232" s="29">
        <v>14</v>
      </c>
    </row>
    <row r="2233" spans="19:20" x14ac:dyDescent="0.25">
      <c r="S2233" s="78">
        <v>29620</v>
      </c>
      <c r="T2233" s="29">
        <v>14</v>
      </c>
    </row>
    <row r="2234" spans="19:20" x14ac:dyDescent="0.25">
      <c r="S2234" s="78">
        <v>29621</v>
      </c>
      <c r="T2234" s="29">
        <v>14</v>
      </c>
    </row>
    <row r="2235" spans="19:20" x14ac:dyDescent="0.25">
      <c r="S2235" s="78">
        <v>29622</v>
      </c>
      <c r="T2235" s="29">
        <v>14</v>
      </c>
    </row>
    <row r="2236" spans="19:20" x14ac:dyDescent="0.25">
      <c r="S2236" s="78">
        <v>29623</v>
      </c>
      <c r="T2236" s="29">
        <v>14</v>
      </c>
    </row>
    <row r="2237" spans="19:20" x14ac:dyDescent="0.25">
      <c r="S2237" s="78">
        <v>29624</v>
      </c>
      <c r="T2237" s="29">
        <v>14</v>
      </c>
    </row>
    <row r="2238" spans="19:20" x14ac:dyDescent="0.25">
      <c r="S2238" s="78">
        <v>29625</v>
      </c>
      <c r="T2238" s="29">
        <v>14</v>
      </c>
    </row>
    <row r="2239" spans="19:20" x14ac:dyDescent="0.25">
      <c r="S2239" s="78">
        <v>29626</v>
      </c>
      <c r="T2239" s="29">
        <v>14</v>
      </c>
    </row>
    <row r="2240" spans="19:20" x14ac:dyDescent="0.25">
      <c r="S2240" s="78">
        <v>29627</v>
      </c>
      <c r="T2240" s="29">
        <v>14</v>
      </c>
    </row>
    <row r="2241" spans="19:20" x14ac:dyDescent="0.25">
      <c r="S2241" s="78">
        <v>29628</v>
      </c>
      <c r="T2241" s="29">
        <v>14</v>
      </c>
    </row>
    <row r="2242" spans="19:20" x14ac:dyDescent="0.25">
      <c r="S2242" s="78">
        <v>29629</v>
      </c>
      <c r="T2242" s="29">
        <v>14</v>
      </c>
    </row>
    <row r="2243" spans="19:20" x14ac:dyDescent="0.25">
      <c r="S2243" s="78">
        <v>29630</v>
      </c>
      <c r="T2243" s="29">
        <v>14</v>
      </c>
    </row>
    <row r="2244" spans="19:20" x14ac:dyDescent="0.25">
      <c r="S2244" s="78">
        <v>29631</v>
      </c>
      <c r="T2244" s="29">
        <v>14</v>
      </c>
    </row>
    <row r="2245" spans="19:20" x14ac:dyDescent="0.25">
      <c r="S2245" s="78">
        <v>29632</v>
      </c>
      <c r="T2245" s="29">
        <v>14</v>
      </c>
    </row>
    <row r="2246" spans="19:20" x14ac:dyDescent="0.25">
      <c r="S2246" s="78">
        <v>29633</v>
      </c>
      <c r="T2246" s="29">
        <v>14</v>
      </c>
    </row>
    <row r="2247" spans="19:20" x14ac:dyDescent="0.25">
      <c r="S2247" s="78">
        <v>29634</v>
      </c>
      <c r="T2247" s="29">
        <v>14</v>
      </c>
    </row>
    <row r="2248" spans="19:20" x14ac:dyDescent="0.25">
      <c r="S2248" s="78">
        <v>29635</v>
      </c>
      <c r="T2248" s="29">
        <v>14</v>
      </c>
    </row>
    <row r="2249" spans="19:20" x14ac:dyDescent="0.25">
      <c r="S2249" s="78">
        <v>29636</v>
      </c>
      <c r="T2249" s="29">
        <v>14</v>
      </c>
    </row>
    <row r="2250" spans="19:20" x14ac:dyDescent="0.25">
      <c r="S2250" s="78">
        <v>29637</v>
      </c>
      <c r="T2250" s="29">
        <v>14</v>
      </c>
    </row>
    <row r="2251" spans="19:20" x14ac:dyDescent="0.25">
      <c r="S2251" s="78">
        <v>29638</v>
      </c>
      <c r="T2251" s="29">
        <v>14</v>
      </c>
    </row>
    <row r="2252" spans="19:20" x14ac:dyDescent="0.25">
      <c r="S2252" s="78">
        <v>29639</v>
      </c>
      <c r="T2252" s="29">
        <v>14</v>
      </c>
    </row>
    <row r="2253" spans="19:20" x14ac:dyDescent="0.25">
      <c r="S2253" s="78">
        <v>29640</v>
      </c>
      <c r="T2253" s="29">
        <v>14</v>
      </c>
    </row>
    <row r="2254" spans="19:20" x14ac:dyDescent="0.25">
      <c r="S2254" s="78">
        <v>29641</v>
      </c>
      <c r="T2254" s="29">
        <v>14</v>
      </c>
    </row>
    <row r="2255" spans="19:20" x14ac:dyDescent="0.25">
      <c r="S2255" s="78">
        <v>29642</v>
      </c>
      <c r="T2255" s="29">
        <v>14</v>
      </c>
    </row>
    <row r="2256" spans="19:20" x14ac:dyDescent="0.25">
      <c r="S2256" s="78">
        <v>29643</v>
      </c>
      <c r="T2256" s="29">
        <v>14</v>
      </c>
    </row>
    <row r="2257" spans="19:20" x14ac:dyDescent="0.25">
      <c r="S2257" s="78">
        <v>29644</v>
      </c>
      <c r="T2257" s="29">
        <v>14</v>
      </c>
    </row>
    <row r="2258" spans="19:20" x14ac:dyDescent="0.25">
      <c r="S2258" s="78">
        <v>29645</v>
      </c>
      <c r="T2258" s="29">
        <v>14</v>
      </c>
    </row>
    <row r="2259" spans="19:20" x14ac:dyDescent="0.25">
      <c r="S2259" s="78">
        <v>29646</v>
      </c>
      <c r="T2259" s="29">
        <v>14</v>
      </c>
    </row>
    <row r="2260" spans="19:20" x14ac:dyDescent="0.25">
      <c r="S2260" s="78">
        <v>29647</v>
      </c>
      <c r="T2260" s="29">
        <v>14</v>
      </c>
    </row>
    <row r="2261" spans="19:20" x14ac:dyDescent="0.25">
      <c r="S2261" s="78">
        <v>29648</v>
      </c>
      <c r="T2261" s="29">
        <v>14</v>
      </c>
    </row>
    <row r="2262" spans="19:20" x14ac:dyDescent="0.25">
      <c r="S2262" s="78">
        <v>29649</v>
      </c>
      <c r="T2262" s="29">
        <v>14</v>
      </c>
    </row>
    <row r="2263" spans="19:20" x14ac:dyDescent="0.25">
      <c r="S2263" s="78">
        <v>29650</v>
      </c>
      <c r="T2263" s="29">
        <v>14</v>
      </c>
    </row>
    <row r="2264" spans="19:20" x14ac:dyDescent="0.25">
      <c r="S2264" s="78">
        <v>29651</v>
      </c>
      <c r="T2264" s="29">
        <v>14</v>
      </c>
    </row>
    <row r="2265" spans="19:20" x14ac:dyDescent="0.25">
      <c r="S2265" s="78">
        <v>29652</v>
      </c>
      <c r="T2265" s="29">
        <v>14</v>
      </c>
    </row>
    <row r="2266" spans="19:20" x14ac:dyDescent="0.25">
      <c r="S2266" s="78">
        <v>29653</v>
      </c>
      <c r="T2266" s="29">
        <v>14</v>
      </c>
    </row>
    <row r="2267" spans="19:20" x14ac:dyDescent="0.25">
      <c r="S2267" s="78">
        <v>29654</v>
      </c>
      <c r="T2267" s="29">
        <v>14</v>
      </c>
    </row>
    <row r="2268" spans="19:20" x14ac:dyDescent="0.25">
      <c r="S2268" s="78">
        <v>29655</v>
      </c>
      <c r="T2268" s="29">
        <v>14</v>
      </c>
    </row>
    <row r="2269" spans="19:20" x14ac:dyDescent="0.25">
      <c r="S2269" s="78">
        <v>29656</v>
      </c>
      <c r="T2269" s="29">
        <v>12</v>
      </c>
    </row>
    <row r="2270" spans="19:20" x14ac:dyDescent="0.25">
      <c r="S2270" s="78">
        <v>29657</v>
      </c>
      <c r="T2270" s="29">
        <v>12</v>
      </c>
    </row>
    <row r="2271" spans="19:20" x14ac:dyDescent="0.25">
      <c r="S2271" s="78">
        <v>29658</v>
      </c>
      <c r="T2271" s="29">
        <v>12</v>
      </c>
    </row>
    <row r="2272" spans="19:20" x14ac:dyDescent="0.25">
      <c r="S2272" s="78">
        <v>29659</v>
      </c>
      <c r="T2272" s="29">
        <v>12</v>
      </c>
    </row>
    <row r="2273" spans="19:20" x14ac:dyDescent="0.25">
      <c r="S2273" s="78">
        <v>29660</v>
      </c>
      <c r="T2273" s="29">
        <v>12</v>
      </c>
    </row>
    <row r="2274" spans="19:20" x14ac:dyDescent="0.25">
      <c r="S2274" s="78">
        <v>29661</v>
      </c>
      <c r="T2274" s="29">
        <v>12</v>
      </c>
    </row>
    <row r="2275" spans="19:20" x14ac:dyDescent="0.25">
      <c r="S2275" s="78">
        <v>29662</v>
      </c>
      <c r="T2275" s="29">
        <v>12</v>
      </c>
    </row>
    <row r="2276" spans="19:20" x14ac:dyDescent="0.25">
      <c r="S2276" s="78">
        <v>29663</v>
      </c>
      <c r="T2276" s="29">
        <v>12</v>
      </c>
    </row>
    <row r="2277" spans="19:20" x14ac:dyDescent="0.25">
      <c r="S2277" s="78">
        <v>29664</v>
      </c>
      <c r="T2277" s="29">
        <v>12</v>
      </c>
    </row>
    <row r="2278" spans="19:20" x14ac:dyDescent="0.25">
      <c r="S2278" s="78">
        <v>29665</v>
      </c>
      <c r="T2278" s="29">
        <v>12</v>
      </c>
    </row>
    <row r="2279" spans="19:20" x14ac:dyDescent="0.25">
      <c r="S2279" s="78">
        <v>29666</v>
      </c>
      <c r="T2279" s="29">
        <v>12</v>
      </c>
    </row>
    <row r="2280" spans="19:20" x14ac:dyDescent="0.25">
      <c r="S2280" s="78">
        <v>29667</v>
      </c>
      <c r="T2280" s="29">
        <v>12</v>
      </c>
    </row>
    <row r="2281" spans="19:20" x14ac:dyDescent="0.25">
      <c r="S2281" s="78">
        <v>29668</v>
      </c>
      <c r="T2281" s="29">
        <v>12</v>
      </c>
    </row>
    <row r="2282" spans="19:20" x14ac:dyDescent="0.25">
      <c r="S2282" s="78">
        <v>29669</v>
      </c>
      <c r="T2282" s="29">
        <v>12</v>
      </c>
    </row>
    <row r="2283" spans="19:20" x14ac:dyDescent="0.25">
      <c r="S2283" s="78">
        <v>29670</v>
      </c>
      <c r="T2283" s="29">
        <v>12</v>
      </c>
    </row>
    <row r="2284" spans="19:20" x14ac:dyDescent="0.25">
      <c r="S2284" s="78">
        <v>29671</v>
      </c>
      <c r="T2284" s="29">
        <v>12</v>
      </c>
    </row>
    <row r="2285" spans="19:20" x14ac:dyDescent="0.25">
      <c r="S2285" s="78">
        <v>29672</v>
      </c>
      <c r="T2285" s="29">
        <v>12</v>
      </c>
    </row>
    <row r="2286" spans="19:20" x14ac:dyDescent="0.25">
      <c r="S2286" s="78">
        <v>29673</v>
      </c>
      <c r="T2286" s="29">
        <v>12</v>
      </c>
    </row>
    <row r="2287" spans="19:20" x14ac:dyDescent="0.25">
      <c r="S2287" s="78">
        <v>29674</v>
      </c>
      <c r="T2287" s="29">
        <v>12</v>
      </c>
    </row>
    <row r="2288" spans="19:20" x14ac:dyDescent="0.25">
      <c r="S2288" s="78">
        <v>29675</v>
      </c>
      <c r="T2288" s="29">
        <v>12</v>
      </c>
    </row>
    <row r="2289" spans="19:21" x14ac:dyDescent="0.25">
      <c r="S2289" s="78">
        <v>29676</v>
      </c>
      <c r="T2289" s="29">
        <v>12</v>
      </c>
      <c r="U2289" s="39">
        <f>AVERAGE(T2200:T2289)</f>
        <v>13.533333333333333</v>
      </c>
    </row>
    <row r="2290" spans="19:21" x14ac:dyDescent="0.25">
      <c r="S2290" s="78">
        <v>29677</v>
      </c>
      <c r="T2290" s="29">
        <v>12</v>
      </c>
    </row>
    <row r="2291" spans="19:21" x14ac:dyDescent="0.25">
      <c r="S2291" s="78">
        <v>29678</v>
      </c>
      <c r="T2291" s="29">
        <v>12</v>
      </c>
    </row>
    <row r="2292" spans="19:21" x14ac:dyDescent="0.25">
      <c r="S2292" s="78">
        <v>29679</v>
      </c>
      <c r="T2292" s="29">
        <v>12</v>
      </c>
    </row>
    <row r="2293" spans="19:21" x14ac:dyDescent="0.25">
      <c r="S2293" s="78">
        <v>29680</v>
      </c>
      <c r="T2293" s="29">
        <v>12</v>
      </c>
    </row>
    <row r="2294" spans="19:21" x14ac:dyDescent="0.25">
      <c r="S2294" s="78">
        <v>29681</v>
      </c>
      <c r="T2294" s="29">
        <v>12</v>
      </c>
    </row>
    <row r="2295" spans="19:21" x14ac:dyDescent="0.25">
      <c r="S2295" s="78">
        <v>29682</v>
      </c>
      <c r="T2295" s="29">
        <v>12</v>
      </c>
    </row>
    <row r="2296" spans="19:21" x14ac:dyDescent="0.25">
      <c r="S2296" s="78">
        <v>29683</v>
      </c>
      <c r="T2296" s="29">
        <v>12</v>
      </c>
    </row>
    <row r="2297" spans="19:21" x14ac:dyDescent="0.25">
      <c r="S2297" s="78">
        <v>29684</v>
      </c>
      <c r="T2297" s="29">
        <v>12</v>
      </c>
    </row>
    <row r="2298" spans="19:21" x14ac:dyDescent="0.25">
      <c r="S2298" s="78">
        <v>29685</v>
      </c>
      <c r="T2298" s="29">
        <v>12</v>
      </c>
    </row>
    <row r="2299" spans="19:21" x14ac:dyDescent="0.25">
      <c r="S2299" s="78">
        <v>29686</v>
      </c>
      <c r="T2299" s="29">
        <v>12</v>
      </c>
    </row>
    <row r="2300" spans="19:21" x14ac:dyDescent="0.25">
      <c r="S2300" s="78">
        <v>29687</v>
      </c>
      <c r="T2300" s="29">
        <v>12</v>
      </c>
    </row>
    <row r="2301" spans="19:21" x14ac:dyDescent="0.25">
      <c r="S2301" s="78">
        <v>29688</v>
      </c>
      <c r="T2301" s="29">
        <v>12</v>
      </c>
    </row>
    <row r="2302" spans="19:21" x14ac:dyDescent="0.25">
      <c r="S2302" s="78">
        <v>29689</v>
      </c>
      <c r="T2302" s="29">
        <v>12</v>
      </c>
    </row>
    <row r="2303" spans="19:21" x14ac:dyDescent="0.25">
      <c r="S2303" s="78">
        <v>29690</v>
      </c>
      <c r="T2303" s="29">
        <v>12</v>
      </c>
    </row>
    <row r="2304" spans="19:21" x14ac:dyDescent="0.25">
      <c r="S2304" s="78">
        <v>29691</v>
      </c>
      <c r="T2304" s="29">
        <v>12</v>
      </c>
    </row>
    <row r="2305" spans="19:20" x14ac:dyDescent="0.25">
      <c r="S2305" s="78">
        <v>29692</v>
      </c>
      <c r="T2305" s="29">
        <v>12</v>
      </c>
    </row>
    <row r="2306" spans="19:20" x14ac:dyDescent="0.25">
      <c r="S2306" s="78">
        <v>29693</v>
      </c>
      <c r="T2306" s="29">
        <v>12</v>
      </c>
    </row>
    <row r="2307" spans="19:20" x14ac:dyDescent="0.25">
      <c r="S2307" s="78">
        <v>29694</v>
      </c>
      <c r="T2307" s="29">
        <v>12</v>
      </c>
    </row>
    <row r="2308" spans="19:20" x14ac:dyDescent="0.25">
      <c r="S2308" s="78">
        <v>29695</v>
      </c>
      <c r="T2308" s="29">
        <v>12</v>
      </c>
    </row>
    <row r="2309" spans="19:20" x14ac:dyDescent="0.25">
      <c r="S2309" s="78">
        <v>29696</v>
      </c>
      <c r="T2309" s="29">
        <v>12</v>
      </c>
    </row>
    <row r="2310" spans="19:20" x14ac:dyDescent="0.25">
      <c r="S2310" s="78">
        <v>29697</v>
      </c>
      <c r="T2310" s="29">
        <v>12</v>
      </c>
    </row>
    <row r="2311" spans="19:20" x14ac:dyDescent="0.25">
      <c r="S2311" s="78">
        <v>29698</v>
      </c>
      <c r="T2311" s="29">
        <v>12</v>
      </c>
    </row>
    <row r="2312" spans="19:20" x14ac:dyDescent="0.25">
      <c r="S2312" s="78">
        <v>29699</v>
      </c>
      <c r="T2312" s="29">
        <v>12</v>
      </c>
    </row>
    <row r="2313" spans="19:20" x14ac:dyDescent="0.25">
      <c r="S2313" s="78">
        <v>29700</v>
      </c>
      <c r="T2313" s="29">
        <v>12</v>
      </c>
    </row>
    <row r="2314" spans="19:20" x14ac:dyDescent="0.25">
      <c r="S2314" s="78">
        <v>29701</v>
      </c>
      <c r="T2314" s="29">
        <v>12</v>
      </c>
    </row>
    <row r="2315" spans="19:20" x14ac:dyDescent="0.25">
      <c r="S2315" s="78">
        <v>29702</v>
      </c>
      <c r="T2315" s="29">
        <v>12</v>
      </c>
    </row>
    <row r="2316" spans="19:20" x14ac:dyDescent="0.25">
      <c r="S2316" s="78">
        <v>29703</v>
      </c>
      <c r="T2316" s="29">
        <v>12</v>
      </c>
    </row>
    <row r="2317" spans="19:20" x14ac:dyDescent="0.25">
      <c r="S2317" s="78">
        <v>29704</v>
      </c>
      <c r="T2317" s="29">
        <v>12</v>
      </c>
    </row>
    <row r="2318" spans="19:20" x14ac:dyDescent="0.25">
      <c r="S2318" s="78">
        <v>29705</v>
      </c>
      <c r="T2318" s="29">
        <v>12</v>
      </c>
    </row>
    <row r="2319" spans="19:20" x14ac:dyDescent="0.25">
      <c r="S2319" s="78">
        <v>29706</v>
      </c>
      <c r="T2319" s="29">
        <v>12</v>
      </c>
    </row>
    <row r="2320" spans="19:20" x14ac:dyDescent="0.25">
      <c r="S2320" s="78">
        <v>29707</v>
      </c>
      <c r="T2320" s="29">
        <v>12</v>
      </c>
    </row>
    <row r="2321" spans="19:20" x14ac:dyDescent="0.25">
      <c r="S2321" s="78">
        <v>29708</v>
      </c>
      <c r="T2321" s="29">
        <v>12</v>
      </c>
    </row>
    <row r="2322" spans="19:20" x14ac:dyDescent="0.25">
      <c r="S2322" s="78">
        <v>29709</v>
      </c>
      <c r="T2322" s="29">
        <v>12</v>
      </c>
    </row>
    <row r="2323" spans="19:20" x14ac:dyDescent="0.25">
      <c r="S2323" s="78">
        <v>29710</v>
      </c>
      <c r="T2323" s="29">
        <v>12</v>
      </c>
    </row>
    <row r="2324" spans="19:20" x14ac:dyDescent="0.25">
      <c r="S2324" s="78">
        <v>29711</v>
      </c>
      <c r="T2324" s="29">
        <v>12</v>
      </c>
    </row>
    <row r="2325" spans="19:20" x14ac:dyDescent="0.25">
      <c r="S2325" s="78">
        <v>29712</v>
      </c>
      <c r="T2325" s="29">
        <v>12</v>
      </c>
    </row>
    <row r="2326" spans="19:20" x14ac:dyDescent="0.25">
      <c r="S2326" s="78">
        <v>29713</v>
      </c>
      <c r="T2326" s="29">
        <v>12</v>
      </c>
    </row>
    <row r="2327" spans="19:20" x14ac:dyDescent="0.25">
      <c r="S2327" s="78">
        <v>29714</v>
      </c>
      <c r="T2327" s="29">
        <v>12</v>
      </c>
    </row>
    <row r="2328" spans="19:20" x14ac:dyDescent="0.25">
      <c r="S2328" s="78">
        <v>29715</v>
      </c>
      <c r="T2328" s="29">
        <v>12</v>
      </c>
    </row>
    <row r="2329" spans="19:20" x14ac:dyDescent="0.25">
      <c r="S2329" s="78">
        <v>29716</v>
      </c>
      <c r="T2329" s="29">
        <v>12</v>
      </c>
    </row>
    <row r="2330" spans="19:20" x14ac:dyDescent="0.25">
      <c r="S2330" s="78">
        <v>29717</v>
      </c>
      <c r="T2330" s="29">
        <v>12</v>
      </c>
    </row>
    <row r="2331" spans="19:20" x14ac:dyDescent="0.25">
      <c r="S2331" s="78">
        <v>29718</v>
      </c>
      <c r="T2331" s="29">
        <v>12</v>
      </c>
    </row>
    <row r="2332" spans="19:20" x14ac:dyDescent="0.25">
      <c r="S2332" s="78">
        <v>29719</v>
      </c>
      <c r="T2332" s="29">
        <v>12</v>
      </c>
    </row>
    <row r="2333" spans="19:20" x14ac:dyDescent="0.25">
      <c r="S2333" s="78">
        <v>29720</v>
      </c>
      <c r="T2333" s="29">
        <v>12</v>
      </c>
    </row>
    <row r="2334" spans="19:20" x14ac:dyDescent="0.25">
      <c r="S2334" s="78">
        <v>29721</v>
      </c>
      <c r="T2334" s="29">
        <v>12</v>
      </c>
    </row>
    <row r="2335" spans="19:20" x14ac:dyDescent="0.25">
      <c r="S2335" s="78">
        <v>29722</v>
      </c>
      <c r="T2335" s="29">
        <v>12</v>
      </c>
    </row>
    <row r="2336" spans="19:20" x14ac:dyDescent="0.25">
      <c r="S2336" s="78">
        <v>29723</v>
      </c>
      <c r="T2336" s="29">
        <v>12</v>
      </c>
    </row>
    <row r="2337" spans="19:20" x14ac:dyDescent="0.25">
      <c r="S2337" s="78">
        <v>29724</v>
      </c>
      <c r="T2337" s="29">
        <v>12</v>
      </c>
    </row>
    <row r="2338" spans="19:20" x14ac:dyDescent="0.25">
      <c r="S2338" s="78">
        <v>29725</v>
      </c>
      <c r="T2338" s="29">
        <v>12</v>
      </c>
    </row>
    <row r="2339" spans="19:20" x14ac:dyDescent="0.25">
      <c r="S2339" s="78">
        <v>29726</v>
      </c>
      <c r="T2339" s="29">
        <v>12</v>
      </c>
    </row>
    <row r="2340" spans="19:20" x14ac:dyDescent="0.25">
      <c r="S2340" s="78">
        <v>29727</v>
      </c>
      <c r="T2340" s="29">
        <v>12</v>
      </c>
    </row>
    <row r="2341" spans="19:20" x14ac:dyDescent="0.25">
      <c r="S2341" s="78">
        <v>29728</v>
      </c>
      <c r="T2341" s="29">
        <v>12</v>
      </c>
    </row>
    <row r="2342" spans="19:20" x14ac:dyDescent="0.25">
      <c r="S2342" s="78">
        <v>29729</v>
      </c>
      <c r="T2342" s="29">
        <v>12</v>
      </c>
    </row>
    <row r="2343" spans="19:20" x14ac:dyDescent="0.25">
      <c r="S2343" s="78">
        <v>29730</v>
      </c>
      <c r="T2343" s="29">
        <v>12</v>
      </c>
    </row>
    <row r="2344" spans="19:20" x14ac:dyDescent="0.25">
      <c r="S2344" s="78">
        <v>29731</v>
      </c>
      <c r="T2344" s="29">
        <v>12</v>
      </c>
    </row>
    <row r="2345" spans="19:20" x14ac:dyDescent="0.25">
      <c r="S2345" s="78">
        <v>29732</v>
      </c>
      <c r="T2345" s="29">
        <v>12</v>
      </c>
    </row>
    <row r="2346" spans="19:20" x14ac:dyDescent="0.25">
      <c r="S2346" s="78">
        <v>29733</v>
      </c>
      <c r="T2346" s="29">
        <v>12</v>
      </c>
    </row>
    <row r="2347" spans="19:20" x14ac:dyDescent="0.25">
      <c r="S2347" s="78">
        <v>29734</v>
      </c>
      <c r="T2347" s="29">
        <v>12</v>
      </c>
    </row>
    <row r="2348" spans="19:20" x14ac:dyDescent="0.25">
      <c r="S2348" s="78">
        <v>29735</v>
      </c>
      <c r="T2348" s="29">
        <v>12</v>
      </c>
    </row>
    <row r="2349" spans="19:20" x14ac:dyDescent="0.25">
      <c r="S2349" s="78">
        <v>29736</v>
      </c>
      <c r="T2349" s="29">
        <v>12</v>
      </c>
    </row>
    <row r="2350" spans="19:20" x14ac:dyDescent="0.25">
      <c r="S2350" s="78">
        <v>29737</v>
      </c>
      <c r="T2350" s="29">
        <v>12</v>
      </c>
    </row>
    <row r="2351" spans="19:20" x14ac:dyDescent="0.25">
      <c r="S2351" s="78">
        <v>29738</v>
      </c>
      <c r="T2351" s="29">
        <v>12</v>
      </c>
    </row>
    <row r="2352" spans="19:20" x14ac:dyDescent="0.25">
      <c r="S2352" s="78">
        <v>29739</v>
      </c>
      <c r="T2352" s="29">
        <v>12</v>
      </c>
    </row>
    <row r="2353" spans="19:20" x14ac:dyDescent="0.25">
      <c r="S2353" s="78">
        <v>29740</v>
      </c>
      <c r="T2353" s="29">
        <v>12</v>
      </c>
    </row>
    <row r="2354" spans="19:20" x14ac:dyDescent="0.25">
      <c r="S2354" s="78">
        <v>29741</v>
      </c>
      <c r="T2354" s="29">
        <v>12</v>
      </c>
    </row>
    <row r="2355" spans="19:20" x14ac:dyDescent="0.25">
      <c r="S2355" s="78">
        <v>29742</v>
      </c>
      <c r="T2355" s="29">
        <v>12</v>
      </c>
    </row>
    <row r="2356" spans="19:20" x14ac:dyDescent="0.25">
      <c r="S2356" s="78">
        <v>29743</v>
      </c>
      <c r="T2356" s="29">
        <v>12</v>
      </c>
    </row>
    <row r="2357" spans="19:20" x14ac:dyDescent="0.25">
      <c r="S2357" s="78">
        <v>29744</v>
      </c>
      <c r="T2357" s="29">
        <v>12</v>
      </c>
    </row>
    <row r="2358" spans="19:20" x14ac:dyDescent="0.25">
      <c r="S2358" s="78">
        <v>29745</v>
      </c>
      <c r="T2358" s="29">
        <v>12</v>
      </c>
    </row>
    <row r="2359" spans="19:20" x14ac:dyDescent="0.25">
      <c r="S2359" s="78">
        <v>29746</v>
      </c>
      <c r="T2359" s="29">
        <v>12</v>
      </c>
    </row>
    <row r="2360" spans="19:20" x14ac:dyDescent="0.25">
      <c r="S2360" s="78">
        <v>29747</v>
      </c>
      <c r="T2360" s="29">
        <v>12</v>
      </c>
    </row>
    <row r="2361" spans="19:20" x14ac:dyDescent="0.25">
      <c r="S2361" s="78">
        <v>29748</v>
      </c>
      <c r="T2361" s="29">
        <v>12</v>
      </c>
    </row>
    <row r="2362" spans="19:20" x14ac:dyDescent="0.25">
      <c r="S2362" s="78">
        <v>29749</v>
      </c>
      <c r="T2362" s="29">
        <v>12</v>
      </c>
    </row>
    <row r="2363" spans="19:20" x14ac:dyDescent="0.25">
      <c r="S2363" s="78">
        <v>29750</v>
      </c>
      <c r="T2363" s="29">
        <v>12</v>
      </c>
    </row>
    <row r="2364" spans="19:20" x14ac:dyDescent="0.25">
      <c r="S2364" s="78">
        <v>29751</v>
      </c>
      <c r="T2364" s="29">
        <v>12</v>
      </c>
    </row>
    <row r="2365" spans="19:20" x14ac:dyDescent="0.25">
      <c r="S2365" s="78">
        <v>29752</v>
      </c>
      <c r="T2365" s="29">
        <v>12</v>
      </c>
    </row>
    <row r="2366" spans="19:20" x14ac:dyDescent="0.25">
      <c r="S2366" s="78">
        <v>29753</v>
      </c>
      <c r="T2366" s="29">
        <v>12</v>
      </c>
    </row>
    <row r="2367" spans="19:20" x14ac:dyDescent="0.25">
      <c r="S2367" s="78">
        <v>29754</v>
      </c>
      <c r="T2367" s="29">
        <v>12</v>
      </c>
    </row>
    <row r="2368" spans="19:20" x14ac:dyDescent="0.25">
      <c r="S2368" s="78">
        <v>29755</v>
      </c>
      <c r="T2368" s="29">
        <v>12</v>
      </c>
    </row>
    <row r="2369" spans="19:21" x14ac:dyDescent="0.25">
      <c r="S2369" s="78">
        <v>29756</v>
      </c>
      <c r="T2369" s="29">
        <v>12</v>
      </c>
    </row>
    <row r="2370" spans="19:21" x14ac:dyDescent="0.25">
      <c r="S2370" s="78">
        <v>29757</v>
      </c>
      <c r="T2370" s="29">
        <v>12</v>
      </c>
    </row>
    <row r="2371" spans="19:21" x14ac:dyDescent="0.25">
      <c r="S2371" s="78">
        <v>29758</v>
      </c>
      <c r="T2371" s="29">
        <v>12</v>
      </c>
    </row>
    <row r="2372" spans="19:21" x14ac:dyDescent="0.25">
      <c r="S2372" s="78">
        <v>29759</v>
      </c>
      <c r="T2372" s="29">
        <v>12</v>
      </c>
    </row>
    <row r="2373" spans="19:21" x14ac:dyDescent="0.25">
      <c r="S2373" s="78">
        <v>29760</v>
      </c>
      <c r="T2373" s="29">
        <v>12</v>
      </c>
    </row>
    <row r="2374" spans="19:21" x14ac:dyDescent="0.25">
      <c r="S2374" s="78">
        <v>29761</v>
      </c>
      <c r="T2374" s="29">
        <v>12</v>
      </c>
    </row>
    <row r="2375" spans="19:21" x14ac:dyDescent="0.25">
      <c r="S2375" s="78">
        <v>29762</v>
      </c>
      <c r="T2375" s="29">
        <v>12</v>
      </c>
    </row>
    <row r="2376" spans="19:21" x14ac:dyDescent="0.25">
      <c r="S2376" s="78">
        <v>29763</v>
      </c>
      <c r="T2376" s="29">
        <v>12</v>
      </c>
    </row>
    <row r="2377" spans="19:21" x14ac:dyDescent="0.25">
      <c r="S2377" s="78">
        <v>29764</v>
      </c>
      <c r="T2377" s="29">
        <v>12</v>
      </c>
    </row>
    <row r="2378" spans="19:21" x14ac:dyDescent="0.25">
      <c r="S2378" s="78">
        <v>29765</v>
      </c>
      <c r="T2378" s="29">
        <v>12</v>
      </c>
    </row>
    <row r="2379" spans="19:21" x14ac:dyDescent="0.25">
      <c r="S2379" s="78">
        <v>29766</v>
      </c>
      <c r="T2379" s="29">
        <v>12</v>
      </c>
    </row>
    <row r="2380" spans="19:21" x14ac:dyDescent="0.25">
      <c r="S2380" s="78">
        <v>29767</v>
      </c>
      <c r="T2380" s="29">
        <v>12</v>
      </c>
      <c r="U2380" s="40">
        <f>AVERAGE(T2290:T2380)</f>
        <v>12</v>
      </c>
    </row>
    <row r="2381" spans="19:21" x14ac:dyDescent="0.25">
      <c r="S2381" s="78">
        <v>29768</v>
      </c>
      <c r="T2381" s="29">
        <v>12</v>
      </c>
    </row>
    <row r="2382" spans="19:21" x14ac:dyDescent="0.25">
      <c r="S2382" s="78">
        <v>29769</v>
      </c>
      <c r="T2382" s="29">
        <v>12</v>
      </c>
    </row>
    <row r="2383" spans="19:21" x14ac:dyDescent="0.25">
      <c r="S2383" s="78">
        <v>29770</v>
      </c>
      <c r="T2383" s="29">
        <v>12</v>
      </c>
    </row>
    <row r="2384" spans="19:21" x14ac:dyDescent="0.25">
      <c r="S2384" s="78">
        <v>29771</v>
      </c>
      <c r="T2384" s="29">
        <v>12</v>
      </c>
    </row>
    <row r="2385" spans="19:20" x14ac:dyDescent="0.25">
      <c r="S2385" s="78">
        <v>29772</v>
      </c>
      <c r="T2385" s="29">
        <v>12</v>
      </c>
    </row>
    <row r="2386" spans="19:20" x14ac:dyDescent="0.25">
      <c r="S2386" s="78">
        <v>29773</v>
      </c>
      <c r="T2386" s="29">
        <v>12</v>
      </c>
    </row>
    <row r="2387" spans="19:20" x14ac:dyDescent="0.25">
      <c r="S2387" s="78">
        <v>29774</v>
      </c>
      <c r="T2387" s="29">
        <v>12</v>
      </c>
    </row>
    <row r="2388" spans="19:20" x14ac:dyDescent="0.25">
      <c r="S2388" s="78">
        <v>29775</v>
      </c>
      <c r="T2388" s="29">
        <v>12</v>
      </c>
    </row>
    <row r="2389" spans="19:20" x14ac:dyDescent="0.25">
      <c r="S2389" s="78">
        <v>29776</v>
      </c>
      <c r="T2389" s="29">
        <v>12</v>
      </c>
    </row>
    <row r="2390" spans="19:20" x14ac:dyDescent="0.25">
      <c r="S2390" s="78">
        <v>29777</v>
      </c>
      <c r="T2390" s="29">
        <v>12</v>
      </c>
    </row>
    <row r="2391" spans="19:20" x14ac:dyDescent="0.25">
      <c r="S2391" s="78">
        <v>29778</v>
      </c>
      <c r="T2391" s="29">
        <v>12</v>
      </c>
    </row>
    <row r="2392" spans="19:20" x14ac:dyDescent="0.25">
      <c r="S2392" s="78">
        <v>29779</v>
      </c>
      <c r="T2392" s="29">
        <v>12</v>
      </c>
    </row>
    <row r="2393" spans="19:20" x14ac:dyDescent="0.25">
      <c r="S2393" s="78">
        <v>29780</v>
      </c>
      <c r="T2393" s="29">
        <v>12</v>
      </c>
    </row>
    <row r="2394" spans="19:20" x14ac:dyDescent="0.25">
      <c r="S2394" s="78">
        <v>29781</v>
      </c>
      <c r="T2394" s="29">
        <v>12</v>
      </c>
    </row>
    <row r="2395" spans="19:20" x14ac:dyDescent="0.25">
      <c r="S2395" s="78">
        <v>29782</v>
      </c>
      <c r="T2395" s="29">
        <v>12</v>
      </c>
    </row>
    <row r="2396" spans="19:20" x14ac:dyDescent="0.25">
      <c r="S2396" s="78">
        <v>29783</v>
      </c>
      <c r="T2396" s="29">
        <v>12</v>
      </c>
    </row>
    <row r="2397" spans="19:20" x14ac:dyDescent="0.25">
      <c r="S2397" s="78">
        <v>29784</v>
      </c>
      <c r="T2397" s="29">
        <v>12</v>
      </c>
    </row>
    <row r="2398" spans="19:20" x14ac:dyDescent="0.25">
      <c r="S2398" s="78">
        <v>29785</v>
      </c>
      <c r="T2398" s="29">
        <v>12</v>
      </c>
    </row>
    <row r="2399" spans="19:20" x14ac:dyDescent="0.25">
      <c r="S2399" s="78">
        <v>29786</v>
      </c>
      <c r="T2399" s="29">
        <v>12</v>
      </c>
    </row>
    <row r="2400" spans="19:20" x14ac:dyDescent="0.25">
      <c r="S2400" s="78">
        <v>29787</v>
      </c>
      <c r="T2400" s="29">
        <v>12</v>
      </c>
    </row>
    <row r="2401" spans="19:20" x14ac:dyDescent="0.25">
      <c r="S2401" s="78">
        <v>29788</v>
      </c>
      <c r="T2401" s="29">
        <v>12</v>
      </c>
    </row>
    <row r="2402" spans="19:20" x14ac:dyDescent="0.25">
      <c r="S2402" s="78">
        <v>29789</v>
      </c>
      <c r="T2402" s="29">
        <v>12</v>
      </c>
    </row>
    <row r="2403" spans="19:20" x14ac:dyDescent="0.25">
      <c r="S2403" s="78">
        <v>29790</v>
      </c>
      <c r="T2403" s="29">
        <v>12</v>
      </c>
    </row>
    <row r="2404" spans="19:20" x14ac:dyDescent="0.25">
      <c r="S2404" s="78">
        <v>29791</v>
      </c>
      <c r="T2404" s="29">
        <v>12</v>
      </c>
    </row>
    <row r="2405" spans="19:20" x14ac:dyDescent="0.25">
      <c r="S2405" s="78">
        <v>29792</v>
      </c>
      <c r="T2405" s="29">
        <v>12</v>
      </c>
    </row>
    <row r="2406" spans="19:20" x14ac:dyDescent="0.25">
      <c r="S2406" s="78">
        <v>29793</v>
      </c>
      <c r="T2406" s="29">
        <v>12</v>
      </c>
    </row>
    <row r="2407" spans="19:20" x14ac:dyDescent="0.25">
      <c r="S2407" s="78">
        <v>29794</v>
      </c>
      <c r="T2407" s="29">
        <v>12</v>
      </c>
    </row>
    <row r="2408" spans="19:20" x14ac:dyDescent="0.25">
      <c r="S2408" s="78">
        <v>29795</v>
      </c>
      <c r="T2408" s="29">
        <v>12</v>
      </c>
    </row>
    <row r="2409" spans="19:20" x14ac:dyDescent="0.25">
      <c r="S2409" s="78">
        <v>29796</v>
      </c>
      <c r="T2409" s="29">
        <v>12</v>
      </c>
    </row>
    <row r="2410" spans="19:20" x14ac:dyDescent="0.25">
      <c r="S2410" s="78">
        <v>29797</v>
      </c>
      <c r="T2410" s="29">
        <v>12</v>
      </c>
    </row>
    <row r="2411" spans="19:20" x14ac:dyDescent="0.25">
      <c r="S2411" s="78">
        <v>29798</v>
      </c>
      <c r="T2411" s="29">
        <v>12</v>
      </c>
    </row>
    <row r="2412" spans="19:20" x14ac:dyDescent="0.25">
      <c r="S2412" s="78">
        <v>29799</v>
      </c>
      <c r="T2412" s="29">
        <v>12</v>
      </c>
    </row>
    <row r="2413" spans="19:20" x14ac:dyDescent="0.25">
      <c r="S2413" s="78">
        <v>29800</v>
      </c>
      <c r="T2413" s="29">
        <v>12</v>
      </c>
    </row>
    <row r="2414" spans="19:20" x14ac:dyDescent="0.25">
      <c r="S2414" s="78">
        <v>29801</v>
      </c>
      <c r="T2414" s="29">
        <v>12</v>
      </c>
    </row>
    <row r="2415" spans="19:20" x14ac:dyDescent="0.25">
      <c r="S2415" s="78">
        <v>29802</v>
      </c>
      <c r="T2415" s="29">
        <v>12</v>
      </c>
    </row>
    <row r="2416" spans="19:20" x14ac:dyDescent="0.25">
      <c r="S2416" s="78">
        <v>29803</v>
      </c>
      <c r="T2416" s="29">
        <v>12</v>
      </c>
    </row>
    <row r="2417" spans="19:20" x14ac:dyDescent="0.25">
      <c r="S2417" s="78">
        <v>29804</v>
      </c>
      <c r="T2417" s="29">
        <v>12</v>
      </c>
    </row>
    <row r="2418" spans="19:20" x14ac:dyDescent="0.25">
      <c r="S2418" s="78">
        <v>29805</v>
      </c>
      <c r="T2418" s="29">
        <v>12</v>
      </c>
    </row>
    <row r="2419" spans="19:20" x14ac:dyDescent="0.25">
      <c r="S2419" s="78">
        <v>29806</v>
      </c>
      <c r="T2419" s="29">
        <v>12</v>
      </c>
    </row>
    <row r="2420" spans="19:20" x14ac:dyDescent="0.25">
      <c r="S2420" s="78">
        <v>29807</v>
      </c>
      <c r="T2420" s="29">
        <v>12</v>
      </c>
    </row>
    <row r="2421" spans="19:20" x14ac:dyDescent="0.25">
      <c r="S2421" s="78">
        <v>29808</v>
      </c>
      <c r="T2421" s="29">
        <v>12</v>
      </c>
    </row>
    <row r="2422" spans="19:20" x14ac:dyDescent="0.25">
      <c r="S2422" s="78">
        <v>29809</v>
      </c>
      <c r="T2422" s="29">
        <v>12</v>
      </c>
    </row>
    <row r="2423" spans="19:20" x14ac:dyDescent="0.25">
      <c r="S2423" s="78">
        <v>29810</v>
      </c>
      <c r="T2423" s="29">
        <v>12</v>
      </c>
    </row>
    <row r="2424" spans="19:20" x14ac:dyDescent="0.25">
      <c r="S2424" s="78">
        <v>29811</v>
      </c>
      <c r="T2424" s="29">
        <v>12</v>
      </c>
    </row>
    <row r="2425" spans="19:20" x14ac:dyDescent="0.25">
      <c r="S2425" s="78">
        <v>29812</v>
      </c>
      <c r="T2425" s="29">
        <v>12</v>
      </c>
    </row>
    <row r="2426" spans="19:20" x14ac:dyDescent="0.25">
      <c r="S2426" s="78">
        <v>29813</v>
      </c>
      <c r="T2426" s="29">
        <v>12</v>
      </c>
    </row>
    <row r="2427" spans="19:20" x14ac:dyDescent="0.25">
      <c r="S2427" s="78">
        <v>29814</v>
      </c>
      <c r="T2427" s="29">
        <v>12</v>
      </c>
    </row>
    <row r="2428" spans="19:20" x14ac:dyDescent="0.25">
      <c r="S2428" s="78">
        <v>29815</v>
      </c>
      <c r="T2428" s="29">
        <v>12</v>
      </c>
    </row>
    <row r="2429" spans="19:20" x14ac:dyDescent="0.25">
      <c r="S2429" s="78">
        <v>29816</v>
      </c>
      <c r="T2429" s="29">
        <v>12</v>
      </c>
    </row>
    <row r="2430" spans="19:20" x14ac:dyDescent="0.25">
      <c r="S2430" s="78">
        <v>29817</v>
      </c>
      <c r="T2430" s="29">
        <v>12</v>
      </c>
    </row>
    <row r="2431" spans="19:20" x14ac:dyDescent="0.25">
      <c r="S2431" s="78">
        <v>29818</v>
      </c>
      <c r="T2431" s="29">
        <v>12</v>
      </c>
    </row>
    <row r="2432" spans="19:20" x14ac:dyDescent="0.25">
      <c r="S2432" s="78">
        <v>29819</v>
      </c>
      <c r="T2432" s="29">
        <v>12</v>
      </c>
    </row>
    <row r="2433" spans="19:20" x14ac:dyDescent="0.25">
      <c r="S2433" s="78">
        <v>29820</v>
      </c>
      <c r="T2433" s="29">
        <v>12</v>
      </c>
    </row>
    <row r="2434" spans="19:20" x14ac:dyDescent="0.25">
      <c r="S2434" s="78">
        <v>29821</v>
      </c>
      <c r="T2434" s="29">
        <v>12</v>
      </c>
    </row>
    <row r="2435" spans="19:20" x14ac:dyDescent="0.25">
      <c r="S2435" s="78">
        <v>29822</v>
      </c>
      <c r="T2435" s="29">
        <v>12</v>
      </c>
    </row>
    <row r="2436" spans="19:20" x14ac:dyDescent="0.25">
      <c r="S2436" s="78">
        <v>29823</v>
      </c>
      <c r="T2436" s="29">
        <v>12.69</v>
      </c>
    </row>
    <row r="2437" spans="19:20" x14ac:dyDescent="0.25">
      <c r="S2437" s="78">
        <v>29824</v>
      </c>
      <c r="T2437" s="29">
        <v>12.69</v>
      </c>
    </row>
    <row r="2438" spans="19:20" x14ac:dyDescent="0.25">
      <c r="S2438" s="78">
        <v>29825</v>
      </c>
      <c r="T2438" s="29">
        <v>12.69</v>
      </c>
    </row>
    <row r="2439" spans="19:20" x14ac:dyDescent="0.25">
      <c r="S2439" s="78">
        <v>29826</v>
      </c>
      <c r="T2439" s="29">
        <v>12.69</v>
      </c>
    </row>
    <row r="2440" spans="19:20" x14ac:dyDescent="0.25">
      <c r="S2440" s="78">
        <v>29827</v>
      </c>
      <c r="T2440" s="29">
        <v>12.69</v>
      </c>
    </row>
    <row r="2441" spans="19:20" x14ac:dyDescent="0.25">
      <c r="S2441" s="78">
        <v>29828</v>
      </c>
      <c r="T2441" s="29">
        <v>12.69</v>
      </c>
    </row>
    <row r="2442" spans="19:20" x14ac:dyDescent="0.25">
      <c r="S2442" s="78">
        <v>29829</v>
      </c>
      <c r="T2442" s="29">
        <v>12.69</v>
      </c>
    </row>
    <row r="2443" spans="19:20" x14ac:dyDescent="0.25">
      <c r="S2443" s="78">
        <v>29830</v>
      </c>
      <c r="T2443" s="29">
        <v>12.69</v>
      </c>
    </row>
    <row r="2444" spans="19:20" x14ac:dyDescent="0.25">
      <c r="S2444" s="78">
        <v>29831</v>
      </c>
      <c r="T2444" s="29">
        <v>12.69</v>
      </c>
    </row>
    <row r="2445" spans="19:20" x14ac:dyDescent="0.25">
      <c r="S2445" s="78">
        <v>29832</v>
      </c>
      <c r="T2445" s="29">
        <v>12.69</v>
      </c>
    </row>
    <row r="2446" spans="19:20" x14ac:dyDescent="0.25">
      <c r="S2446" s="78">
        <v>29833</v>
      </c>
      <c r="T2446" s="29">
        <v>12.69</v>
      </c>
    </row>
    <row r="2447" spans="19:20" x14ac:dyDescent="0.25">
      <c r="S2447" s="78">
        <v>29834</v>
      </c>
      <c r="T2447" s="29">
        <v>12.69</v>
      </c>
    </row>
    <row r="2448" spans="19:20" x14ac:dyDescent="0.25">
      <c r="S2448" s="78">
        <v>29835</v>
      </c>
      <c r="T2448" s="29">
        <v>12.69</v>
      </c>
    </row>
    <row r="2449" spans="19:20" x14ac:dyDescent="0.25">
      <c r="S2449" s="78">
        <v>29836</v>
      </c>
      <c r="T2449" s="29">
        <v>12.69</v>
      </c>
    </row>
    <row r="2450" spans="19:20" x14ac:dyDescent="0.25">
      <c r="S2450" s="78">
        <v>29837</v>
      </c>
      <c r="T2450" s="29">
        <v>12.69</v>
      </c>
    </row>
    <row r="2451" spans="19:20" x14ac:dyDescent="0.25">
      <c r="S2451" s="78">
        <v>29838</v>
      </c>
      <c r="T2451" s="29">
        <v>12.69</v>
      </c>
    </row>
    <row r="2452" spans="19:20" x14ac:dyDescent="0.25">
      <c r="S2452" s="78">
        <v>29839</v>
      </c>
      <c r="T2452" s="29">
        <v>12.69</v>
      </c>
    </row>
    <row r="2453" spans="19:20" x14ac:dyDescent="0.25">
      <c r="S2453" s="78">
        <v>29840</v>
      </c>
      <c r="T2453" s="29">
        <v>12.69</v>
      </c>
    </row>
    <row r="2454" spans="19:20" x14ac:dyDescent="0.25">
      <c r="S2454" s="78">
        <v>29841</v>
      </c>
      <c r="T2454" s="29">
        <v>12.69</v>
      </c>
    </row>
    <row r="2455" spans="19:20" x14ac:dyDescent="0.25">
      <c r="S2455" s="78">
        <v>29842</v>
      </c>
      <c r="T2455" s="29">
        <v>12.69</v>
      </c>
    </row>
    <row r="2456" spans="19:20" x14ac:dyDescent="0.25">
      <c r="S2456" s="78">
        <v>29843</v>
      </c>
      <c r="T2456" s="29">
        <v>12.69</v>
      </c>
    </row>
    <row r="2457" spans="19:20" x14ac:dyDescent="0.25">
      <c r="S2457" s="78">
        <v>29844</v>
      </c>
      <c r="T2457" s="29">
        <v>14</v>
      </c>
    </row>
    <row r="2458" spans="19:20" x14ac:dyDescent="0.25">
      <c r="S2458" s="78">
        <v>29845</v>
      </c>
      <c r="T2458" s="29">
        <v>14</v>
      </c>
    </row>
    <row r="2459" spans="19:20" x14ac:dyDescent="0.25">
      <c r="S2459" s="78">
        <v>29846</v>
      </c>
      <c r="T2459" s="29">
        <v>14</v>
      </c>
    </row>
    <row r="2460" spans="19:20" x14ac:dyDescent="0.25">
      <c r="S2460" s="78">
        <v>29847</v>
      </c>
      <c r="T2460" s="29">
        <v>14</v>
      </c>
    </row>
    <row r="2461" spans="19:20" x14ac:dyDescent="0.25">
      <c r="S2461" s="78">
        <v>29848</v>
      </c>
      <c r="T2461" s="29">
        <v>14</v>
      </c>
    </row>
    <row r="2462" spans="19:20" x14ac:dyDescent="0.25">
      <c r="S2462" s="78">
        <v>29849</v>
      </c>
      <c r="T2462" s="29">
        <v>14</v>
      </c>
    </row>
    <row r="2463" spans="19:20" x14ac:dyDescent="0.25">
      <c r="S2463" s="78">
        <v>29850</v>
      </c>
      <c r="T2463" s="29">
        <v>14</v>
      </c>
    </row>
    <row r="2464" spans="19:20" x14ac:dyDescent="0.25">
      <c r="S2464" s="78">
        <v>29851</v>
      </c>
      <c r="T2464" s="29">
        <v>14</v>
      </c>
    </row>
    <row r="2465" spans="19:21" x14ac:dyDescent="0.25">
      <c r="S2465" s="78">
        <v>29852</v>
      </c>
      <c r="T2465" s="29">
        <v>14</v>
      </c>
    </row>
    <row r="2466" spans="19:21" x14ac:dyDescent="0.25">
      <c r="S2466" s="78">
        <v>29853</v>
      </c>
      <c r="T2466" s="29">
        <v>14</v>
      </c>
    </row>
    <row r="2467" spans="19:21" x14ac:dyDescent="0.25">
      <c r="S2467" s="78">
        <v>29854</v>
      </c>
      <c r="T2467" s="29">
        <v>14</v>
      </c>
    </row>
    <row r="2468" spans="19:21" x14ac:dyDescent="0.25">
      <c r="S2468" s="78">
        <v>29855</v>
      </c>
      <c r="T2468" s="29">
        <v>14</v>
      </c>
    </row>
    <row r="2469" spans="19:21" x14ac:dyDescent="0.25">
      <c r="S2469" s="78">
        <v>29856</v>
      </c>
      <c r="T2469" s="29">
        <v>14</v>
      </c>
    </row>
    <row r="2470" spans="19:21" x14ac:dyDescent="0.25">
      <c r="S2470" s="78">
        <v>29857</v>
      </c>
      <c r="T2470" s="29">
        <v>14</v>
      </c>
    </row>
    <row r="2471" spans="19:21" x14ac:dyDescent="0.25">
      <c r="S2471" s="78">
        <v>29858</v>
      </c>
      <c r="T2471" s="29">
        <v>14</v>
      </c>
    </row>
    <row r="2472" spans="19:21" x14ac:dyDescent="0.25">
      <c r="S2472" s="78">
        <v>29859</v>
      </c>
      <c r="T2472" s="29">
        <v>14</v>
      </c>
      <c r="U2472" s="40">
        <f>AVERAGE(T2381:T2472)</f>
        <v>12.505326086956535</v>
      </c>
    </row>
    <row r="2473" spans="19:21" x14ac:dyDescent="0.25">
      <c r="S2473" s="78">
        <v>29860</v>
      </c>
      <c r="T2473" s="29">
        <v>14</v>
      </c>
    </row>
    <row r="2474" spans="19:21" x14ac:dyDescent="0.25">
      <c r="S2474" s="78">
        <v>29861</v>
      </c>
      <c r="T2474" s="29">
        <v>14</v>
      </c>
    </row>
    <row r="2475" spans="19:21" x14ac:dyDescent="0.25">
      <c r="S2475" s="78">
        <v>29862</v>
      </c>
      <c r="T2475" s="29">
        <v>14</v>
      </c>
    </row>
    <row r="2476" spans="19:21" x14ac:dyDescent="0.25">
      <c r="S2476" s="78">
        <v>29863</v>
      </c>
      <c r="T2476" s="29">
        <v>14</v>
      </c>
    </row>
    <row r="2477" spans="19:21" x14ac:dyDescent="0.25">
      <c r="S2477" s="78">
        <v>29864</v>
      </c>
      <c r="T2477" s="29">
        <v>14</v>
      </c>
    </row>
    <row r="2478" spans="19:21" x14ac:dyDescent="0.25">
      <c r="S2478" s="78">
        <v>29865</v>
      </c>
      <c r="T2478" s="29">
        <v>14</v>
      </c>
    </row>
    <row r="2479" spans="19:21" x14ac:dyDescent="0.25">
      <c r="S2479" s="78">
        <v>29866</v>
      </c>
      <c r="T2479" s="29">
        <v>14</v>
      </c>
    </row>
    <row r="2480" spans="19:21" x14ac:dyDescent="0.25">
      <c r="S2480" s="78">
        <v>29867</v>
      </c>
      <c r="T2480" s="29">
        <v>14</v>
      </c>
    </row>
    <row r="2481" spans="19:20" x14ac:dyDescent="0.25">
      <c r="S2481" s="78">
        <v>29868</v>
      </c>
      <c r="T2481" s="29">
        <v>14</v>
      </c>
    </row>
    <row r="2482" spans="19:20" x14ac:dyDescent="0.25">
      <c r="S2482" s="78">
        <v>29869</v>
      </c>
      <c r="T2482" s="29">
        <v>14</v>
      </c>
    </row>
    <row r="2483" spans="19:20" x14ac:dyDescent="0.25">
      <c r="S2483" s="78">
        <v>29870</v>
      </c>
      <c r="T2483" s="29">
        <v>14</v>
      </c>
    </row>
    <row r="2484" spans="19:20" x14ac:dyDescent="0.25">
      <c r="S2484" s="78">
        <v>29871</v>
      </c>
      <c r="T2484" s="29">
        <v>15</v>
      </c>
    </row>
    <row r="2485" spans="19:20" x14ac:dyDescent="0.25">
      <c r="S2485" s="78">
        <v>29872</v>
      </c>
      <c r="T2485" s="29">
        <v>15</v>
      </c>
    </row>
    <row r="2486" spans="19:20" x14ac:dyDescent="0.25">
      <c r="S2486" s="78">
        <v>29873</v>
      </c>
      <c r="T2486" s="29">
        <v>15</v>
      </c>
    </row>
    <row r="2487" spans="19:20" x14ac:dyDescent="0.25">
      <c r="S2487" s="78">
        <v>29874</v>
      </c>
      <c r="T2487" s="29">
        <v>15</v>
      </c>
    </row>
    <row r="2488" spans="19:20" x14ac:dyDescent="0.25">
      <c r="S2488" s="78">
        <v>29875</v>
      </c>
      <c r="T2488" s="29">
        <v>15</v>
      </c>
    </row>
    <row r="2489" spans="19:20" x14ac:dyDescent="0.25">
      <c r="S2489" s="78">
        <v>29876</v>
      </c>
      <c r="T2489" s="29">
        <v>15</v>
      </c>
    </row>
    <row r="2490" spans="19:20" x14ac:dyDescent="0.25">
      <c r="S2490" s="78">
        <v>29877</v>
      </c>
      <c r="T2490" s="29">
        <v>15</v>
      </c>
    </row>
    <row r="2491" spans="19:20" x14ac:dyDescent="0.25">
      <c r="S2491" s="78">
        <v>29878</v>
      </c>
      <c r="T2491" s="29">
        <v>15</v>
      </c>
    </row>
    <row r="2492" spans="19:20" x14ac:dyDescent="0.25">
      <c r="S2492" s="78">
        <v>29879</v>
      </c>
      <c r="T2492" s="29">
        <v>15</v>
      </c>
    </row>
    <row r="2493" spans="19:20" x14ac:dyDescent="0.25">
      <c r="S2493" s="78">
        <v>29880</v>
      </c>
      <c r="T2493" s="29">
        <v>15</v>
      </c>
    </row>
    <row r="2494" spans="19:20" x14ac:dyDescent="0.25">
      <c r="S2494" s="78">
        <v>29881</v>
      </c>
      <c r="T2494" s="29">
        <v>15</v>
      </c>
    </row>
    <row r="2495" spans="19:20" x14ac:dyDescent="0.25">
      <c r="S2495" s="78">
        <v>29882</v>
      </c>
      <c r="T2495" s="29">
        <v>15</v>
      </c>
    </row>
    <row r="2496" spans="19:20" x14ac:dyDescent="0.25">
      <c r="S2496" s="78">
        <v>29883</v>
      </c>
      <c r="T2496" s="29">
        <v>15</v>
      </c>
    </row>
    <row r="2497" spans="19:20" x14ac:dyDescent="0.25">
      <c r="S2497" s="78">
        <v>29884</v>
      </c>
      <c r="T2497" s="29">
        <v>15</v>
      </c>
    </row>
    <row r="2498" spans="19:20" x14ac:dyDescent="0.25">
      <c r="S2498" s="78">
        <v>29885</v>
      </c>
      <c r="T2498" s="29">
        <v>15</v>
      </c>
    </row>
    <row r="2499" spans="19:20" x14ac:dyDescent="0.25">
      <c r="S2499" s="78">
        <v>29886</v>
      </c>
      <c r="T2499" s="29">
        <v>15</v>
      </c>
    </row>
    <row r="2500" spans="19:20" x14ac:dyDescent="0.25">
      <c r="S2500" s="78">
        <v>29887</v>
      </c>
      <c r="T2500" s="29">
        <v>15.13</v>
      </c>
    </row>
    <row r="2501" spans="19:20" x14ac:dyDescent="0.25">
      <c r="S2501" s="78">
        <v>29888</v>
      </c>
      <c r="T2501" s="29">
        <v>15.13</v>
      </c>
    </row>
    <row r="2502" spans="19:20" x14ac:dyDescent="0.25">
      <c r="S2502" s="78">
        <v>29889</v>
      </c>
      <c r="T2502" s="29">
        <v>15.13</v>
      </c>
    </row>
    <row r="2503" spans="19:20" x14ac:dyDescent="0.25">
      <c r="S2503" s="78">
        <v>29890</v>
      </c>
      <c r="T2503" s="29">
        <v>15.13</v>
      </c>
    </row>
    <row r="2504" spans="19:20" x14ac:dyDescent="0.25">
      <c r="S2504" s="78">
        <v>29891</v>
      </c>
      <c r="T2504" s="29">
        <v>15.13</v>
      </c>
    </row>
    <row r="2505" spans="19:20" x14ac:dyDescent="0.25">
      <c r="S2505" s="78">
        <v>29892</v>
      </c>
      <c r="T2505" s="29">
        <v>15.13</v>
      </c>
    </row>
    <row r="2506" spans="19:20" x14ac:dyDescent="0.25">
      <c r="S2506" s="78">
        <v>29893</v>
      </c>
      <c r="T2506" s="29">
        <v>15.13</v>
      </c>
    </row>
    <row r="2507" spans="19:20" x14ac:dyDescent="0.25">
      <c r="S2507" s="78">
        <v>29894</v>
      </c>
      <c r="T2507" s="29">
        <v>15.13</v>
      </c>
    </row>
    <row r="2508" spans="19:20" x14ac:dyDescent="0.25">
      <c r="S2508" s="78">
        <v>29895</v>
      </c>
      <c r="T2508" s="29">
        <v>15.13</v>
      </c>
    </row>
    <row r="2509" spans="19:20" x14ac:dyDescent="0.25">
      <c r="S2509" s="78">
        <v>29896</v>
      </c>
      <c r="T2509" s="29">
        <v>15.06</v>
      </c>
    </row>
    <row r="2510" spans="19:20" x14ac:dyDescent="0.25">
      <c r="S2510" s="78">
        <v>29897</v>
      </c>
      <c r="T2510" s="29">
        <v>15.06</v>
      </c>
    </row>
    <row r="2511" spans="19:20" x14ac:dyDescent="0.25">
      <c r="S2511" s="78">
        <v>29898</v>
      </c>
      <c r="T2511" s="29">
        <v>15.06</v>
      </c>
    </row>
    <row r="2512" spans="19:20" x14ac:dyDescent="0.25">
      <c r="S2512" s="78">
        <v>29899</v>
      </c>
      <c r="T2512" s="29">
        <v>14.63</v>
      </c>
    </row>
    <row r="2513" spans="19:20" x14ac:dyDescent="0.25">
      <c r="S2513" s="78">
        <v>29900</v>
      </c>
      <c r="T2513" s="29">
        <v>14.63</v>
      </c>
    </row>
    <row r="2514" spans="19:20" x14ac:dyDescent="0.25">
      <c r="S2514" s="78">
        <v>29901</v>
      </c>
      <c r="T2514" s="29">
        <v>14.63</v>
      </c>
    </row>
    <row r="2515" spans="19:20" x14ac:dyDescent="0.25">
      <c r="S2515" s="78">
        <v>29902</v>
      </c>
      <c r="T2515" s="29">
        <v>14.63</v>
      </c>
    </row>
    <row r="2516" spans="19:20" x14ac:dyDescent="0.25">
      <c r="S2516" s="78">
        <v>29903</v>
      </c>
      <c r="T2516" s="29">
        <v>14.63</v>
      </c>
    </row>
    <row r="2517" spans="19:20" x14ac:dyDescent="0.25">
      <c r="S2517" s="78">
        <v>29904</v>
      </c>
      <c r="T2517" s="29">
        <v>14.63</v>
      </c>
    </row>
    <row r="2518" spans="19:20" x14ac:dyDescent="0.25">
      <c r="S2518" s="78">
        <v>29905</v>
      </c>
      <c r="T2518" s="29">
        <v>14.63</v>
      </c>
    </row>
    <row r="2519" spans="19:20" x14ac:dyDescent="0.25">
      <c r="S2519" s="78">
        <v>29906</v>
      </c>
      <c r="T2519" s="29">
        <v>14.63</v>
      </c>
    </row>
    <row r="2520" spans="19:20" x14ac:dyDescent="0.25">
      <c r="S2520" s="78">
        <v>29907</v>
      </c>
      <c r="T2520" s="29">
        <v>14.63</v>
      </c>
    </row>
    <row r="2521" spans="19:20" x14ac:dyDescent="0.25">
      <c r="S2521" s="78">
        <v>29908</v>
      </c>
      <c r="T2521" s="29">
        <v>14.63</v>
      </c>
    </row>
    <row r="2522" spans="19:20" x14ac:dyDescent="0.25">
      <c r="S2522" s="78">
        <v>29909</v>
      </c>
      <c r="T2522" s="29">
        <v>14.63</v>
      </c>
    </row>
    <row r="2523" spans="19:20" x14ac:dyDescent="0.25">
      <c r="S2523" s="78">
        <v>29910</v>
      </c>
      <c r="T2523" s="29">
        <v>14.63</v>
      </c>
    </row>
    <row r="2524" spans="19:20" x14ac:dyDescent="0.25">
      <c r="S2524" s="78">
        <v>29911</v>
      </c>
      <c r="T2524" s="29">
        <v>14.63</v>
      </c>
    </row>
    <row r="2525" spans="19:20" x14ac:dyDescent="0.25">
      <c r="S2525" s="78">
        <v>29912</v>
      </c>
      <c r="T2525" s="29">
        <v>14.63</v>
      </c>
    </row>
    <row r="2526" spans="19:20" x14ac:dyDescent="0.25">
      <c r="S2526" s="78">
        <v>29913</v>
      </c>
      <c r="T2526" s="29">
        <v>14.63</v>
      </c>
    </row>
    <row r="2527" spans="19:20" x14ac:dyDescent="0.25">
      <c r="S2527" s="78">
        <v>29914</v>
      </c>
      <c r="T2527" s="29">
        <v>14.63</v>
      </c>
    </row>
    <row r="2528" spans="19:20" x14ac:dyDescent="0.25">
      <c r="S2528" s="78">
        <v>29915</v>
      </c>
      <c r="T2528" s="29">
        <v>14.56</v>
      </c>
    </row>
    <row r="2529" spans="19:20" x14ac:dyDescent="0.25">
      <c r="S2529" s="78">
        <v>29916</v>
      </c>
      <c r="T2529" s="29">
        <v>14.56</v>
      </c>
    </row>
    <row r="2530" spans="19:20" x14ac:dyDescent="0.25">
      <c r="S2530" s="78">
        <v>29917</v>
      </c>
      <c r="T2530" s="29">
        <v>14.56</v>
      </c>
    </row>
    <row r="2531" spans="19:20" x14ac:dyDescent="0.25">
      <c r="S2531" s="78">
        <v>29918</v>
      </c>
      <c r="T2531" s="29">
        <v>14.56</v>
      </c>
    </row>
    <row r="2532" spans="19:20" x14ac:dyDescent="0.25">
      <c r="S2532" s="78">
        <v>29919</v>
      </c>
      <c r="T2532" s="29">
        <v>14.56</v>
      </c>
    </row>
    <row r="2533" spans="19:20" x14ac:dyDescent="0.25">
      <c r="S2533" s="78">
        <v>29920</v>
      </c>
      <c r="T2533" s="29">
        <v>14.56</v>
      </c>
    </row>
    <row r="2534" spans="19:20" x14ac:dyDescent="0.25">
      <c r="S2534" s="78">
        <v>29921</v>
      </c>
      <c r="T2534" s="29">
        <v>14.56</v>
      </c>
    </row>
    <row r="2535" spans="19:20" x14ac:dyDescent="0.25">
      <c r="S2535" s="78">
        <v>29922</v>
      </c>
      <c r="T2535" s="29">
        <v>14.56</v>
      </c>
    </row>
    <row r="2536" spans="19:20" x14ac:dyDescent="0.25">
      <c r="S2536" s="78">
        <v>29923</v>
      </c>
      <c r="T2536" s="29">
        <v>14.56</v>
      </c>
    </row>
    <row r="2537" spans="19:20" x14ac:dyDescent="0.25">
      <c r="S2537" s="78">
        <v>29924</v>
      </c>
      <c r="T2537" s="29">
        <v>14.38</v>
      </c>
    </row>
    <row r="2538" spans="19:20" x14ac:dyDescent="0.25">
      <c r="S2538" s="78">
        <v>29925</v>
      </c>
      <c r="T2538" s="29">
        <v>14.38</v>
      </c>
    </row>
    <row r="2539" spans="19:20" x14ac:dyDescent="0.25">
      <c r="S2539" s="78">
        <v>29926</v>
      </c>
      <c r="T2539" s="29">
        <v>14.38</v>
      </c>
    </row>
    <row r="2540" spans="19:20" x14ac:dyDescent="0.25">
      <c r="S2540" s="78">
        <v>29927</v>
      </c>
      <c r="T2540" s="29">
        <v>14.38</v>
      </c>
    </row>
    <row r="2541" spans="19:20" x14ac:dyDescent="0.25">
      <c r="S2541" s="78">
        <v>29928</v>
      </c>
      <c r="T2541" s="29">
        <v>14.38</v>
      </c>
    </row>
    <row r="2542" spans="19:20" x14ac:dyDescent="0.25">
      <c r="S2542" s="78">
        <v>29929</v>
      </c>
      <c r="T2542" s="29">
        <v>14.38</v>
      </c>
    </row>
    <row r="2543" spans="19:20" x14ac:dyDescent="0.25">
      <c r="S2543" s="78">
        <v>29930</v>
      </c>
      <c r="T2543" s="29">
        <v>14.38</v>
      </c>
    </row>
    <row r="2544" spans="19:20" x14ac:dyDescent="0.25">
      <c r="S2544" s="78">
        <v>29931</v>
      </c>
      <c r="T2544" s="29">
        <v>14.38</v>
      </c>
    </row>
    <row r="2545" spans="19:20" x14ac:dyDescent="0.25">
      <c r="S2545" s="78">
        <v>29932</v>
      </c>
      <c r="T2545" s="29">
        <v>14.38</v>
      </c>
    </row>
    <row r="2546" spans="19:20" x14ac:dyDescent="0.25">
      <c r="S2546" s="78">
        <v>29933</v>
      </c>
      <c r="T2546" s="29">
        <v>14.38</v>
      </c>
    </row>
    <row r="2547" spans="19:20" x14ac:dyDescent="0.25">
      <c r="S2547" s="78">
        <v>29934</v>
      </c>
      <c r="T2547" s="29">
        <v>14.38</v>
      </c>
    </row>
    <row r="2548" spans="19:20" x14ac:dyDescent="0.25">
      <c r="S2548" s="78">
        <v>29935</v>
      </c>
      <c r="T2548" s="29">
        <v>14.38</v>
      </c>
    </row>
    <row r="2549" spans="19:20" x14ac:dyDescent="0.25">
      <c r="S2549" s="78">
        <v>29936</v>
      </c>
      <c r="T2549" s="29">
        <v>14.38</v>
      </c>
    </row>
    <row r="2550" spans="19:20" x14ac:dyDescent="0.25">
      <c r="S2550" s="78">
        <v>29937</v>
      </c>
      <c r="T2550" s="29">
        <v>14.38</v>
      </c>
    </row>
    <row r="2551" spans="19:20" x14ac:dyDescent="0.25">
      <c r="S2551" s="78">
        <v>29938</v>
      </c>
      <c r="T2551" s="29">
        <v>14.38</v>
      </c>
    </row>
    <row r="2552" spans="19:20" x14ac:dyDescent="0.25">
      <c r="S2552" s="78">
        <v>29939</v>
      </c>
      <c r="T2552" s="29">
        <v>14.38</v>
      </c>
    </row>
    <row r="2553" spans="19:20" x14ac:dyDescent="0.25">
      <c r="S2553" s="78">
        <v>29940</v>
      </c>
      <c r="T2553" s="29">
        <v>14.38</v>
      </c>
    </row>
    <row r="2554" spans="19:20" x14ac:dyDescent="0.25">
      <c r="S2554" s="78">
        <v>29941</v>
      </c>
      <c r="T2554" s="29">
        <v>14.38</v>
      </c>
    </row>
    <row r="2555" spans="19:20" x14ac:dyDescent="0.25">
      <c r="S2555" s="78">
        <v>29942</v>
      </c>
      <c r="T2555" s="29">
        <v>14.38</v>
      </c>
    </row>
    <row r="2556" spans="19:20" x14ac:dyDescent="0.25">
      <c r="S2556" s="78">
        <v>29943</v>
      </c>
      <c r="T2556" s="29">
        <v>14.38</v>
      </c>
    </row>
    <row r="2557" spans="19:20" x14ac:dyDescent="0.25">
      <c r="S2557" s="78">
        <v>29944</v>
      </c>
      <c r="T2557" s="29">
        <v>14.38</v>
      </c>
    </row>
    <row r="2558" spans="19:20" x14ac:dyDescent="0.25">
      <c r="S2558" s="78">
        <v>29945</v>
      </c>
      <c r="T2558" s="29">
        <v>14.38</v>
      </c>
    </row>
    <row r="2559" spans="19:20" x14ac:dyDescent="0.25">
      <c r="S2559" s="78">
        <v>29946</v>
      </c>
      <c r="T2559" s="29">
        <v>14.38</v>
      </c>
    </row>
    <row r="2560" spans="19:20" x14ac:dyDescent="0.25">
      <c r="S2560" s="78">
        <v>29947</v>
      </c>
      <c r="T2560" s="29">
        <v>14.38</v>
      </c>
    </row>
    <row r="2561" spans="19:21" x14ac:dyDescent="0.25">
      <c r="S2561" s="78">
        <v>29948</v>
      </c>
      <c r="T2561" s="29">
        <v>14.38</v>
      </c>
    </row>
    <row r="2562" spans="19:21" x14ac:dyDescent="0.25">
      <c r="S2562" s="78">
        <v>29949</v>
      </c>
      <c r="T2562" s="29">
        <v>14.38</v>
      </c>
    </row>
    <row r="2563" spans="19:21" x14ac:dyDescent="0.25">
      <c r="S2563" s="78">
        <v>29950</v>
      </c>
      <c r="T2563" s="29">
        <v>14.38</v>
      </c>
    </row>
    <row r="2564" spans="19:21" x14ac:dyDescent="0.25">
      <c r="S2564" s="78">
        <v>29951</v>
      </c>
      <c r="T2564" s="29">
        <v>14.38</v>
      </c>
      <c r="U2564" s="40">
        <f>AVERAGE(T2473:T2564)</f>
        <v>14.599021739130453</v>
      </c>
    </row>
    <row r="2565" spans="19:21" x14ac:dyDescent="0.25">
      <c r="S2565" s="78">
        <v>29952</v>
      </c>
      <c r="T2565" s="29">
        <v>14.38</v>
      </c>
    </row>
    <row r="2566" spans="19:21" x14ac:dyDescent="0.25">
      <c r="S2566" s="78">
        <v>29953</v>
      </c>
      <c r="T2566" s="29">
        <v>14.38</v>
      </c>
    </row>
    <row r="2567" spans="19:21" x14ac:dyDescent="0.25">
      <c r="S2567" s="78">
        <v>29954</v>
      </c>
      <c r="T2567" s="29">
        <v>14.38</v>
      </c>
    </row>
    <row r="2568" spans="19:21" x14ac:dyDescent="0.25">
      <c r="S2568" s="78">
        <v>29955</v>
      </c>
      <c r="T2568" s="29">
        <v>14.38</v>
      </c>
    </row>
    <row r="2569" spans="19:21" x14ac:dyDescent="0.25">
      <c r="S2569" s="78">
        <v>29956</v>
      </c>
      <c r="T2569" s="29">
        <v>14.38</v>
      </c>
    </row>
    <row r="2570" spans="19:21" x14ac:dyDescent="0.25">
      <c r="S2570" s="78">
        <v>29957</v>
      </c>
      <c r="T2570" s="29">
        <v>14.38</v>
      </c>
    </row>
    <row r="2571" spans="19:21" x14ac:dyDescent="0.25">
      <c r="S2571" s="78">
        <v>29958</v>
      </c>
      <c r="T2571" s="29">
        <v>14.38</v>
      </c>
    </row>
    <row r="2572" spans="19:21" x14ac:dyDescent="0.25">
      <c r="S2572" s="78">
        <v>29959</v>
      </c>
      <c r="T2572" s="29">
        <v>14.38</v>
      </c>
    </row>
    <row r="2573" spans="19:21" x14ac:dyDescent="0.25">
      <c r="S2573" s="78">
        <v>29960</v>
      </c>
      <c r="T2573" s="29">
        <v>14.38</v>
      </c>
    </row>
    <row r="2574" spans="19:21" x14ac:dyDescent="0.25">
      <c r="S2574" s="78">
        <v>29961</v>
      </c>
      <c r="T2574" s="29">
        <v>14.38</v>
      </c>
    </row>
    <row r="2575" spans="19:21" x14ac:dyDescent="0.25">
      <c r="S2575" s="78">
        <v>29962</v>
      </c>
      <c r="T2575" s="29">
        <v>14.38</v>
      </c>
    </row>
    <row r="2576" spans="19:21" x14ac:dyDescent="0.25">
      <c r="S2576" s="78">
        <v>29963</v>
      </c>
      <c r="T2576" s="29">
        <v>14.38</v>
      </c>
    </row>
    <row r="2577" spans="19:20" x14ac:dyDescent="0.25">
      <c r="S2577" s="78">
        <v>29964</v>
      </c>
      <c r="T2577" s="29">
        <v>14.38</v>
      </c>
    </row>
    <row r="2578" spans="19:20" x14ac:dyDescent="0.25">
      <c r="S2578" s="78">
        <v>29965</v>
      </c>
      <c r="T2578" s="29">
        <v>14.38</v>
      </c>
    </row>
    <row r="2579" spans="19:20" x14ac:dyDescent="0.25">
      <c r="S2579" s="78">
        <v>29966</v>
      </c>
      <c r="T2579" s="29">
        <v>14.38</v>
      </c>
    </row>
    <row r="2580" spans="19:20" x14ac:dyDescent="0.25">
      <c r="S2580" s="78">
        <v>29967</v>
      </c>
      <c r="T2580" s="29">
        <v>14.38</v>
      </c>
    </row>
    <row r="2581" spans="19:20" x14ac:dyDescent="0.25">
      <c r="S2581" s="78">
        <v>29968</v>
      </c>
      <c r="T2581" s="29">
        <v>14.38</v>
      </c>
    </row>
    <row r="2582" spans="19:20" x14ac:dyDescent="0.25">
      <c r="S2582" s="78">
        <v>29969</v>
      </c>
      <c r="T2582" s="29">
        <v>14.31</v>
      </c>
    </row>
    <row r="2583" spans="19:20" x14ac:dyDescent="0.25">
      <c r="S2583" s="78">
        <v>29970</v>
      </c>
      <c r="T2583" s="29">
        <v>14.25</v>
      </c>
    </row>
    <row r="2584" spans="19:20" x14ac:dyDescent="0.25">
      <c r="S2584" s="78">
        <v>29971</v>
      </c>
      <c r="T2584" s="29">
        <v>14.13</v>
      </c>
    </row>
    <row r="2585" spans="19:20" x14ac:dyDescent="0.25">
      <c r="S2585" s="78">
        <v>29972</v>
      </c>
      <c r="T2585" s="29">
        <v>14</v>
      </c>
    </row>
    <row r="2586" spans="19:20" x14ac:dyDescent="0.25">
      <c r="S2586" s="78">
        <v>29973</v>
      </c>
      <c r="T2586" s="29">
        <v>13.88</v>
      </c>
    </row>
    <row r="2587" spans="19:20" x14ac:dyDescent="0.25">
      <c r="S2587" s="78">
        <v>29974</v>
      </c>
      <c r="T2587" s="29">
        <v>13.88</v>
      </c>
    </row>
    <row r="2588" spans="19:20" x14ac:dyDescent="0.25">
      <c r="S2588" s="78">
        <v>29975</v>
      </c>
      <c r="T2588" s="29">
        <v>13.88</v>
      </c>
    </row>
    <row r="2589" spans="19:20" x14ac:dyDescent="0.25">
      <c r="S2589" s="78">
        <v>29976</v>
      </c>
      <c r="T2589" s="29">
        <v>13.88</v>
      </c>
    </row>
    <row r="2590" spans="19:20" x14ac:dyDescent="0.25">
      <c r="S2590" s="78">
        <v>29977</v>
      </c>
      <c r="T2590" s="29">
        <v>13.88</v>
      </c>
    </row>
    <row r="2591" spans="19:20" x14ac:dyDescent="0.25">
      <c r="S2591" s="78">
        <v>29978</v>
      </c>
      <c r="T2591" s="29">
        <v>13.88</v>
      </c>
    </row>
    <row r="2592" spans="19:20" x14ac:dyDescent="0.25">
      <c r="S2592" s="78">
        <v>29979</v>
      </c>
      <c r="T2592" s="29">
        <v>13.88</v>
      </c>
    </row>
    <row r="2593" spans="19:20" x14ac:dyDescent="0.25">
      <c r="S2593" s="78">
        <v>29980</v>
      </c>
      <c r="T2593" s="29">
        <v>13.88</v>
      </c>
    </row>
    <row r="2594" spans="19:20" x14ac:dyDescent="0.25">
      <c r="S2594" s="78">
        <v>29981</v>
      </c>
      <c r="T2594" s="29">
        <v>13.88</v>
      </c>
    </row>
    <row r="2595" spans="19:20" x14ac:dyDescent="0.25">
      <c r="S2595" s="78">
        <v>29982</v>
      </c>
      <c r="T2595" s="29">
        <v>13.88</v>
      </c>
    </row>
    <row r="2596" spans="19:20" x14ac:dyDescent="0.25">
      <c r="S2596" s="78">
        <v>29983</v>
      </c>
      <c r="T2596" s="29">
        <v>13.88</v>
      </c>
    </row>
    <row r="2597" spans="19:20" x14ac:dyDescent="0.25">
      <c r="S2597" s="78">
        <v>29984</v>
      </c>
      <c r="T2597" s="29">
        <v>13.88</v>
      </c>
    </row>
    <row r="2598" spans="19:20" x14ac:dyDescent="0.25">
      <c r="S2598" s="78">
        <v>29985</v>
      </c>
      <c r="T2598" s="29">
        <v>13.88</v>
      </c>
    </row>
    <row r="2599" spans="19:20" x14ac:dyDescent="0.25">
      <c r="S2599" s="78">
        <v>29986</v>
      </c>
      <c r="T2599" s="29">
        <v>13.88</v>
      </c>
    </row>
    <row r="2600" spans="19:20" x14ac:dyDescent="0.25">
      <c r="S2600" s="78">
        <v>29987</v>
      </c>
      <c r="T2600" s="29">
        <v>13.88</v>
      </c>
    </row>
    <row r="2601" spans="19:20" x14ac:dyDescent="0.25">
      <c r="S2601" s="78">
        <v>29988</v>
      </c>
      <c r="T2601" s="29">
        <v>13.88</v>
      </c>
    </row>
    <row r="2602" spans="19:20" x14ac:dyDescent="0.25">
      <c r="S2602" s="78">
        <v>29989</v>
      </c>
      <c r="T2602" s="29">
        <v>13.88</v>
      </c>
    </row>
    <row r="2603" spans="19:20" x14ac:dyDescent="0.25">
      <c r="S2603" s="78">
        <v>29990</v>
      </c>
      <c r="T2603" s="29">
        <v>13.88</v>
      </c>
    </row>
    <row r="2604" spans="19:20" x14ac:dyDescent="0.25">
      <c r="S2604" s="78">
        <v>29991</v>
      </c>
      <c r="T2604" s="29">
        <v>13.88</v>
      </c>
    </row>
    <row r="2605" spans="19:20" x14ac:dyDescent="0.25">
      <c r="S2605" s="78">
        <v>29992</v>
      </c>
      <c r="T2605" s="29">
        <v>13.88</v>
      </c>
    </row>
    <row r="2606" spans="19:20" x14ac:dyDescent="0.25">
      <c r="S2606" s="78">
        <v>29993</v>
      </c>
      <c r="T2606" s="29">
        <v>13.88</v>
      </c>
    </row>
    <row r="2607" spans="19:20" x14ac:dyDescent="0.25">
      <c r="S2607" s="78">
        <v>29994</v>
      </c>
      <c r="T2607" s="29">
        <v>13.88</v>
      </c>
    </row>
    <row r="2608" spans="19:20" x14ac:dyDescent="0.25">
      <c r="S2608" s="78">
        <v>29995</v>
      </c>
      <c r="T2608" s="29">
        <v>13.88</v>
      </c>
    </row>
    <row r="2609" spans="19:20" x14ac:dyDescent="0.25">
      <c r="S2609" s="78">
        <v>29996</v>
      </c>
      <c r="T2609" s="29">
        <v>13.88</v>
      </c>
    </row>
    <row r="2610" spans="19:20" x14ac:dyDescent="0.25">
      <c r="S2610" s="78">
        <v>29997</v>
      </c>
      <c r="T2610" s="29">
        <v>13.88</v>
      </c>
    </row>
    <row r="2611" spans="19:20" x14ac:dyDescent="0.25">
      <c r="S2611" s="78">
        <v>29998</v>
      </c>
      <c r="T2611" s="29">
        <v>13.88</v>
      </c>
    </row>
    <row r="2612" spans="19:20" x14ac:dyDescent="0.25">
      <c r="S2612" s="78">
        <v>29999</v>
      </c>
      <c r="T2612" s="29">
        <v>13.88</v>
      </c>
    </row>
    <row r="2613" spans="19:20" x14ac:dyDescent="0.25">
      <c r="S2613" s="78">
        <v>30000</v>
      </c>
      <c r="T2613" s="29">
        <v>13.88</v>
      </c>
    </row>
    <row r="2614" spans="19:20" x14ac:dyDescent="0.25">
      <c r="S2614" s="78">
        <v>30001</v>
      </c>
      <c r="T2614" s="29">
        <v>13.88</v>
      </c>
    </row>
    <row r="2615" spans="19:20" x14ac:dyDescent="0.25">
      <c r="S2615" s="78">
        <v>30002</v>
      </c>
      <c r="T2615" s="29">
        <v>13.88</v>
      </c>
    </row>
    <row r="2616" spans="19:20" x14ac:dyDescent="0.25">
      <c r="S2616" s="78">
        <v>30003</v>
      </c>
      <c r="T2616" s="29">
        <v>13.88</v>
      </c>
    </row>
    <row r="2617" spans="19:20" x14ac:dyDescent="0.25">
      <c r="S2617" s="78">
        <v>30004</v>
      </c>
      <c r="T2617" s="29">
        <v>13.81</v>
      </c>
    </row>
    <row r="2618" spans="19:20" x14ac:dyDescent="0.25">
      <c r="S2618" s="78">
        <v>30005</v>
      </c>
      <c r="T2618" s="29">
        <v>13.81</v>
      </c>
    </row>
    <row r="2619" spans="19:20" x14ac:dyDescent="0.25">
      <c r="S2619" s="78">
        <v>30006</v>
      </c>
      <c r="T2619" s="29">
        <v>13.81</v>
      </c>
    </row>
    <row r="2620" spans="19:20" x14ac:dyDescent="0.25">
      <c r="S2620" s="78">
        <v>30007</v>
      </c>
      <c r="T2620" s="29">
        <v>13.63</v>
      </c>
    </row>
    <row r="2621" spans="19:20" x14ac:dyDescent="0.25">
      <c r="S2621" s="78">
        <v>30008</v>
      </c>
      <c r="T2621" s="29">
        <v>13.63</v>
      </c>
    </row>
    <row r="2622" spans="19:20" x14ac:dyDescent="0.25">
      <c r="S2622" s="78">
        <v>30009</v>
      </c>
      <c r="T2622" s="29">
        <v>13.63</v>
      </c>
    </row>
    <row r="2623" spans="19:20" x14ac:dyDescent="0.25">
      <c r="S2623" s="78">
        <v>30010</v>
      </c>
      <c r="T2623" s="29">
        <v>13.63</v>
      </c>
    </row>
    <row r="2624" spans="19:20" x14ac:dyDescent="0.25">
      <c r="S2624" s="78">
        <v>30011</v>
      </c>
      <c r="T2624" s="29">
        <v>13.63</v>
      </c>
    </row>
    <row r="2625" spans="19:20" x14ac:dyDescent="0.25">
      <c r="S2625" s="78">
        <v>30012</v>
      </c>
      <c r="T2625" s="29">
        <v>13.63</v>
      </c>
    </row>
    <row r="2626" spans="19:20" x14ac:dyDescent="0.25">
      <c r="S2626" s="78">
        <v>30013</v>
      </c>
      <c r="T2626" s="29">
        <v>13.63</v>
      </c>
    </row>
    <row r="2627" spans="19:20" x14ac:dyDescent="0.25">
      <c r="S2627" s="78">
        <v>30014</v>
      </c>
      <c r="T2627" s="29">
        <v>13.63</v>
      </c>
    </row>
    <row r="2628" spans="19:20" x14ac:dyDescent="0.25">
      <c r="S2628" s="78">
        <v>30015</v>
      </c>
      <c r="T2628" s="29">
        <v>13.63</v>
      </c>
    </row>
    <row r="2629" spans="19:20" x14ac:dyDescent="0.25">
      <c r="S2629" s="78">
        <v>30016</v>
      </c>
      <c r="T2629" s="29">
        <v>13.63</v>
      </c>
    </row>
    <row r="2630" spans="19:20" x14ac:dyDescent="0.25">
      <c r="S2630" s="78">
        <v>30017</v>
      </c>
      <c r="T2630" s="29">
        <v>13.63</v>
      </c>
    </row>
    <row r="2631" spans="19:20" x14ac:dyDescent="0.25">
      <c r="S2631" s="78">
        <v>30018</v>
      </c>
      <c r="T2631" s="29">
        <v>13.63</v>
      </c>
    </row>
    <row r="2632" spans="19:20" x14ac:dyDescent="0.25">
      <c r="S2632" s="78">
        <v>30019</v>
      </c>
      <c r="T2632" s="29">
        <v>13.63</v>
      </c>
    </row>
    <row r="2633" spans="19:20" x14ac:dyDescent="0.25">
      <c r="S2633" s="78">
        <v>30020</v>
      </c>
      <c r="T2633" s="29">
        <v>13.25</v>
      </c>
    </row>
    <row r="2634" spans="19:20" x14ac:dyDescent="0.25">
      <c r="S2634" s="78">
        <v>30021</v>
      </c>
      <c r="T2634" s="29">
        <v>13.25</v>
      </c>
    </row>
    <row r="2635" spans="19:20" x14ac:dyDescent="0.25">
      <c r="S2635" s="78">
        <v>30022</v>
      </c>
      <c r="T2635" s="29">
        <v>13.25</v>
      </c>
    </row>
    <row r="2636" spans="19:20" x14ac:dyDescent="0.25">
      <c r="S2636" s="78">
        <v>30023</v>
      </c>
      <c r="T2636" s="29">
        <v>13.25</v>
      </c>
    </row>
    <row r="2637" spans="19:20" x14ac:dyDescent="0.25">
      <c r="S2637" s="78">
        <v>30024</v>
      </c>
      <c r="T2637" s="29">
        <v>13.25</v>
      </c>
    </row>
    <row r="2638" spans="19:20" x14ac:dyDescent="0.25">
      <c r="S2638" s="78">
        <v>30025</v>
      </c>
      <c r="T2638" s="29">
        <v>13.25</v>
      </c>
    </row>
    <row r="2639" spans="19:20" x14ac:dyDescent="0.25">
      <c r="S2639" s="78">
        <v>30026</v>
      </c>
      <c r="T2639" s="29">
        <v>13.25</v>
      </c>
    </row>
    <row r="2640" spans="19:20" x14ac:dyDescent="0.25">
      <c r="S2640" s="78">
        <v>30027</v>
      </c>
      <c r="T2640" s="29">
        <v>13.25</v>
      </c>
    </row>
    <row r="2641" spans="19:21" x14ac:dyDescent="0.25">
      <c r="S2641" s="78">
        <v>30028</v>
      </c>
      <c r="T2641" s="29">
        <v>13.25</v>
      </c>
    </row>
    <row r="2642" spans="19:21" x14ac:dyDescent="0.25">
      <c r="S2642" s="78">
        <v>30029</v>
      </c>
      <c r="T2642" s="29">
        <v>13.25</v>
      </c>
    </row>
    <row r="2643" spans="19:21" x14ac:dyDescent="0.25">
      <c r="S2643" s="78">
        <v>30030</v>
      </c>
      <c r="T2643" s="29">
        <v>13.25</v>
      </c>
    </row>
    <row r="2644" spans="19:21" x14ac:dyDescent="0.25">
      <c r="S2644" s="78">
        <v>30031</v>
      </c>
      <c r="T2644" s="29">
        <v>13.25</v>
      </c>
    </row>
    <row r="2645" spans="19:21" x14ac:dyDescent="0.25">
      <c r="S2645" s="78">
        <v>30032</v>
      </c>
      <c r="T2645" s="29">
        <v>13.25</v>
      </c>
    </row>
    <row r="2646" spans="19:21" x14ac:dyDescent="0.25">
      <c r="S2646" s="78">
        <v>30033</v>
      </c>
      <c r="T2646" s="29">
        <v>13.25</v>
      </c>
    </row>
    <row r="2647" spans="19:21" x14ac:dyDescent="0.25">
      <c r="S2647" s="78">
        <v>30034</v>
      </c>
      <c r="T2647" s="29">
        <v>13.25</v>
      </c>
    </row>
    <row r="2648" spans="19:21" x14ac:dyDescent="0.25">
      <c r="S2648" s="78">
        <v>30035</v>
      </c>
      <c r="T2648" s="29">
        <v>13.25</v>
      </c>
    </row>
    <row r="2649" spans="19:21" x14ac:dyDescent="0.25">
      <c r="S2649" s="78">
        <v>30036</v>
      </c>
      <c r="T2649" s="29">
        <v>13.25</v>
      </c>
    </row>
    <row r="2650" spans="19:21" x14ac:dyDescent="0.25">
      <c r="S2650" s="78">
        <v>30037</v>
      </c>
      <c r="T2650" s="29">
        <v>13.25</v>
      </c>
    </row>
    <row r="2651" spans="19:21" x14ac:dyDescent="0.25">
      <c r="S2651" s="78">
        <v>30038</v>
      </c>
      <c r="T2651" s="29">
        <v>13.25</v>
      </c>
    </row>
    <row r="2652" spans="19:21" x14ac:dyDescent="0.25">
      <c r="S2652" s="78">
        <v>30039</v>
      </c>
      <c r="T2652" s="29">
        <v>13.25</v>
      </c>
    </row>
    <row r="2653" spans="19:21" x14ac:dyDescent="0.25">
      <c r="S2653" s="78">
        <v>30040</v>
      </c>
      <c r="T2653" s="29">
        <v>13.25</v>
      </c>
    </row>
    <row r="2654" spans="19:21" x14ac:dyDescent="0.25">
      <c r="S2654" s="78">
        <v>30041</v>
      </c>
      <c r="T2654" s="29">
        <v>13.25</v>
      </c>
      <c r="U2654" s="39">
        <f>AVERAGE(T2565:T2654)</f>
        <v>13.794999999999996</v>
      </c>
    </row>
    <row r="2655" spans="19:21" x14ac:dyDescent="0.25">
      <c r="S2655" s="78">
        <v>30042</v>
      </c>
      <c r="T2655" s="29">
        <v>13.25</v>
      </c>
    </row>
    <row r="2656" spans="19:21" x14ac:dyDescent="0.25">
      <c r="S2656" s="78">
        <v>30043</v>
      </c>
      <c r="T2656" s="29">
        <v>13.25</v>
      </c>
    </row>
    <row r="2657" spans="19:20" x14ac:dyDescent="0.25">
      <c r="S2657" s="78">
        <v>30044</v>
      </c>
      <c r="T2657" s="29">
        <v>13.25</v>
      </c>
    </row>
    <row r="2658" spans="19:20" x14ac:dyDescent="0.25">
      <c r="S2658" s="78">
        <v>30045</v>
      </c>
      <c r="T2658" s="29">
        <v>13.25</v>
      </c>
    </row>
    <row r="2659" spans="19:20" x14ac:dyDescent="0.25">
      <c r="S2659" s="78">
        <v>30046</v>
      </c>
      <c r="T2659" s="29">
        <v>13.25</v>
      </c>
    </row>
    <row r="2660" spans="19:20" x14ac:dyDescent="0.25">
      <c r="S2660" s="78">
        <v>30047</v>
      </c>
      <c r="T2660" s="29">
        <v>13.25</v>
      </c>
    </row>
    <row r="2661" spans="19:20" x14ac:dyDescent="0.25">
      <c r="S2661" s="78">
        <v>30048</v>
      </c>
      <c r="T2661" s="29">
        <v>13.25</v>
      </c>
    </row>
    <row r="2662" spans="19:20" x14ac:dyDescent="0.25">
      <c r="S2662" s="78">
        <v>30049</v>
      </c>
      <c r="T2662" s="29">
        <v>13.25</v>
      </c>
    </row>
    <row r="2663" spans="19:20" x14ac:dyDescent="0.25">
      <c r="S2663" s="78">
        <v>30050</v>
      </c>
      <c r="T2663" s="29">
        <v>13.25</v>
      </c>
    </row>
    <row r="2664" spans="19:20" x14ac:dyDescent="0.25">
      <c r="S2664" s="78">
        <v>30051</v>
      </c>
      <c r="T2664" s="29">
        <v>13.25</v>
      </c>
    </row>
    <row r="2665" spans="19:20" x14ac:dyDescent="0.25">
      <c r="S2665" s="78">
        <v>30052</v>
      </c>
      <c r="T2665" s="29">
        <v>13.25</v>
      </c>
    </row>
    <row r="2666" spans="19:20" x14ac:dyDescent="0.25">
      <c r="S2666" s="78">
        <v>30053</v>
      </c>
      <c r="T2666" s="29">
        <v>13.25</v>
      </c>
    </row>
    <row r="2667" spans="19:20" x14ac:dyDescent="0.25">
      <c r="S2667" s="78">
        <v>30054</v>
      </c>
      <c r="T2667" s="29">
        <v>13.25</v>
      </c>
    </row>
    <row r="2668" spans="19:20" x14ac:dyDescent="0.25">
      <c r="S2668" s="78">
        <v>30055</v>
      </c>
      <c r="T2668" s="29">
        <v>13.25</v>
      </c>
    </row>
    <row r="2669" spans="19:20" x14ac:dyDescent="0.25">
      <c r="S2669" s="78">
        <v>30056</v>
      </c>
      <c r="T2669" s="29">
        <v>13.25</v>
      </c>
    </row>
    <row r="2670" spans="19:20" x14ac:dyDescent="0.25">
      <c r="S2670" s="78">
        <v>30057</v>
      </c>
      <c r="T2670" s="29">
        <v>13.13</v>
      </c>
    </row>
    <row r="2671" spans="19:20" x14ac:dyDescent="0.25">
      <c r="S2671" s="78">
        <v>30058</v>
      </c>
      <c r="T2671" s="29">
        <v>13.13</v>
      </c>
    </row>
    <row r="2672" spans="19:20" x14ac:dyDescent="0.25">
      <c r="S2672" s="78">
        <v>30059</v>
      </c>
      <c r="T2672" s="29">
        <v>13.13</v>
      </c>
    </row>
    <row r="2673" spans="19:20" x14ac:dyDescent="0.25">
      <c r="S2673" s="78">
        <v>30060</v>
      </c>
      <c r="T2673" s="29">
        <v>13</v>
      </c>
    </row>
    <row r="2674" spans="19:20" x14ac:dyDescent="0.25">
      <c r="S2674" s="78">
        <v>30061</v>
      </c>
      <c r="T2674" s="29">
        <v>13.13</v>
      </c>
    </row>
    <row r="2675" spans="19:20" x14ac:dyDescent="0.25">
      <c r="S2675" s="78">
        <v>30062</v>
      </c>
      <c r="T2675" s="29">
        <v>13.13</v>
      </c>
    </row>
    <row r="2676" spans="19:20" x14ac:dyDescent="0.25">
      <c r="S2676" s="78">
        <v>30063</v>
      </c>
      <c r="T2676" s="29">
        <v>13.13</v>
      </c>
    </row>
    <row r="2677" spans="19:20" x14ac:dyDescent="0.25">
      <c r="S2677" s="78">
        <v>30064</v>
      </c>
      <c r="T2677" s="29">
        <v>13.13</v>
      </c>
    </row>
    <row r="2678" spans="19:20" x14ac:dyDescent="0.25">
      <c r="S2678" s="78">
        <v>30065</v>
      </c>
      <c r="T2678" s="29">
        <v>13.13</v>
      </c>
    </row>
    <row r="2679" spans="19:20" x14ac:dyDescent="0.25">
      <c r="S2679" s="78">
        <v>30066</v>
      </c>
      <c r="T2679" s="29">
        <v>13.13</v>
      </c>
    </row>
    <row r="2680" spans="19:20" x14ac:dyDescent="0.25">
      <c r="S2680" s="78">
        <v>30067</v>
      </c>
      <c r="T2680" s="29">
        <v>13.13</v>
      </c>
    </row>
    <row r="2681" spans="19:20" x14ac:dyDescent="0.25">
      <c r="S2681" s="78">
        <v>30068</v>
      </c>
      <c r="T2681" s="29">
        <v>13.13</v>
      </c>
    </row>
    <row r="2682" spans="19:20" x14ac:dyDescent="0.25">
      <c r="S2682" s="78">
        <v>30069</v>
      </c>
      <c r="T2682" s="29">
        <v>13.13</v>
      </c>
    </row>
    <row r="2683" spans="19:20" x14ac:dyDescent="0.25">
      <c r="S2683" s="78">
        <v>30070</v>
      </c>
      <c r="T2683" s="29">
        <v>13.13</v>
      </c>
    </row>
    <row r="2684" spans="19:20" x14ac:dyDescent="0.25">
      <c r="S2684" s="78">
        <v>30071</v>
      </c>
      <c r="T2684" s="29">
        <v>13.13</v>
      </c>
    </row>
    <row r="2685" spans="19:20" x14ac:dyDescent="0.25">
      <c r="S2685" s="78">
        <v>30072</v>
      </c>
      <c r="T2685" s="29">
        <v>13.13</v>
      </c>
    </row>
    <row r="2686" spans="19:20" x14ac:dyDescent="0.25">
      <c r="S2686" s="78">
        <v>30073</v>
      </c>
      <c r="T2686" s="29">
        <v>13.13</v>
      </c>
    </row>
    <row r="2687" spans="19:20" x14ac:dyDescent="0.25">
      <c r="S2687" s="78">
        <v>30074</v>
      </c>
      <c r="T2687" s="29">
        <v>13.13</v>
      </c>
    </row>
    <row r="2688" spans="19:20" x14ac:dyDescent="0.25">
      <c r="S2688" s="78">
        <v>30075</v>
      </c>
      <c r="T2688" s="29">
        <v>13.13</v>
      </c>
    </row>
    <row r="2689" spans="19:20" x14ac:dyDescent="0.25">
      <c r="S2689" s="78">
        <v>30076</v>
      </c>
      <c r="T2689" s="29">
        <v>13.13</v>
      </c>
    </row>
    <row r="2690" spans="19:20" x14ac:dyDescent="0.25">
      <c r="S2690" s="78">
        <v>30077</v>
      </c>
      <c r="T2690" s="29">
        <v>13.13</v>
      </c>
    </row>
    <row r="2691" spans="19:20" x14ac:dyDescent="0.25">
      <c r="S2691" s="78">
        <v>30078</v>
      </c>
      <c r="T2691" s="29">
        <v>13.13</v>
      </c>
    </row>
    <row r="2692" spans="19:20" x14ac:dyDescent="0.25">
      <c r="S2692" s="78">
        <v>30079</v>
      </c>
      <c r="T2692" s="29">
        <v>13.13</v>
      </c>
    </row>
    <row r="2693" spans="19:20" x14ac:dyDescent="0.25">
      <c r="S2693" s="78">
        <v>30080</v>
      </c>
      <c r="T2693" s="29">
        <v>13.13</v>
      </c>
    </row>
    <row r="2694" spans="19:20" x14ac:dyDescent="0.25">
      <c r="S2694" s="78">
        <v>30081</v>
      </c>
      <c r="T2694" s="29">
        <v>13.13</v>
      </c>
    </row>
    <row r="2695" spans="19:20" x14ac:dyDescent="0.25">
      <c r="S2695" s="78">
        <v>30082</v>
      </c>
      <c r="T2695" s="29">
        <v>13.13</v>
      </c>
    </row>
    <row r="2696" spans="19:20" x14ac:dyDescent="0.25">
      <c r="S2696" s="78">
        <v>30083</v>
      </c>
      <c r="T2696" s="29">
        <v>13.13</v>
      </c>
    </row>
    <row r="2697" spans="19:20" x14ac:dyDescent="0.25">
      <c r="S2697" s="78">
        <v>30084</v>
      </c>
      <c r="T2697" s="29">
        <v>13.13</v>
      </c>
    </row>
    <row r="2698" spans="19:20" x14ac:dyDescent="0.25">
      <c r="S2698" s="78">
        <v>30085</v>
      </c>
      <c r="T2698" s="29">
        <v>13.13</v>
      </c>
    </row>
    <row r="2699" spans="19:20" x14ac:dyDescent="0.25">
      <c r="S2699" s="78">
        <v>30086</v>
      </c>
      <c r="T2699" s="29">
        <v>13.13</v>
      </c>
    </row>
    <row r="2700" spans="19:20" x14ac:dyDescent="0.25">
      <c r="S2700" s="78">
        <v>30087</v>
      </c>
      <c r="T2700" s="29">
        <v>13.13</v>
      </c>
    </row>
    <row r="2701" spans="19:20" x14ac:dyDescent="0.25">
      <c r="S2701" s="78">
        <v>30088</v>
      </c>
      <c r="T2701" s="29">
        <v>13.13</v>
      </c>
    </row>
    <row r="2702" spans="19:20" x14ac:dyDescent="0.25">
      <c r="S2702" s="78">
        <v>30089</v>
      </c>
      <c r="T2702" s="29">
        <v>13.13</v>
      </c>
    </row>
    <row r="2703" spans="19:20" x14ac:dyDescent="0.25">
      <c r="S2703" s="78">
        <v>30090</v>
      </c>
      <c r="T2703" s="29">
        <v>13.13</v>
      </c>
    </row>
    <row r="2704" spans="19:20" x14ac:dyDescent="0.25">
      <c r="S2704" s="78">
        <v>30091</v>
      </c>
      <c r="T2704" s="29">
        <v>13.13</v>
      </c>
    </row>
    <row r="2705" spans="19:20" x14ac:dyDescent="0.25">
      <c r="S2705" s="78">
        <v>30092</v>
      </c>
      <c r="T2705" s="29">
        <v>13.13</v>
      </c>
    </row>
    <row r="2706" spans="19:20" x14ac:dyDescent="0.25">
      <c r="S2706" s="78">
        <v>30093</v>
      </c>
      <c r="T2706" s="29">
        <v>13.13</v>
      </c>
    </row>
    <row r="2707" spans="19:20" x14ac:dyDescent="0.25">
      <c r="S2707" s="78">
        <v>30094</v>
      </c>
      <c r="T2707" s="29">
        <v>13.13</v>
      </c>
    </row>
    <row r="2708" spans="19:20" x14ac:dyDescent="0.25">
      <c r="S2708" s="78">
        <v>30095</v>
      </c>
      <c r="T2708" s="29">
        <v>13.13</v>
      </c>
    </row>
    <row r="2709" spans="19:20" x14ac:dyDescent="0.25">
      <c r="S2709" s="78">
        <v>30096</v>
      </c>
      <c r="T2709" s="29">
        <v>13.13</v>
      </c>
    </row>
    <row r="2710" spans="19:20" x14ac:dyDescent="0.25">
      <c r="S2710" s="78">
        <v>30097</v>
      </c>
      <c r="T2710" s="29">
        <v>13.13</v>
      </c>
    </row>
    <row r="2711" spans="19:20" x14ac:dyDescent="0.25">
      <c r="S2711" s="78">
        <v>30098</v>
      </c>
      <c r="T2711" s="29">
        <v>13.13</v>
      </c>
    </row>
    <row r="2712" spans="19:20" x14ac:dyDescent="0.25">
      <c r="S2712" s="78">
        <v>30099</v>
      </c>
      <c r="T2712" s="29">
        <v>13.13</v>
      </c>
    </row>
    <row r="2713" spans="19:20" x14ac:dyDescent="0.25">
      <c r="S2713" s="78">
        <v>30100</v>
      </c>
      <c r="T2713" s="29">
        <v>13.13</v>
      </c>
    </row>
    <row r="2714" spans="19:20" x14ac:dyDescent="0.25">
      <c r="S2714" s="78">
        <v>30101</v>
      </c>
      <c r="T2714" s="29">
        <v>13.13</v>
      </c>
    </row>
    <row r="2715" spans="19:20" x14ac:dyDescent="0.25">
      <c r="S2715" s="78">
        <v>30102</v>
      </c>
      <c r="T2715" s="29">
        <v>13.13</v>
      </c>
    </row>
    <row r="2716" spans="19:20" x14ac:dyDescent="0.25">
      <c r="S2716" s="78">
        <v>30103</v>
      </c>
      <c r="T2716" s="29">
        <v>13.13</v>
      </c>
    </row>
    <row r="2717" spans="19:20" x14ac:dyDescent="0.25">
      <c r="S2717" s="78">
        <v>30104</v>
      </c>
      <c r="T2717" s="29">
        <v>13.13</v>
      </c>
    </row>
    <row r="2718" spans="19:20" x14ac:dyDescent="0.25">
      <c r="S2718" s="78">
        <v>30105</v>
      </c>
      <c r="T2718" s="29">
        <v>13.13</v>
      </c>
    </row>
    <row r="2719" spans="19:20" x14ac:dyDescent="0.25">
      <c r="S2719" s="78">
        <v>30106</v>
      </c>
      <c r="T2719" s="29">
        <v>13.13</v>
      </c>
    </row>
    <row r="2720" spans="19:20" x14ac:dyDescent="0.25">
      <c r="S2720" s="78">
        <v>30107</v>
      </c>
      <c r="T2720" s="29">
        <v>13.13</v>
      </c>
    </row>
    <row r="2721" spans="19:20" x14ac:dyDescent="0.25">
      <c r="S2721" s="78">
        <v>30108</v>
      </c>
      <c r="T2721" s="29">
        <v>13.13</v>
      </c>
    </row>
    <row r="2722" spans="19:20" x14ac:dyDescent="0.25">
      <c r="S2722" s="78">
        <v>30109</v>
      </c>
      <c r="T2722" s="29">
        <v>13.13</v>
      </c>
    </row>
    <row r="2723" spans="19:20" x14ac:dyDescent="0.25">
      <c r="S2723" s="78">
        <v>30110</v>
      </c>
      <c r="T2723" s="29">
        <v>12.63</v>
      </c>
    </row>
    <row r="2724" spans="19:20" x14ac:dyDescent="0.25">
      <c r="S2724" s="78">
        <v>30111</v>
      </c>
      <c r="T2724" s="29">
        <v>12.63</v>
      </c>
    </row>
    <row r="2725" spans="19:20" x14ac:dyDescent="0.25">
      <c r="S2725" s="78">
        <v>30112</v>
      </c>
      <c r="T2725" s="29">
        <v>12.63</v>
      </c>
    </row>
    <row r="2726" spans="19:20" x14ac:dyDescent="0.25">
      <c r="S2726" s="78">
        <v>30113</v>
      </c>
      <c r="T2726" s="29">
        <v>12.63</v>
      </c>
    </row>
    <row r="2727" spans="19:20" x14ac:dyDescent="0.25">
      <c r="S2727" s="78">
        <v>30114</v>
      </c>
      <c r="T2727" s="29">
        <v>12.63</v>
      </c>
    </row>
    <row r="2728" spans="19:20" x14ac:dyDescent="0.25">
      <c r="S2728" s="78">
        <v>30115</v>
      </c>
      <c r="T2728" s="29">
        <v>12.63</v>
      </c>
    </row>
    <row r="2729" spans="19:20" x14ac:dyDescent="0.25">
      <c r="S2729" s="78">
        <v>30116</v>
      </c>
      <c r="T2729" s="29">
        <v>12.63</v>
      </c>
    </row>
    <row r="2730" spans="19:20" x14ac:dyDescent="0.25">
      <c r="S2730" s="78">
        <v>30117</v>
      </c>
      <c r="T2730" s="29">
        <v>12.63</v>
      </c>
    </row>
    <row r="2731" spans="19:20" x14ac:dyDescent="0.25">
      <c r="S2731" s="78">
        <v>30118</v>
      </c>
      <c r="T2731" s="29">
        <v>12.63</v>
      </c>
    </row>
    <row r="2732" spans="19:20" x14ac:dyDescent="0.25">
      <c r="S2732" s="78">
        <v>30119</v>
      </c>
      <c r="T2732" s="29">
        <v>12.63</v>
      </c>
    </row>
    <row r="2733" spans="19:20" x14ac:dyDescent="0.25">
      <c r="S2733" s="78">
        <v>30120</v>
      </c>
      <c r="T2733" s="29">
        <v>12.63</v>
      </c>
    </row>
    <row r="2734" spans="19:20" x14ac:dyDescent="0.25">
      <c r="S2734" s="78">
        <v>30121</v>
      </c>
      <c r="T2734" s="29">
        <v>12.63</v>
      </c>
    </row>
    <row r="2735" spans="19:20" x14ac:dyDescent="0.25">
      <c r="S2735" s="78">
        <v>30122</v>
      </c>
      <c r="T2735" s="29">
        <v>12.63</v>
      </c>
    </row>
    <row r="2736" spans="19:20" x14ac:dyDescent="0.25">
      <c r="S2736" s="78">
        <v>30123</v>
      </c>
      <c r="T2736" s="29">
        <v>12.63</v>
      </c>
    </row>
    <row r="2737" spans="19:21" x14ac:dyDescent="0.25">
      <c r="S2737" s="78">
        <v>30124</v>
      </c>
      <c r="T2737" s="29">
        <v>12.63</v>
      </c>
    </row>
    <row r="2738" spans="19:21" x14ac:dyDescent="0.25">
      <c r="S2738" s="78">
        <v>30125</v>
      </c>
      <c r="T2738" s="29">
        <v>12.63</v>
      </c>
    </row>
    <row r="2739" spans="19:21" x14ac:dyDescent="0.25">
      <c r="S2739" s="78">
        <v>30126</v>
      </c>
      <c r="T2739" s="29">
        <v>12.63</v>
      </c>
    </row>
    <row r="2740" spans="19:21" x14ac:dyDescent="0.25">
      <c r="S2740" s="78">
        <v>30127</v>
      </c>
      <c r="T2740" s="29">
        <v>12.63</v>
      </c>
    </row>
    <row r="2741" spans="19:21" x14ac:dyDescent="0.25">
      <c r="S2741" s="78">
        <v>30128</v>
      </c>
      <c r="T2741" s="29">
        <v>12.63</v>
      </c>
    </row>
    <row r="2742" spans="19:21" x14ac:dyDescent="0.25">
      <c r="S2742" s="78">
        <v>30129</v>
      </c>
      <c r="T2742" s="29">
        <v>12.63</v>
      </c>
    </row>
    <row r="2743" spans="19:21" x14ac:dyDescent="0.25">
      <c r="S2743" s="78">
        <v>30130</v>
      </c>
      <c r="T2743" s="29">
        <v>12.63</v>
      </c>
    </row>
    <row r="2744" spans="19:21" x14ac:dyDescent="0.25">
      <c r="S2744" s="78">
        <v>30131</v>
      </c>
      <c r="T2744" s="29">
        <v>12.63</v>
      </c>
    </row>
    <row r="2745" spans="19:21" x14ac:dyDescent="0.25">
      <c r="S2745" s="78">
        <v>30132</v>
      </c>
      <c r="T2745" s="29">
        <v>12.63</v>
      </c>
      <c r="U2745" s="40">
        <f>AVERAGE(T2655:T2745)</f>
        <v>13.021978021978034</v>
      </c>
    </row>
    <row r="2746" spans="19:21" x14ac:dyDescent="0.25">
      <c r="S2746" s="78">
        <v>30133</v>
      </c>
      <c r="T2746" s="29">
        <v>12.63</v>
      </c>
    </row>
    <row r="2747" spans="19:21" x14ac:dyDescent="0.25">
      <c r="S2747" s="78">
        <v>30134</v>
      </c>
      <c r="T2747" s="29">
        <v>12.63</v>
      </c>
    </row>
    <row r="2748" spans="19:21" x14ac:dyDescent="0.25">
      <c r="S2748" s="78">
        <v>30135</v>
      </c>
      <c r="T2748" s="29">
        <v>12.63</v>
      </c>
    </row>
    <row r="2749" spans="19:21" x14ac:dyDescent="0.25">
      <c r="S2749" s="78">
        <v>30136</v>
      </c>
      <c r="T2749" s="29">
        <v>12.63</v>
      </c>
    </row>
    <row r="2750" spans="19:21" x14ac:dyDescent="0.25">
      <c r="S2750" s="78">
        <v>30137</v>
      </c>
      <c r="T2750" s="29">
        <v>12.63</v>
      </c>
    </row>
    <row r="2751" spans="19:21" x14ac:dyDescent="0.25">
      <c r="S2751" s="78">
        <v>30138</v>
      </c>
      <c r="T2751" s="29">
        <v>12.63</v>
      </c>
    </row>
    <row r="2752" spans="19:21" x14ac:dyDescent="0.25">
      <c r="S2752" s="78">
        <v>30139</v>
      </c>
      <c r="T2752" s="29">
        <v>12.63</v>
      </c>
    </row>
    <row r="2753" spans="19:20" x14ac:dyDescent="0.25">
      <c r="S2753" s="78">
        <v>30140</v>
      </c>
      <c r="T2753" s="29">
        <v>12.63</v>
      </c>
    </row>
    <row r="2754" spans="19:20" x14ac:dyDescent="0.25">
      <c r="S2754" s="78">
        <v>30141</v>
      </c>
      <c r="T2754" s="29">
        <v>12.5</v>
      </c>
    </row>
    <row r="2755" spans="19:20" x14ac:dyDescent="0.25">
      <c r="S2755" s="78">
        <v>30142</v>
      </c>
      <c r="T2755" s="29">
        <v>12.5</v>
      </c>
    </row>
    <row r="2756" spans="19:20" x14ac:dyDescent="0.25">
      <c r="S2756" s="78">
        <v>30143</v>
      </c>
      <c r="T2756" s="29">
        <v>12.5</v>
      </c>
    </row>
    <row r="2757" spans="19:20" x14ac:dyDescent="0.25">
      <c r="S2757" s="78">
        <v>30144</v>
      </c>
      <c r="T2757" s="29">
        <v>12.25</v>
      </c>
    </row>
    <row r="2758" spans="19:20" x14ac:dyDescent="0.25">
      <c r="S2758" s="78">
        <v>30145</v>
      </c>
      <c r="T2758" s="29">
        <v>12.13</v>
      </c>
    </row>
    <row r="2759" spans="19:20" x14ac:dyDescent="0.25">
      <c r="S2759" s="78">
        <v>30146</v>
      </c>
      <c r="T2759" s="29">
        <v>12.13</v>
      </c>
    </row>
    <row r="2760" spans="19:20" x14ac:dyDescent="0.25">
      <c r="S2760" s="78">
        <v>30147</v>
      </c>
      <c r="T2760" s="29">
        <v>12.13</v>
      </c>
    </row>
    <row r="2761" spans="19:20" x14ac:dyDescent="0.25">
      <c r="S2761" s="78">
        <v>30148</v>
      </c>
      <c r="T2761" s="29">
        <v>12.13</v>
      </c>
    </row>
    <row r="2762" spans="19:20" x14ac:dyDescent="0.25">
      <c r="S2762" s="78">
        <v>30149</v>
      </c>
      <c r="T2762" s="29">
        <v>12.13</v>
      </c>
    </row>
    <row r="2763" spans="19:20" x14ac:dyDescent="0.25">
      <c r="S2763" s="78">
        <v>30150</v>
      </c>
      <c r="T2763" s="29">
        <v>12.13</v>
      </c>
    </row>
    <row r="2764" spans="19:20" x14ac:dyDescent="0.25">
      <c r="S2764" s="78">
        <v>30151</v>
      </c>
      <c r="T2764" s="29">
        <v>12.13</v>
      </c>
    </row>
    <row r="2765" spans="19:20" x14ac:dyDescent="0.25">
      <c r="S2765" s="78">
        <v>30152</v>
      </c>
      <c r="T2765" s="29">
        <v>12.13</v>
      </c>
    </row>
    <row r="2766" spans="19:20" x14ac:dyDescent="0.25">
      <c r="S2766" s="78">
        <v>30153</v>
      </c>
      <c r="T2766" s="29">
        <v>12.06</v>
      </c>
    </row>
    <row r="2767" spans="19:20" x14ac:dyDescent="0.25">
      <c r="S2767" s="78">
        <v>30154</v>
      </c>
      <c r="T2767" s="29">
        <v>12.06</v>
      </c>
    </row>
    <row r="2768" spans="19:20" x14ac:dyDescent="0.25">
      <c r="S2768" s="78">
        <v>30155</v>
      </c>
      <c r="T2768" s="29">
        <v>12.06</v>
      </c>
    </row>
    <row r="2769" spans="19:20" x14ac:dyDescent="0.25">
      <c r="S2769" s="78">
        <v>30156</v>
      </c>
      <c r="T2769" s="29">
        <v>12.06</v>
      </c>
    </row>
    <row r="2770" spans="19:20" x14ac:dyDescent="0.25">
      <c r="S2770" s="78">
        <v>30157</v>
      </c>
      <c r="T2770" s="29">
        <v>12.06</v>
      </c>
    </row>
    <row r="2771" spans="19:20" x14ac:dyDescent="0.25">
      <c r="S2771" s="78">
        <v>30158</v>
      </c>
      <c r="T2771" s="29">
        <v>11.94</v>
      </c>
    </row>
    <row r="2772" spans="19:20" x14ac:dyDescent="0.25">
      <c r="S2772" s="78">
        <v>30159</v>
      </c>
      <c r="T2772" s="29">
        <v>11.94</v>
      </c>
    </row>
    <row r="2773" spans="19:20" x14ac:dyDescent="0.25">
      <c r="S2773" s="78">
        <v>30160</v>
      </c>
      <c r="T2773" s="29">
        <v>11.81</v>
      </c>
    </row>
    <row r="2774" spans="19:20" x14ac:dyDescent="0.25">
      <c r="S2774" s="78">
        <v>30161</v>
      </c>
      <c r="T2774" s="29">
        <v>11.75</v>
      </c>
    </row>
    <row r="2775" spans="19:20" x14ac:dyDescent="0.25">
      <c r="S2775" s="78">
        <v>30162</v>
      </c>
      <c r="T2775" s="29">
        <v>11.63</v>
      </c>
    </row>
    <row r="2776" spans="19:20" x14ac:dyDescent="0.25">
      <c r="S2776" s="78">
        <v>30163</v>
      </c>
      <c r="T2776" s="29">
        <v>11.63</v>
      </c>
    </row>
    <row r="2777" spans="19:20" x14ac:dyDescent="0.25">
      <c r="S2777" s="78">
        <v>30164</v>
      </c>
      <c r="T2777" s="29">
        <v>11.63</v>
      </c>
    </row>
    <row r="2778" spans="19:20" x14ac:dyDescent="0.25">
      <c r="S2778" s="78">
        <v>30165</v>
      </c>
      <c r="T2778" s="29">
        <v>11.56</v>
      </c>
    </row>
    <row r="2779" spans="19:20" x14ac:dyDescent="0.25">
      <c r="S2779" s="78">
        <v>30166</v>
      </c>
      <c r="T2779" s="29">
        <v>11.56</v>
      </c>
    </row>
    <row r="2780" spans="19:20" x14ac:dyDescent="0.25">
      <c r="S2780" s="78">
        <v>30167</v>
      </c>
      <c r="T2780" s="29">
        <v>11.5</v>
      </c>
    </row>
    <row r="2781" spans="19:20" x14ac:dyDescent="0.25">
      <c r="S2781" s="78">
        <v>30168</v>
      </c>
      <c r="T2781" s="29">
        <v>11.5</v>
      </c>
    </row>
    <row r="2782" spans="19:20" x14ac:dyDescent="0.25">
      <c r="S2782" s="78">
        <v>30169</v>
      </c>
      <c r="T2782" s="29">
        <v>11.5</v>
      </c>
    </row>
    <row r="2783" spans="19:20" x14ac:dyDescent="0.25">
      <c r="S2783" s="78">
        <v>30170</v>
      </c>
      <c r="T2783" s="29">
        <v>11.5</v>
      </c>
    </row>
    <row r="2784" spans="19:20" x14ac:dyDescent="0.25">
      <c r="S2784" s="78">
        <v>30171</v>
      </c>
      <c r="T2784" s="29">
        <v>11.5</v>
      </c>
    </row>
    <row r="2785" spans="19:20" x14ac:dyDescent="0.25">
      <c r="S2785" s="78">
        <v>30172</v>
      </c>
      <c r="T2785" s="29">
        <v>11.5</v>
      </c>
    </row>
    <row r="2786" spans="19:20" x14ac:dyDescent="0.25">
      <c r="S2786" s="78">
        <v>30173</v>
      </c>
      <c r="T2786" s="29">
        <v>11.5</v>
      </c>
    </row>
    <row r="2787" spans="19:20" x14ac:dyDescent="0.25">
      <c r="S2787" s="78">
        <v>30174</v>
      </c>
      <c r="T2787" s="29">
        <v>11.5</v>
      </c>
    </row>
    <row r="2788" spans="19:20" x14ac:dyDescent="0.25">
      <c r="S2788" s="78">
        <v>30175</v>
      </c>
      <c r="T2788" s="29">
        <v>11.5</v>
      </c>
    </row>
    <row r="2789" spans="19:20" x14ac:dyDescent="0.25">
      <c r="S2789" s="78">
        <v>30176</v>
      </c>
      <c r="T2789" s="29">
        <v>11.5</v>
      </c>
    </row>
    <row r="2790" spans="19:20" x14ac:dyDescent="0.25">
      <c r="S2790" s="78">
        <v>30177</v>
      </c>
      <c r="T2790" s="29">
        <v>11.5</v>
      </c>
    </row>
    <row r="2791" spans="19:20" x14ac:dyDescent="0.25">
      <c r="S2791" s="78">
        <v>30178</v>
      </c>
      <c r="T2791" s="29">
        <v>11.5</v>
      </c>
    </row>
    <row r="2792" spans="19:20" x14ac:dyDescent="0.25">
      <c r="S2792" s="78">
        <v>30179</v>
      </c>
      <c r="T2792" s="29">
        <v>11.38</v>
      </c>
    </row>
    <row r="2793" spans="19:20" x14ac:dyDescent="0.25">
      <c r="S2793" s="78">
        <v>30180</v>
      </c>
      <c r="T2793" s="29">
        <v>11.25</v>
      </c>
    </row>
    <row r="2794" spans="19:20" x14ac:dyDescent="0.25">
      <c r="S2794" s="78">
        <v>30181</v>
      </c>
      <c r="T2794" s="29">
        <v>11.25</v>
      </c>
    </row>
    <row r="2795" spans="19:20" x14ac:dyDescent="0.25">
      <c r="S2795" s="78">
        <v>30182</v>
      </c>
      <c r="T2795" s="29">
        <v>11.25</v>
      </c>
    </row>
    <row r="2796" spans="19:20" x14ac:dyDescent="0.25">
      <c r="S2796" s="78">
        <v>30183</v>
      </c>
      <c r="T2796" s="29">
        <v>11.25</v>
      </c>
    </row>
    <row r="2797" spans="19:20" x14ac:dyDescent="0.25">
      <c r="S2797" s="78">
        <v>30184</v>
      </c>
      <c r="T2797" s="29">
        <v>11.25</v>
      </c>
    </row>
    <row r="2798" spans="19:20" x14ac:dyDescent="0.25">
      <c r="S2798" s="78">
        <v>30185</v>
      </c>
      <c r="T2798" s="29">
        <v>11.25</v>
      </c>
    </row>
    <row r="2799" spans="19:20" x14ac:dyDescent="0.25">
      <c r="S2799" s="78">
        <v>30186</v>
      </c>
      <c r="T2799" s="29">
        <v>11.25</v>
      </c>
    </row>
    <row r="2800" spans="19:20" x14ac:dyDescent="0.25">
      <c r="S2800" s="78">
        <v>30187</v>
      </c>
      <c r="T2800" s="29">
        <v>11.13</v>
      </c>
    </row>
    <row r="2801" spans="19:20" x14ac:dyDescent="0.25">
      <c r="S2801" s="78">
        <v>30188</v>
      </c>
      <c r="T2801" s="29">
        <v>11</v>
      </c>
    </row>
    <row r="2802" spans="19:20" x14ac:dyDescent="0.25">
      <c r="S2802" s="78">
        <v>30189</v>
      </c>
      <c r="T2802" s="29">
        <v>10.88</v>
      </c>
    </row>
    <row r="2803" spans="19:20" x14ac:dyDescent="0.25">
      <c r="S2803" s="78">
        <v>30190</v>
      </c>
      <c r="T2803" s="29">
        <v>10.63</v>
      </c>
    </row>
    <row r="2804" spans="19:20" x14ac:dyDescent="0.25">
      <c r="S2804" s="78">
        <v>30191</v>
      </c>
      <c r="T2804" s="29">
        <v>10.63</v>
      </c>
    </row>
    <row r="2805" spans="19:20" x14ac:dyDescent="0.25">
      <c r="S2805" s="78">
        <v>30192</v>
      </c>
      <c r="T2805" s="29">
        <v>10.63</v>
      </c>
    </row>
    <row r="2806" spans="19:20" x14ac:dyDescent="0.25">
      <c r="S2806" s="78">
        <v>30193</v>
      </c>
      <c r="T2806" s="29">
        <v>10.63</v>
      </c>
    </row>
    <row r="2807" spans="19:20" x14ac:dyDescent="0.25">
      <c r="S2807" s="78">
        <v>30194</v>
      </c>
      <c r="T2807" s="29">
        <v>10.63</v>
      </c>
    </row>
    <row r="2808" spans="19:20" x14ac:dyDescent="0.25">
      <c r="S2808" s="78">
        <v>30195</v>
      </c>
      <c r="T2808" s="29">
        <v>10.63</v>
      </c>
    </row>
    <row r="2809" spans="19:20" x14ac:dyDescent="0.25">
      <c r="S2809" s="78">
        <v>30196</v>
      </c>
      <c r="T2809" s="29">
        <v>10.63</v>
      </c>
    </row>
    <row r="2810" spans="19:20" x14ac:dyDescent="0.25">
      <c r="S2810" s="78">
        <v>30197</v>
      </c>
      <c r="T2810" s="29">
        <v>10.63</v>
      </c>
    </row>
    <row r="2811" spans="19:20" x14ac:dyDescent="0.25">
      <c r="S2811" s="78">
        <v>30198</v>
      </c>
      <c r="T2811" s="29">
        <v>10.63</v>
      </c>
    </row>
    <row r="2812" spans="19:20" x14ac:dyDescent="0.25">
      <c r="S2812" s="78">
        <v>30199</v>
      </c>
      <c r="T2812" s="29">
        <v>10.63</v>
      </c>
    </row>
    <row r="2813" spans="19:20" x14ac:dyDescent="0.25">
      <c r="S2813" s="78">
        <v>30200</v>
      </c>
      <c r="T2813" s="29">
        <v>10.63</v>
      </c>
    </row>
    <row r="2814" spans="19:20" x14ac:dyDescent="0.25">
      <c r="S2814" s="78">
        <v>30201</v>
      </c>
      <c r="T2814" s="29">
        <v>10.63</v>
      </c>
    </row>
    <row r="2815" spans="19:20" x14ac:dyDescent="0.25">
      <c r="S2815" s="78">
        <v>30202</v>
      </c>
      <c r="T2815" s="29">
        <v>10.63</v>
      </c>
    </row>
    <row r="2816" spans="19:20" x14ac:dyDescent="0.25">
      <c r="S2816" s="78">
        <v>30203</v>
      </c>
      <c r="T2816" s="29">
        <v>10.63</v>
      </c>
    </row>
    <row r="2817" spans="19:20" x14ac:dyDescent="0.25">
      <c r="S2817" s="78">
        <v>30204</v>
      </c>
      <c r="T2817" s="29">
        <v>10.63</v>
      </c>
    </row>
    <row r="2818" spans="19:20" x14ac:dyDescent="0.25">
      <c r="S2818" s="78">
        <v>30205</v>
      </c>
      <c r="T2818" s="29">
        <v>10.63</v>
      </c>
    </row>
    <row r="2819" spans="19:20" x14ac:dyDescent="0.25">
      <c r="S2819" s="78">
        <v>30206</v>
      </c>
      <c r="T2819" s="29">
        <v>10.63</v>
      </c>
    </row>
    <row r="2820" spans="19:20" x14ac:dyDescent="0.25">
      <c r="S2820" s="78">
        <v>30207</v>
      </c>
      <c r="T2820" s="29">
        <v>10.63</v>
      </c>
    </row>
    <row r="2821" spans="19:20" x14ac:dyDescent="0.25">
      <c r="S2821" s="78">
        <v>30208</v>
      </c>
      <c r="T2821" s="29">
        <v>10.63</v>
      </c>
    </row>
    <row r="2822" spans="19:20" x14ac:dyDescent="0.25">
      <c r="S2822" s="78">
        <v>30209</v>
      </c>
      <c r="T2822" s="29">
        <v>10.63</v>
      </c>
    </row>
    <row r="2823" spans="19:20" x14ac:dyDescent="0.25">
      <c r="S2823" s="78">
        <v>30210</v>
      </c>
      <c r="T2823" s="29">
        <v>10.63</v>
      </c>
    </row>
    <row r="2824" spans="19:20" x14ac:dyDescent="0.25">
      <c r="S2824" s="78">
        <v>30211</v>
      </c>
      <c r="T2824" s="29">
        <v>10.63</v>
      </c>
    </row>
    <row r="2825" spans="19:20" x14ac:dyDescent="0.25">
      <c r="S2825" s="78">
        <v>30212</v>
      </c>
      <c r="T2825" s="29">
        <v>10.63</v>
      </c>
    </row>
    <row r="2826" spans="19:20" x14ac:dyDescent="0.25">
      <c r="S2826" s="78">
        <v>30213</v>
      </c>
      <c r="T2826" s="29">
        <v>10.63</v>
      </c>
    </row>
    <row r="2827" spans="19:20" x14ac:dyDescent="0.25">
      <c r="S2827" s="78">
        <v>30214</v>
      </c>
      <c r="T2827" s="29">
        <v>10.63</v>
      </c>
    </row>
    <row r="2828" spans="19:20" x14ac:dyDescent="0.25">
      <c r="S2828" s="78">
        <v>30215</v>
      </c>
      <c r="T2828" s="29">
        <v>10.63</v>
      </c>
    </row>
    <row r="2829" spans="19:20" x14ac:dyDescent="0.25">
      <c r="S2829" s="78">
        <v>30216</v>
      </c>
      <c r="T2829" s="29">
        <v>10.63</v>
      </c>
    </row>
    <row r="2830" spans="19:20" x14ac:dyDescent="0.25">
      <c r="S2830" s="78">
        <v>30217</v>
      </c>
      <c r="T2830" s="29">
        <v>10.63</v>
      </c>
    </row>
    <row r="2831" spans="19:20" x14ac:dyDescent="0.25">
      <c r="S2831" s="78">
        <v>30218</v>
      </c>
      <c r="T2831" s="29">
        <v>10.63</v>
      </c>
    </row>
    <row r="2832" spans="19:20" x14ac:dyDescent="0.25">
      <c r="S2832" s="78">
        <v>30219</v>
      </c>
      <c r="T2832" s="29">
        <v>10.63</v>
      </c>
    </row>
    <row r="2833" spans="19:21" x14ac:dyDescent="0.25">
      <c r="S2833" s="78">
        <v>30220</v>
      </c>
      <c r="T2833" s="29">
        <v>10.63</v>
      </c>
    </row>
    <row r="2834" spans="19:21" x14ac:dyDescent="0.25">
      <c r="S2834" s="78">
        <v>30221</v>
      </c>
      <c r="T2834" s="29">
        <v>10.5</v>
      </c>
    </row>
    <row r="2835" spans="19:21" x14ac:dyDescent="0.25">
      <c r="S2835" s="78">
        <v>30222</v>
      </c>
      <c r="T2835" s="29">
        <v>10.38</v>
      </c>
    </row>
    <row r="2836" spans="19:21" x14ac:dyDescent="0.25">
      <c r="S2836" s="78">
        <v>30223</v>
      </c>
      <c r="T2836" s="29">
        <v>10.25</v>
      </c>
    </row>
    <row r="2837" spans="19:21" x14ac:dyDescent="0.25">
      <c r="S2837" s="78">
        <v>30224</v>
      </c>
      <c r="T2837" s="29">
        <v>10.130000000000001</v>
      </c>
      <c r="U2837" s="40">
        <f>AVERAGE(T2746:T2837)</f>
        <v>11.364239130434783</v>
      </c>
    </row>
    <row r="2838" spans="19:21" x14ac:dyDescent="0.25">
      <c r="S2838" s="78">
        <v>30225</v>
      </c>
      <c r="T2838" s="29">
        <v>10.130000000000001</v>
      </c>
    </row>
    <row r="2839" spans="19:21" x14ac:dyDescent="0.25">
      <c r="S2839" s="78">
        <v>30226</v>
      </c>
      <c r="T2839" s="29">
        <v>10.130000000000001</v>
      </c>
    </row>
    <row r="2840" spans="19:21" x14ac:dyDescent="0.25">
      <c r="S2840" s="78">
        <v>30227</v>
      </c>
      <c r="T2840" s="29">
        <v>10.130000000000001</v>
      </c>
    </row>
    <row r="2841" spans="19:21" x14ac:dyDescent="0.25">
      <c r="S2841" s="78">
        <v>30228</v>
      </c>
      <c r="T2841" s="29">
        <v>10.130000000000001</v>
      </c>
    </row>
    <row r="2842" spans="19:21" x14ac:dyDescent="0.25">
      <c r="S2842" s="78">
        <v>30229</v>
      </c>
      <c r="T2842" s="29">
        <v>10.130000000000001</v>
      </c>
    </row>
    <row r="2843" spans="19:21" x14ac:dyDescent="0.25">
      <c r="S2843" s="78">
        <v>30230</v>
      </c>
      <c r="T2843" s="29">
        <v>10.130000000000001</v>
      </c>
    </row>
    <row r="2844" spans="19:21" x14ac:dyDescent="0.25">
      <c r="S2844" s="78">
        <v>30231</v>
      </c>
      <c r="T2844" s="29">
        <v>10.130000000000001</v>
      </c>
    </row>
    <row r="2845" spans="19:21" x14ac:dyDescent="0.25">
      <c r="S2845" s="78">
        <v>30232</v>
      </c>
      <c r="T2845" s="29">
        <v>10.130000000000001</v>
      </c>
    </row>
    <row r="2846" spans="19:21" x14ac:dyDescent="0.25">
      <c r="S2846" s="78">
        <v>30233</v>
      </c>
      <c r="T2846" s="29">
        <v>10.130000000000001</v>
      </c>
    </row>
    <row r="2847" spans="19:21" x14ac:dyDescent="0.25">
      <c r="S2847" s="78">
        <v>30234</v>
      </c>
      <c r="T2847" s="29">
        <v>10.130000000000001</v>
      </c>
    </row>
    <row r="2848" spans="19:21" x14ac:dyDescent="0.25">
      <c r="S2848" s="78">
        <v>30235</v>
      </c>
      <c r="T2848" s="29">
        <v>10.130000000000001</v>
      </c>
    </row>
    <row r="2849" spans="19:20" x14ac:dyDescent="0.25">
      <c r="S2849" s="78">
        <v>30236</v>
      </c>
      <c r="T2849" s="29">
        <v>9.6300000000000008</v>
      </c>
    </row>
    <row r="2850" spans="19:20" x14ac:dyDescent="0.25">
      <c r="S2850" s="78">
        <v>30237</v>
      </c>
      <c r="T2850" s="29">
        <v>9.6300000000000008</v>
      </c>
    </row>
    <row r="2851" spans="19:20" x14ac:dyDescent="0.25">
      <c r="S2851" s="78">
        <v>30238</v>
      </c>
      <c r="T2851" s="29">
        <v>9.6300000000000008</v>
      </c>
    </row>
    <row r="2852" spans="19:20" x14ac:dyDescent="0.25">
      <c r="S2852" s="78">
        <v>30239</v>
      </c>
      <c r="T2852" s="29">
        <v>9.6300000000000008</v>
      </c>
    </row>
    <row r="2853" spans="19:20" x14ac:dyDescent="0.25">
      <c r="S2853" s="78">
        <v>30240</v>
      </c>
      <c r="T2853" s="29">
        <v>9.6300000000000008</v>
      </c>
    </row>
    <row r="2854" spans="19:20" x14ac:dyDescent="0.25">
      <c r="S2854" s="78">
        <v>30241</v>
      </c>
      <c r="T2854" s="29">
        <v>9.6300000000000008</v>
      </c>
    </row>
    <row r="2855" spans="19:20" x14ac:dyDescent="0.25">
      <c r="S2855" s="78">
        <v>30242</v>
      </c>
      <c r="T2855" s="29">
        <v>9.6300000000000008</v>
      </c>
    </row>
    <row r="2856" spans="19:20" x14ac:dyDescent="0.25">
      <c r="S2856" s="78">
        <v>30243</v>
      </c>
      <c r="T2856" s="29">
        <v>9.6300000000000008</v>
      </c>
    </row>
    <row r="2857" spans="19:20" x14ac:dyDescent="0.25">
      <c r="S2857" s="78">
        <v>30244</v>
      </c>
      <c r="T2857" s="29">
        <v>9.6300000000000008</v>
      </c>
    </row>
    <row r="2858" spans="19:20" x14ac:dyDescent="0.25">
      <c r="S2858" s="78">
        <v>30245</v>
      </c>
      <c r="T2858" s="29">
        <v>9.6300000000000008</v>
      </c>
    </row>
    <row r="2859" spans="19:20" x14ac:dyDescent="0.25">
      <c r="S2859" s="78">
        <v>30246</v>
      </c>
      <c r="T2859" s="29">
        <v>9.6300000000000008</v>
      </c>
    </row>
    <row r="2860" spans="19:20" x14ac:dyDescent="0.25">
      <c r="S2860" s="78">
        <v>30247</v>
      </c>
      <c r="T2860" s="29">
        <v>9.6300000000000008</v>
      </c>
    </row>
    <row r="2861" spans="19:20" x14ac:dyDescent="0.25">
      <c r="S2861" s="78">
        <v>30248</v>
      </c>
      <c r="T2861" s="29">
        <v>9.6300000000000008</v>
      </c>
    </row>
    <row r="2862" spans="19:20" x14ac:dyDescent="0.25">
      <c r="S2862" s="78">
        <v>30249</v>
      </c>
      <c r="T2862" s="29">
        <v>9.6300000000000008</v>
      </c>
    </row>
    <row r="2863" spans="19:20" x14ac:dyDescent="0.25">
      <c r="S2863" s="78">
        <v>30250</v>
      </c>
      <c r="T2863" s="29">
        <v>9.6300000000000008</v>
      </c>
    </row>
    <row r="2864" spans="19:20" x14ac:dyDescent="0.25">
      <c r="S2864" s="78">
        <v>30251</v>
      </c>
      <c r="T2864" s="29">
        <v>9.6300000000000008</v>
      </c>
    </row>
    <row r="2865" spans="19:20" x14ac:dyDescent="0.25">
      <c r="S2865" s="78">
        <v>30252</v>
      </c>
      <c r="T2865" s="29">
        <v>9.6300000000000008</v>
      </c>
    </row>
    <row r="2866" spans="19:20" x14ac:dyDescent="0.25">
      <c r="S2866" s="78">
        <v>30253</v>
      </c>
      <c r="T2866" s="29">
        <v>9.6300000000000008</v>
      </c>
    </row>
    <row r="2867" spans="19:20" x14ac:dyDescent="0.25">
      <c r="S2867" s="78">
        <v>30254</v>
      </c>
      <c r="T2867" s="29">
        <v>9.6300000000000008</v>
      </c>
    </row>
    <row r="2868" spans="19:20" x14ac:dyDescent="0.25">
      <c r="S2868" s="78">
        <v>30255</v>
      </c>
      <c r="T2868" s="29">
        <v>9.6300000000000008</v>
      </c>
    </row>
    <row r="2869" spans="19:20" x14ac:dyDescent="0.25">
      <c r="S2869" s="78">
        <v>30256</v>
      </c>
      <c r="T2869" s="29">
        <v>9.3800000000000008</v>
      </c>
    </row>
    <row r="2870" spans="19:20" x14ac:dyDescent="0.25">
      <c r="S2870" s="78">
        <v>30257</v>
      </c>
      <c r="T2870" s="29">
        <v>9.1300000000000008</v>
      </c>
    </row>
    <row r="2871" spans="19:20" x14ac:dyDescent="0.25">
      <c r="S2871" s="78">
        <v>30258</v>
      </c>
      <c r="T2871" s="29">
        <v>9.1300000000000008</v>
      </c>
    </row>
    <row r="2872" spans="19:20" x14ac:dyDescent="0.25">
      <c r="S2872" s="78">
        <v>30259</v>
      </c>
      <c r="T2872" s="29">
        <v>9.1300000000000008</v>
      </c>
    </row>
    <row r="2873" spans="19:20" x14ac:dyDescent="0.25">
      <c r="S2873" s="78">
        <v>30260</v>
      </c>
      <c r="T2873" s="29">
        <v>9.1300000000000008</v>
      </c>
    </row>
    <row r="2874" spans="19:20" x14ac:dyDescent="0.25">
      <c r="S2874" s="78">
        <v>30261</v>
      </c>
      <c r="T2874" s="29">
        <v>9.1300000000000008</v>
      </c>
    </row>
    <row r="2875" spans="19:20" x14ac:dyDescent="0.25">
      <c r="S2875" s="78">
        <v>30262</v>
      </c>
      <c r="T2875" s="29">
        <v>9.1300000000000008</v>
      </c>
    </row>
    <row r="2876" spans="19:20" x14ac:dyDescent="0.25">
      <c r="S2876" s="78">
        <v>30263</v>
      </c>
      <c r="T2876" s="29">
        <v>9.1300000000000008</v>
      </c>
    </row>
    <row r="2877" spans="19:20" x14ac:dyDescent="0.25">
      <c r="S2877" s="78">
        <v>30264</v>
      </c>
      <c r="T2877" s="29">
        <v>9.1300000000000008</v>
      </c>
    </row>
    <row r="2878" spans="19:20" x14ac:dyDescent="0.25">
      <c r="S2878" s="78">
        <v>30265</v>
      </c>
      <c r="T2878" s="29">
        <v>9.1300000000000008</v>
      </c>
    </row>
    <row r="2879" spans="19:20" x14ac:dyDescent="0.25">
      <c r="S2879" s="78">
        <v>30266</v>
      </c>
      <c r="T2879" s="29">
        <v>9.1300000000000008</v>
      </c>
    </row>
    <row r="2880" spans="19:20" x14ac:dyDescent="0.25">
      <c r="S2880" s="78">
        <v>30267</v>
      </c>
      <c r="T2880" s="29">
        <v>9.1300000000000008</v>
      </c>
    </row>
    <row r="2881" spans="19:20" x14ac:dyDescent="0.25">
      <c r="S2881" s="78">
        <v>30268</v>
      </c>
      <c r="T2881" s="29">
        <v>9.1300000000000008</v>
      </c>
    </row>
    <row r="2882" spans="19:20" x14ac:dyDescent="0.25">
      <c r="S2882" s="78">
        <v>30269</v>
      </c>
      <c r="T2882" s="29">
        <v>9.1300000000000008</v>
      </c>
    </row>
    <row r="2883" spans="19:20" x14ac:dyDescent="0.25">
      <c r="S2883" s="78">
        <v>30270</v>
      </c>
      <c r="T2883" s="29">
        <v>9.1300000000000008</v>
      </c>
    </row>
    <row r="2884" spans="19:20" x14ac:dyDescent="0.25">
      <c r="S2884" s="78">
        <v>30271</v>
      </c>
      <c r="T2884" s="29">
        <v>9.1300000000000008</v>
      </c>
    </row>
    <row r="2885" spans="19:20" x14ac:dyDescent="0.25">
      <c r="S2885" s="78">
        <v>30272</v>
      </c>
      <c r="T2885" s="29">
        <v>9.1300000000000008</v>
      </c>
    </row>
    <row r="2886" spans="19:20" x14ac:dyDescent="0.25">
      <c r="S2886" s="78">
        <v>30273</v>
      </c>
      <c r="T2886" s="29">
        <v>9.1300000000000008</v>
      </c>
    </row>
    <row r="2887" spans="19:20" x14ac:dyDescent="0.25">
      <c r="S2887" s="78">
        <v>30274</v>
      </c>
      <c r="T2887" s="29">
        <v>9.1300000000000008</v>
      </c>
    </row>
    <row r="2888" spans="19:20" x14ac:dyDescent="0.25">
      <c r="S2888" s="78">
        <v>30275</v>
      </c>
      <c r="T2888" s="29">
        <v>9.1300000000000008</v>
      </c>
    </row>
    <row r="2889" spans="19:20" x14ac:dyDescent="0.25">
      <c r="S2889" s="78">
        <v>30276</v>
      </c>
      <c r="T2889" s="29">
        <v>9.1300000000000008</v>
      </c>
    </row>
    <row r="2890" spans="19:20" x14ac:dyDescent="0.25">
      <c r="S2890" s="78">
        <v>30277</v>
      </c>
      <c r="T2890" s="29">
        <v>9.1300000000000008</v>
      </c>
    </row>
    <row r="2891" spans="19:20" x14ac:dyDescent="0.25">
      <c r="S2891" s="78">
        <v>30278</v>
      </c>
      <c r="T2891" s="29">
        <v>9.1300000000000008</v>
      </c>
    </row>
    <row r="2892" spans="19:20" x14ac:dyDescent="0.25">
      <c r="S2892" s="78">
        <v>30279</v>
      </c>
      <c r="T2892" s="29">
        <v>9.1300000000000008</v>
      </c>
    </row>
    <row r="2893" spans="19:20" x14ac:dyDescent="0.25">
      <c r="S2893" s="78">
        <v>30280</v>
      </c>
      <c r="T2893" s="29">
        <v>9.1300000000000008</v>
      </c>
    </row>
    <row r="2894" spans="19:20" x14ac:dyDescent="0.25">
      <c r="S2894" s="78">
        <v>30281</v>
      </c>
      <c r="T2894" s="29">
        <v>10</v>
      </c>
    </row>
    <row r="2895" spans="19:20" x14ac:dyDescent="0.25">
      <c r="S2895" s="78">
        <v>30282</v>
      </c>
      <c r="T2895" s="29">
        <v>10</v>
      </c>
    </row>
    <row r="2896" spans="19:20" x14ac:dyDescent="0.25">
      <c r="S2896" s="78">
        <v>30283</v>
      </c>
      <c r="T2896" s="29">
        <v>10</v>
      </c>
    </row>
    <row r="2897" spans="19:20" x14ac:dyDescent="0.25">
      <c r="S2897" s="78">
        <v>30284</v>
      </c>
      <c r="T2897" s="29">
        <v>10</v>
      </c>
    </row>
    <row r="2898" spans="19:20" x14ac:dyDescent="0.25">
      <c r="S2898" s="78">
        <v>30285</v>
      </c>
      <c r="T2898" s="29">
        <v>10</v>
      </c>
    </row>
    <row r="2899" spans="19:20" x14ac:dyDescent="0.25">
      <c r="S2899" s="78">
        <v>30286</v>
      </c>
      <c r="T2899" s="29">
        <v>10</v>
      </c>
    </row>
    <row r="2900" spans="19:20" x14ac:dyDescent="0.25">
      <c r="S2900" s="78">
        <v>30287</v>
      </c>
      <c r="T2900" s="29">
        <v>10</v>
      </c>
    </row>
    <row r="2901" spans="19:20" x14ac:dyDescent="0.25">
      <c r="S2901" s="78">
        <v>30288</v>
      </c>
      <c r="T2901" s="29">
        <v>10</v>
      </c>
    </row>
    <row r="2902" spans="19:20" x14ac:dyDescent="0.25">
      <c r="S2902" s="78">
        <v>30289</v>
      </c>
      <c r="T2902" s="29">
        <v>10</v>
      </c>
    </row>
    <row r="2903" spans="19:20" x14ac:dyDescent="0.25">
      <c r="S2903" s="78">
        <v>30290</v>
      </c>
      <c r="T2903" s="29">
        <v>10</v>
      </c>
    </row>
    <row r="2904" spans="19:20" x14ac:dyDescent="0.25">
      <c r="S2904" s="78">
        <v>30291</v>
      </c>
      <c r="T2904" s="29">
        <v>10</v>
      </c>
    </row>
    <row r="2905" spans="19:20" x14ac:dyDescent="0.25">
      <c r="S2905" s="78">
        <v>30292</v>
      </c>
      <c r="T2905" s="29">
        <v>10</v>
      </c>
    </row>
    <row r="2906" spans="19:20" x14ac:dyDescent="0.25">
      <c r="S2906" s="78">
        <v>30293</v>
      </c>
      <c r="T2906" s="29">
        <v>10</v>
      </c>
    </row>
    <row r="2907" spans="19:20" x14ac:dyDescent="0.25">
      <c r="S2907" s="78">
        <v>30294</v>
      </c>
      <c r="T2907" s="29">
        <v>10</v>
      </c>
    </row>
    <row r="2908" spans="19:20" x14ac:dyDescent="0.25">
      <c r="S2908" s="78">
        <v>30295</v>
      </c>
      <c r="T2908" s="29">
        <v>10</v>
      </c>
    </row>
    <row r="2909" spans="19:20" x14ac:dyDescent="0.25">
      <c r="S2909" s="78">
        <v>30296</v>
      </c>
      <c r="T2909" s="29">
        <v>10</v>
      </c>
    </row>
    <row r="2910" spans="19:20" x14ac:dyDescent="0.25">
      <c r="S2910" s="78">
        <v>30297</v>
      </c>
      <c r="T2910" s="29">
        <v>10</v>
      </c>
    </row>
    <row r="2911" spans="19:20" x14ac:dyDescent="0.25">
      <c r="S2911" s="78">
        <v>30298</v>
      </c>
      <c r="T2911" s="29">
        <v>10</v>
      </c>
    </row>
    <row r="2912" spans="19:20" x14ac:dyDescent="0.25">
      <c r="S2912" s="78">
        <v>30299</v>
      </c>
      <c r="T2912" s="29">
        <v>10</v>
      </c>
    </row>
    <row r="2913" spans="19:20" x14ac:dyDescent="0.25">
      <c r="S2913" s="78">
        <v>30300</v>
      </c>
      <c r="T2913" s="29">
        <v>10</v>
      </c>
    </row>
    <row r="2914" spans="19:20" x14ac:dyDescent="0.25">
      <c r="S2914" s="78">
        <v>30301</v>
      </c>
      <c r="T2914" s="29">
        <v>10</v>
      </c>
    </row>
    <row r="2915" spans="19:20" x14ac:dyDescent="0.25">
      <c r="S2915" s="78">
        <v>30302</v>
      </c>
      <c r="T2915" s="29">
        <v>10</v>
      </c>
    </row>
    <row r="2916" spans="19:20" x14ac:dyDescent="0.25">
      <c r="S2916" s="78">
        <v>30303</v>
      </c>
      <c r="T2916" s="29">
        <v>10</v>
      </c>
    </row>
    <row r="2917" spans="19:20" x14ac:dyDescent="0.25">
      <c r="S2917" s="78">
        <v>30304</v>
      </c>
      <c r="T2917" s="29">
        <v>10</v>
      </c>
    </row>
    <row r="2918" spans="19:20" x14ac:dyDescent="0.25">
      <c r="S2918" s="78">
        <v>30305</v>
      </c>
      <c r="T2918" s="29">
        <v>10</v>
      </c>
    </row>
    <row r="2919" spans="19:20" x14ac:dyDescent="0.25">
      <c r="S2919" s="78">
        <v>30306</v>
      </c>
      <c r="T2919" s="29">
        <v>10</v>
      </c>
    </row>
    <row r="2920" spans="19:20" x14ac:dyDescent="0.25">
      <c r="S2920" s="78">
        <v>30307</v>
      </c>
      <c r="T2920" s="29">
        <v>10</v>
      </c>
    </row>
    <row r="2921" spans="19:20" x14ac:dyDescent="0.25">
      <c r="S2921" s="78">
        <v>30308</v>
      </c>
      <c r="T2921" s="29">
        <v>10</v>
      </c>
    </row>
    <row r="2922" spans="19:20" x14ac:dyDescent="0.25">
      <c r="S2922" s="78">
        <v>30309</v>
      </c>
      <c r="T2922" s="29">
        <v>10</v>
      </c>
    </row>
    <row r="2923" spans="19:20" x14ac:dyDescent="0.25">
      <c r="S2923" s="78">
        <v>30310</v>
      </c>
      <c r="T2923" s="29">
        <v>10</v>
      </c>
    </row>
    <row r="2924" spans="19:20" x14ac:dyDescent="0.25">
      <c r="S2924" s="78">
        <v>30311</v>
      </c>
      <c r="T2924" s="29">
        <v>10</v>
      </c>
    </row>
    <row r="2925" spans="19:20" x14ac:dyDescent="0.25">
      <c r="S2925" s="78">
        <v>30312</v>
      </c>
      <c r="T2925" s="29">
        <v>10</v>
      </c>
    </row>
    <row r="2926" spans="19:20" x14ac:dyDescent="0.25">
      <c r="S2926" s="78">
        <v>30313</v>
      </c>
      <c r="T2926" s="29">
        <v>10</v>
      </c>
    </row>
    <row r="2927" spans="19:20" x14ac:dyDescent="0.25">
      <c r="S2927" s="78">
        <v>30314</v>
      </c>
      <c r="T2927" s="29">
        <v>10</v>
      </c>
    </row>
    <row r="2928" spans="19:20" x14ac:dyDescent="0.25">
      <c r="S2928" s="78">
        <v>30315</v>
      </c>
      <c r="T2928" s="29">
        <v>10</v>
      </c>
    </row>
    <row r="2929" spans="19:21" x14ac:dyDescent="0.25">
      <c r="S2929" s="78">
        <v>30316</v>
      </c>
      <c r="T2929" s="29">
        <v>10</v>
      </c>
      <c r="U2929" s="40">
        <f>AVERAGE(T2838:T2929)</f>
        <v>9.7014130434782597</v>
      </c>
    </row>
    <row r="2930" spans="19:21" x14ac:dyDescent="0.25">
      <c r="S2930" s="78">
        <v>30317</v>
      </c>
      <c r="T2930" s="29">
        <v>10</v>
      </c>
    </row>
    <row r="2931" spans="19:21" x14ac:dyDescent="0.25">
      <c r="S2931" s="78">
        <v>30318</v>
      </c>
      <c r="T2931" s="29">
        <v>10</v>
      </c>
    </row>
    <row r="2932" spans="19:21" x14ac:dyDescent="0.25">
      <c r="S2932" s="78">
        <v>30319</v>
      </c>
      <c r="T2932" s="29">
        <v>10</v>
      </c>
    </row>
    <row r="2933" spans="19:21" x14ac:dyDescent="0.25">
      <c r="S2933" s="78">
        <v>30320</v>
      </c>
      <c r="T2933" s="29">
        <v>10</v>
      </c>
    </row>
    <row r="2934" spans="19:21" x14ac:dyDescent="0.25">
      <c r="S2934" s="78">
        <v>30321</v>
      </c>
      <c r="T2934" s="29">
        <v>10</v>
      </c>
    </row>
    <row r="2935" spans="19:21" x14ac:dyDescent="0.25">
      <c r="S2935" s="78">
        <v>30322</v>
      </c>
      <c r="T2935" s="29">
        <v>10</v>
      </c>
    </row>
    <row r="2936" spans="19:21" x14ac:dyDescent="0.25">
      <c r="S2936" s="78">
        <v>30323</v>
      </c>
      <c r="T2936" s="29">
        <v>10</v>
      </c>
    </row>
    <row r="2937" spans="19:21" x14ac:dyDescent="0.25">
      <c r="S2937" s="78">
        <v>30324</v>
      </c>
      <c r="T2937" s="29">
        <v>10</v>
      </c>
    </row>
    <row r="2938" spans="19:21" x14ac:dyDescent="0.25">
      <c r="S2938" s="78">
        <v>30325</v>
      </c>
      <c r="T2938" s="29">
        <v>10</v>
      </c>
    </row>
    <row r="2939" spans="19:21" x14ac:dyDescent="0.25">
      <c r="S2939" s="78">
        <v>30326</v>
      </c>
      <c r="T2939" s="29">
        <v>10</v>
      </c>
    </row>
    <row r="2940" spans="19:21" x14ac:dyDescent="0.25">
      <c r="S2940" s="78">
        <v>30327</v>
      </c>
      <c r="T2940" s="29">
        <v>10</v>
      </c>
    </row>
    <row r="2941" spans="19:21" x14ac:dyDescent="0.25">
      <c r="S2941" s="78">
        <v>30328</v>
      </c>
      <c r="T2941" s="29">
        <v>11</v>
      </c>
    </row>
    <row r="2942" spans="19:21" x14ac:dyDescent="0.25">
      <c r="S2942" s="78">
        <v>30329</v>
      </c>
      <c r="T2942" s="29">
        <v>11</v>
      </c>
    </row>
    <row r="2943" spans="19:21" x14ac:dyDescent="0.25">
      <c r="S2943" s="78">
        <v>30330</v>
      </c>
      <c r="T2943" s="29">
        <v>11</v>
      </c>
    </row>
    <row r="2944" spans="19:21" x14ac:dyDescent="0.25">
      <c r="S2944" s="78">
        <v>30331</v>
      </c>
      <c r="T2944" s="29">
        <v>11</v>
      </c>
    </row>
    <row r="2945" spans="19:20" x14ac:dyDescent="0.25">
      <c r="S2945" s="78">
        <v>30332</v>
      </c>
      <c r="T2945" s="29">
        <v>11</v>
      </c>
    </row>
    <row r="2946" spans="19:20" x14ac:dyDescent="0.25">
      <c r="S2946" s="78">
        <v>30333</v>
      </c>
      <c r="T2946" s="29">
        <v>11</v>
      </c>
    </row>
    <row r="2947" spans="19:20" x14ac:dyDescent="0.25">
      <c r="S2947" s="78">
        <v>30334</v>
      </c>
      <c r="T2947" s="29">
        <v>11</v>
      </c>
    </row>
    <row r="2948" spans="19:20" x14ac:dyDescent="0.25">
      <c r="S2948" s="78">
        <v>30335</v>
      </c>
      <c r="T2948" s="29">
        <v>11</v>
      </c>
    </row>
    <row r="2949" spans="19:20" x14ac:dyDescent="0.25">
      <c r="S2949" s="78">
        <v>30336</v>
      </c>
      <c r="T2949" s="29">
        <v>11</v>
      </c>
    </row>
    <row r="2950" spans="19:20" x14ac:dyDescent="0.25">
      <c r="S2950" s="78">
        <v>30337</v>
      </c>
      <c r="T2950" s="29">
        <v>11</v>
      </c>
    </row>
    <row r="2951" spans="19:20" x14ac:dyDescent="0.25">
      <c r="S2951" s="78">
        <v>30338</v>
      </c>
      <c r="T2951" s="29">
        <v>11</v>
      </c>
    </row>
    <row r="2952" spans="19:20" x14ac:dyDescent="0.25">
      <c r="S2952" s="78">
        <v>30339</v>
      </c>
      <c r="T2952" s="29">
        <v>11</v>
      </c>
    </row>
    <row r="2953" spans="19:20" x14ac:dyDescent="0.25">
      <c r="S2953" s="78">
        <v>30340</v>
      </c>
      <c r="T2953" s="29">
        <v>11</v>
      </c>
    </row>
    <row r="2954" spans="19:20" x14ac:dyDescent="0.25">
      <c r="S2954" s="78">
        <v>30341</v>
      </c>
      <c r="T2954" s="29">
        <v>11</v>
      </c>
    </row>
    <row r="2955" spans="19:20" x14ac:dyDescent="0.25">
      <c r="S2955" s="78">
        <v>30342</v>
      </c>
      <c r="T2955" s="29">
        <v>11</v>
      </c>
    </row>
    <row r="2956" spans="19:20" x14ac:dyDescent="0.25">
      <c r="S2956" s="78">
        <v>30343</v>
      </c>
      <c r="T2956" s="29">
        <v>11</v>
      </c>
    </row>
    <row r="2957" spans="19:20" x14ac:dyDescent="0.25">
      <c r="S2957" s="78">
        <v>30344</v>
      </c>
      <c r="T2957" s="29">
        <v>11</v>
      </c>
    </row>
    <row r="2958" spans="19:20" x14ac:dyDescent="0.25">
      <c r="S2958" s="78">
        <v>30345</v>
      </c>
      <c r="T2958" s="29">
        <v>11</v>
      </c>
    </row>
    <row r="2959" spans="19:20" x14ac:dyDescent="0.25">
      <c r="S2959" s="78">
        <v>30346</v>
      </c>
      <c r="T2959" s="29">
        <v>11</v>
      </c>
    </row>
    <row r="2960" spans="19:20" x14ac:dyDescent="0.25">
      <c r="S2960" s="78">
        <v>30347</v>
      </c>
      <c r="T2960" s="29">
        <v>11</v>
      </c>
    </row>
    <row r="2961" spans="19:20" x14ac:dyDescent="0.25">
      <c r="S2961" s="78">
        <v>30348</v>
      </c>
      <c r="T2961" s="29">
        <v>11</v>
      </c>
    </row>
    <row r="2962" spans="19:20" x14ac:dyDescent="0.25">
      <c r="S2962" s="78">
        <v>30349</v>
      </c>
      <c r="T2962" s="29">
        <v>11</v>
      </c>
    </row>
    <row r="2963" spans="19:20" x14ac:dyDescent="0.25">
      <c r="S2963" s="78">
        <v>30350</v>
      </c>
      <c r="T2963" s="29">
        <v>11</v>
      </c>
    </row>
    <row r="2964" spans="19:20" x14ac:dyDescent="0.25">
      <c r="S2964" s="78">
        <v>30351</v>
      </c>
      <c r="T2964" s="29">
        <v>11</v>
      </c>
    </row>
    <row r="2965" spans="19:20" x14ac:dyDescent="0.25">
      <c r="S2965" s="78">
        <v>30352</v>
      </c>
      <c r="T2965" s="29">
        <v>11</v>
      </c>
    </row>
    <row r="2966" spans="19:20" x14ac:dyDescent="0.25">
      <c r="S2966" s="78">
        <v>30353</v>
      </c>
      <c r="T2966" s="29">
        <v>11</v>
      </c>
    </row>
    <row r="2967" spans="19:20" x14ac:dyDescent="0.25">
      <c r="S2967" s="78">
        <v>30354</v>
      </c>
      <c r="T2967" s="29">
        <v>11</v>
      </c>
    </row>
    <row r="2968" spans="19:20" x14ac:dyDescent="0.25">
      <c r="S2968" s="78">
        <v>30355</v>
      </c>
      <c r="T2968" s="29">
        <v>11</v>
      </c>
    </row>
    <row r="2969" spans="19:20" x14ac:dyDescent="0.25">
      <c r="S2969" s="78">
        <v>30356</v>
      </c>
      <c r="T2969" s="29">
        <v>11</v>
      </c>
    </row>
    <row r="2970" spans="19:20" x14ac:dyDescent="0.25">
      <c r="S2970" s="78">
        <v>30357</v>
      </c>
      <c r="T2970" s="29">
        <v>11</v>
      </c>
    </row>
    <row r="2971" spans="19:20" x14ac:dyDescent="0.25">
      <c r="S2971" s="78">
        <v>30358</v>
      </c>
      <c r="T2971" s="29">
        <v>11</v>
      </c>
    </row>
    <row r="2972" spans="19:20" x14ac:dyDescent="0.25">
      <c r="S2972" s="78">
        <v>30359</v>
      </c>
      <c r="T2972" s="29">
        <v>11</v>
      </c>
    </row>
    <row r="2973" spans="19:20" x14ac:dyDescent="0.25">
      <c r="S2973" s="78">
        <v>30360</v>
      </c>
      <c r="T2973" s="29">
        <v>11</v>
      </c>
    </row>
    <row r="2974" spans="19:20" x14ac:dyDescent="0.25">
      <c r="S2974" s="78">
        <v>30361</v>
      </c>
      <c r="T2974" s="29">
        <v>11</v>
      </c>
    </row>
    <row r="2975" spans="19:20" x14ac:dyDescent="0.25">
      <c r="S2975" s="78">
        <v>30362</v>
      </c>
      <c r="T2975" s="29">
        <v>11</v>
      </c>
    </row>
    <row r="2976" spans="19:20" x14ac:dyDescent="0.25">
      <c r="S2976" s="78">
        <v>30363</v>
      </c>
      <c r="T2976" s="29">
        <v>11</v>
      </c>
    </row>
    <row r="2977" spans="19:20" x14ac:dyDescent="0.25">
      <c r="S2977" s="78">
        <v>30364</v>
      </c>
      <c r="T2977" s="29">
        <v>11</v>
      </c>
    </row>
    <row r="2978" spans="19:20" x14ac:dyDescent="0.25">
      <c r="S2978" s="78">
        <v>30365</v>
      </c>
      <c r="T2978" s="29">
        <v>11</v>
      </c>
    </row>
    <row r="2979" spans="19:20" x14ac:dyDescent="0.25">
      <c r="S2979" s="78">
        <v>30366</v>
      </c>
      <c r="T2979" s="29">
        <v>11</v>
      </c>
    </row>
    <row r="2980" spans="19:20" x14ac:dyDescent="0.25">
      <c r="S2980" s="78">
        <v>30367</v>
      </c>
      <c r="T2980" s="29">
        <v>11</v>
      </c>
    </row>
    <row r="2981" spans="19:20" x14ac:dyDescent="0.25">
      <c r="S2981" s="78">
        <v>30368</v>
      </c>
      <c r="T2981" s="29">
        <v>11</v>
      </c>
    </row>
    <row r="2982" spans="19:20" x14ac:dyDescent="0.25">
      <c r="S2982" s="78">
        <v>30369</v>
      </c>
      <c r="T2982" s="29">
        <v>11</v>
      </c>
    </row>
    <row r="2983" spans="19:20" x14ac:dyDescent="0.25">
      <c r="S2983" s="78">
        <v>30370</v>
      </c>
      <c r="T2983" s="29">
        <v>11</v>
      </c>
    </row>
    <row r="2984" spans="19:20" x14ac:dyDescent="0.25">
      <c r="S2984" s="78">
        <v>30371</v>
      </c>
      <c r="T2984" s="29">
        <v>11</v>
      </c>
    </row>
    <row r="2985" spans="19:20" x14ac:dyDescent="0.25">
      <c r="S2985" s="78">
        <v>30372</v>
      </c>
      <c r="T2985" s="29">
        <v>11</v>
      </c>
    </row>
    <row r="2986" spans="19:20" x14ac:dyDescent="0.25">
      <c r="S2986" s="78">
        <v>30373</v>
      </c>
      <c r="T2986" s="29">
        <v>11</v>
      </c>
    </row>
    <row r="2987" spans="19:20" x14ac:dyDescent="0.25">
      <c r="S2987" s="78">
        <v>30374</v>
      </c>
      <c r="T2987" s="29">
        <v>11</v>
      </c>
    </row>
    <row r="2988" spans="19:20" x14ac:dyDescent="0.25">
      <c r="S2988" s="78">
        <v>30375</v>
      </c>
      <c r="T2988" s="29">
        <v>11</v>
      </c>
    </row>
    <row r="2989" spans="19:20" x14ac:dyDescent="0.25">
      <c r="S2989" s="78">
        <v>30376</v>
      </c>
      <c r="T2989" s="29">
        <v>11</v>
      </c>
    </row>
    <row r="2990" spans="19:20" x14ac:dyDescent="0.25">
      <c r="S2990" s="78">
        <v>30377</v>
      </c>
      <c r="T2990" s="29">
        <v>11</v>
      </c>
    </row>
    <row r="2991" spans="19:20" x14ac:dyDescent="0.25">
      <c r="S2991" s="78">
        <v>30378</v>
      </c>
      <c r="T2991" s="29">
        <v>11</v>
      </c>
    </row>
    <row r="2992" spans="19:20" x14ac:dyDescent="0.25">
      <c r="S2992" s="78">
        <v>30379</v>
      </c>
      <c r="T2992" s="29">
        <v>11</v>
      </c>
    </row>
    <row r="2993" spans="19:20" x14ac:dyDescent="0.25">
      <c r="S2993" s="78">
        <v>30380</v>
      </c>
      <c r="T2993" s="29">
        <v>11</v>
      </c>
    </row>
    <row r="2994" spans="19:20" x14ac:dyDescent="0.25">
      <c r="S2994" s="78">
        <v>30381</v>
      </c>
      <c r="T2994" s="29">
        <v>11</v>
      </c>
    </row>
    <row r="2995" spans="19:20" x14ac:dyDescent="0.25">
      <c r="S2995" s="78">
        <v>30382</v>
      </c>
      <c r="T2995" s="29">
        <v>11</v>
      </c>
    </row>
    <row r="2996" spans="19:20" x14ac:dyDescent="0.25">
      <c r="S2996" s="78">
        <v>30383</v>
      </c>
      <c r="T2996" s="29">
        <v>11</v>
      </c>
    </row>
    <row r="2997" spans="19:20" x14ac:dyDescent="0.25">
      <c r="S2997" s="78">
        <v>30384</v>
      </c>
      <c r="T2997" s="29">
        <v>11</v>
      </c>
    </row>
    <row r="2998" spans="19:20" x14ac:dyDescent="0.25">
      <c r="S2998" s="78">
        <v>30385</v>
      </c>
      <c r="T2998" s="29">
        <v>11</v>
      </c>
    </row>
    <row r="2999" spans="19:20" x14ac:dyDescent="0.25">
      <c r="S2999" s="78">
        <v>30386</v>
      </c>
      <c r="T2999" s="29">
        <v>11</v>
      </c>
    </row>
    <row r="3000" spans="19:20" x14ac:dyDescent="0.25">
      <c r="S3000" s="78">
        <v>30387</v>
      </c>
      <c r="T3000" s="29">
        <v>11</v>
      </c>
    </row>
    <row r="3001" spans="19:20" x14ac:dyDescent="0.25">
      <c r="S3001" s="78">
        <v>30388</v>
      </c>
      <c r="T3001" s="29">
        <v>11</v>
      </c>
    </row>
    <row r="3002" spans="19:20" x14ac:dyDescent="0.25">
      <c r="S3002" s="78">
        <v>30389</v>
      </c>
      <c r="T3002" s="29">
        <v>11</v>
      </c>
    </row>
    <row r="3003" spans="19:20" x14ac:dyDescent="0.25">
      <c r="S3003" s="78">
        <v>30390</v>
      </c>
      <c r="T3003" s="29">
        <v>10.56</v>
      </c>
    </row>
    <row r="3004" spans="19:20" x14ac:dyDescent="0.25">
      <c r="S3004" s="78">
        <v>30391</v>
      </c>
      <c r="T3004" s="29">
        <v>10.56</v>
      </c>
    </row>
    <row r="3005" spans="19:20" x14ac:dyDescent="0.25">
      <c r="S3005" s="78">
        <v>30392</v>
      </c>
      <c r="T3005" s="29">
        <v>10.56</v>
      </c>
    </row>
    <row r="3006" spans="19:20" x14ac:dyDescent="0.25">
      <c r="S3006" s="78">
        <v>30393</v>
      </c>
      <c r="T3006" s="29">
        <v>10.56</v>
      </c>
    </row>
    <row r="3007" spans="19:20" x14ac:dyDescent="0.25">
      <c r="S3007" s="78">
        <v>30394</v>
      </c>
      <c r="T3007" s="29">
        <v>10.56</v>
      </c>
    </row>
    <row r="3008" spans="19:20" x14ac:dyDescent="0.25">
      <c r="S3008" s="78">
        <v>30395</v>
      </c>
      <c r="T3008" s="29">
        <v>10.56</v>
      </c>
    </row>
    <row r="3009" spans="19:21" x14ac:dyDescent="0.25">
      <c r="S3009" s="78">
        <v>30396</v>
      </c>
      <c r="T3009" s="29">
        <v>10.56</v>
      </c>
    </row>
    <row r="3010" spans="19:21" x14ac:dyDescent="0.25">
      <c r="S3010" s="78">
        <v>30397</v>
      </c>
      <c r="T3010" s="29">
        <v>10.56</v>
      </c>
    </row>
    <row r="3011" spans="19:21" x14ac:dyDescent="0.25">
      <c r="S3011" s="78">
        <v>30398</v>
      </c>
      <c r="T3011" s="29">
        <v>10.56</v>
      </c>
    </row>
    <row r="3012" spans="19:21" x14ac:dyDescent="0.25">
      <c r="S3012" s="78">
        <v>30399</v>
      </c>
      <c r="T3012" s="29">
        <v>10.56</v>
      </c>
    </row>
    <row r="3013" spans="19:21" x14ac:dyDescent="0.25">
      <c r="S3013" s="78">
        <v>30400</v>
      </c>
      <c r="T3013" s="29">
        <v>10.56</v>
      </c>
    </row>
    <row r="3014" spans="19:21" x14ac:dyDescent="0.25">
      <c r="S3014" s="78">
        <v>30401</v>
      </c>
      <c r="T3014" s="29">
        <v>10.56</v>
      </c>
    </row>
    <row r="3015" spans="19:21" x14ac:dyDescent="0.25">
      <c r="S3015" s="78">
        <v>30402</v>
      </c>
      <c r="T3015" s="29">
        <v>10.56</v>
      </c>
    </row>
    <row r="3016" spans="19:21" x14ac:dyDescent="0.25">
      <c r="S3016" s="78">
        <v>30403</v>
      </c>
      <c r="T3016" s="29">
        <v>10.56</v>
      </c>
    </row>
    <row r="3017" spans="19:21" x14ac:dyDescent="0.25">
      <c r="S3017" s="78">
        <v>30404</v>
      </c>
      <c r="T3017" s="29">
        <v>10.56</v>
      </c>
    </row>
    <row r="3018" spans="19:21" x14ac:dyDescent="0.25">
      <c r="S3018" s="78">
        <v>30405</v>
      </c>
      <c r="T3018" s="29">
        <v>10.56</v>
      </c>
    </row>
    <row r="3019" spans="19:21" x14ac:dyDescent="0.25">
      <c r="S3019" s="78">
        <v>30406</v>
      </c>
      <c r="T3019" s="29">
        <v>10.56</v>
      </c>
      <c r="U3019" s="39">
        <f>AVERAGE(T2930:T3019)</f>
        <v>10.794666666666656</v>
      </c>
    </row>
    <row r="3020" spans="19:21" x14ac:dyDescent="0.25">
      <c r="S3020" s="78">
        <v>30407</v>
      </c>
      <c r="T3020" s="29">
        <v>10.56</v>
      </c>
    </row>
    <row r="3021" spans="19:21" x14ac:dyDescent="0.25">
      <c r="S3021" s="78">
        <v>30408</v>
      </c>
      <c r="T3021" s="29">
        <v>10.56</v>
      </c>
    </row>
    <row r="3022" spans="19:21" x14ac:dyDescent="0.25">
      <c r="S3022" s="78">
        <v>30409</v>
      </c>
      <c r="T3022" s="29">
        <v>10.56</v>
      </c>
    </row>
    <row r="3023" spans="19:21" x14ac:dyDescent="0.25">
      <c r="S3023" s="78">
        <v>30410</v>
      </c>
      <c r="T3023" s="29">
        <v>10.56</v>
      </c>
    </row>
    <row r="3024" spans="19:21" x14ac:dyDescent="0.25">
      <c r="S3024" s="78">
        <v>30411</v>
      </c>
      <c r="T3024" s="29">
        <v>10.56</v>
      </c>
    </row>
    <row r="3025" spans="19:20" x14ac:dyDescent="0.25">
      <c r="S3025" s="78">
        <v>30412</v>
      </c>
      <c r="T3025" s="29">
        <v>10.56</v>
      </c>
    </row>
    <row r="3026" spans="19:20" x14ac:dyDescent="0.25">
      <c r="S3026" s="78">
        <v>30413</v>
      </c>
      <c r="T3026" s="29">
        <v>10.56</v>
      </c>
    </row>
    <row r="3027" spans="19:20" x14ac:dyDescent="0.25">
      <c r="S3027" s="78">
        <v>30414</v>
      </c>
      <c r="T3027" s="29">
        <v>10.56</v>
      </c>
    </row>
    <row r="3028" spans="19:20" x14ac:dyDescent="0.25">
      <c r="S3028" s="78">
        <v>30415</v>
      </c>
      <c r="T3028" s="29">
        <v>10.56</v>
      </c>
    </row>
    <row r="3029" spans="19:20" x14ac:dyDescent="0.25">
      <c r="S3029" s="78">
        <v>30416</v>
      </c>
      <c r="T3029" s="29">
        <v>10.56</v>
      </c>
    </row>
    <row r="3030" spans="19:20" x14ac:dyDescent="0.25">
      <c r="S3030" s="78">
        <v>30417</v>
      </c>
      <c r="T3030" s="29">
        <v>10.56</v>
      </c>
    </row>
    <row r="3031" spans="19:20" x14ac:dyDescent="0.25">
      <c r="S3031" s="78">
        <v>30418</v>
      </c>
      <c r="T3031" s="29">
        <v>10.56</v>
      </c>
    </row>
    <row r="3032" spans="19:20" x14ac:dyDescent="0.25">
      <c r="S3032" s="78">
        <v>30419</v>
      </c>
      <c r="T3032" s="29">
        <v>10.31</v>
      </c>
    </row>
    <row r="3033" spans="19:20" x14ac:dyDescent="0.25">
      <c r="S3033" s="78">
        <v>30420</v>
      </c>
      <c r="T3033" s="29">
        <v>10.06</v>
      </c>
    </row>
    <row r="3034" spans="19:20" x14ac:dyDescent="0.25">
      <c r="S3034" s="78">
        <v>30421</v>
      </c>
      <c r="T3034" s="29">
        <v>10.06</v>
      </c>
    </row>
    <row r="3035" spans="19:20" x14ac:dyDescent="0.25">
      <c r="S3035" s="78">
        <v>30422</v>
      </c>
      <c r="T3035" s="29">
        <v>10.06</v>
      </c>
    </row>
    <row r="3036" spans="19:20" x14ac:dyDescent="0.25">
      <c r="S3036" s="78">
        <v>30423</v>
      </c>
      <c r="T3036" s="29">
        <v>10.06</v>
      </c>
    </row>
    <row r="3037" spans="19:20" x14ac:dyDescent="0.25">
      <c r="S3037" s="78">
        <v>30424</v>
      </c>
      <c r="T3037" s="29">
        <v>10.06</v>
      </c>
    </row>
    <row r="3038" spans="19:20" x14ac:dyDescent="0.25">
      <c r="S3038" s="78">
        <v>30425</v>
      </c>
      <c r="T3038" s="29">
        <v>10.06</v>
      </c>
    </row>
    <row r="3039" spans="19:20" x14ac:dyDescent="0.25">
      <c r="S3039" s="78">
        <v>30426</v>
      </c>
      <c r="T3039" s="29">
        <v>10.06</v>
      </c>
    </row>
    <row r="3040" spans="19:20" x14ac:dyDescent="0.25">
      <c r="S3040" s="78">
        <v>30427</v>
      </c>
      <c r="T3040" s="29">
        <v>10.06</v>
      </c>
    </row>
    <row r="3041" spans="19:20" x14ac:dyDescent="0.25">
      <c r="S3041" s="78">
        <v>30428</v>
      </c>
      <c r="T3041" s="29">
        <v>10.06</v>
      </c>
    </row>
    <row r="3042" spans="19:20" x14ac:dyDescent="0.25">
      <c r="S3042" s="78">
        <v>30429</v>
      </c>
      <c r="T3042" s="29">
        <v>10.06</v>
      </c>
    </row>
    <row r="3043" spans="19:20" x14ac:dyDescent="0.25">
      <c r="S3043" s="78">
        <v>30430</v>
      </c>
      <c r="T3043" s="29">
        <v>10.06</v>
      </c>
    </row>
    <row r="3044" spans="19:20" x14ac:dyDescent="0.25">
      <c r="S3044" s="78">
        <v>30431</v>
      </c>
      <c r="T3044" s="29">
        <v>10.06</v>
      </c>
    </row>
    <row r="3045" spans="19:20" x14ac:dyDescent="0.25">
      <c r="S3045" s="78">
        <v>30432</v>
      </c>
      <c r="T3045" s="29">
        <v>10.06</v>
      </c>
    </row>
    <row r="3046" spans="19:20" x14ac:dyDescent="0.25">
      <c r="S3046" s="78">
        <v>30433</v>
      </c>
      <c r="T3046" s="29">
        <v>10.06</v>
      </c>
    </row>
    <row r="3047" spans="19:20" x14ac:dyDescent="0.25">
      <c r="S3047" s="78">
        <v>30434</v>
      </c>
      <c r="T3047" s="29">
        <v>10.06</v>
      </c>
    </row>
    <row r="3048" spans="19:20" x14ac:dyDescent="0.25">
      <c r="S3048" s="78">
        <v>30435</v>
      </c>
      <c r="T3048" s="29">
        <v>10.06</v>
      </c>
    </row>
    <row r="3049" spans="19:20" x14ac:dyDescent="0.25">
      <c r="S3049" s="78">
        <v>30436</v>
      </c>
      <c r="T3049" s="29">
        <v>10.06</v>
      </c>
    </row>
    <row r="3050" spans="19:20" x14ac:dyDescent="0.25">
      <c r="S3050" s="78">
        <v>30437</v>
      </c>
      <c r="T3050" s="29">
        <v>10.06</v>
      </c>
    </row>
    <row r="3051" spans="19:20" x14ac:dyDescent="0.25">
      <c r="S3051" s="78">
        <v>30438</v>
      </c>
      <c r="T3051" s="29">
        <v>10.06</v>
      </c>
    </row>
    <row r="3052" spans="19:20" x14ac:dyDescent="0.25">
      <c r="S3052" s="78">
        <v>30439</v>
      </c>
      <c r="T3052" s="29">
        <v>10.06</v>
      </c>
    </row>
    <row r="3053" spans="19:20" x14ac:dyDescent="0.25">
      <c r="S3053" s="78">
        <v>30440</v>
      </c>
      <c r="T3053" s="29">
        <v>10.06</v>
      </c>
    </row>
    <row r="3054" spans="19:20" x14ac:dyDescent="0.25">
      <c r="S3054" s="78">
        <v>30441</v>
      </c>
      <c r="T3054" s="29">
        <v>10.06</v>
      </c>
    </row>
    <row r="3055" spans="19:20" x14ac:dyDescent="0.25">
      <c r="S3055" s="78">
        <v>30442</v>
      </c>
      <c r="T3055" s="29">
        <v>10.06</v>
      </c>
    </row>
    <row r="3056" spans="19:20" x14ac:dyDescent="0.25">
      <c r="S3056" s="78">
        <v>30443</v>
      </c>
      <c r="T3056" s="29">
        <v>10.06</v>
      </c>
    </row>
    <row r="3057" spans="19:20" x14ac:dyDescent="0.25">
      <c r="S3057" s="78">
        <v>30444</v>
      </c>
      <c r="T3057" s="29">
        <v>10.06</v>
      </c>
    </row>
    <row r="3058" spans="19:20" x14ac:dyDescent="0.25">
      <c r="S3058" s="78">
        <v>30445</v>
      </c>
      <c r="T3058" s="29">
        <v>10.06</v>
      </c>
    </row>
    <row r="3059" spans="19:20" x14ac:dyDescent="0.25">
      <c r="S3059" s="78">
        <v>30446</v>
      </c>
      <c r="T3059" s="29">
        <v>10.06</v>
      </c>
    </row>
    <row r="3060" spans="19:20" x14ac:dyDescent="0.25">
      <c r="S3060" s="78">
        <v>30447</v>
      </c>
      <c r="T3060" s="29">
        <v>10.06</v>
      </c>
    </row>
    <row r="3061" spans="19:20" x14ac:dyDescent="0.25">
      <c r="S3061" s="78">
        <v>30448</v>
      </c>
      <c r="T3061" s="29">
        <v>10.06</v>
      </c>
    </row>
    <row r="3062" spans="19:20" x14ac:dyDescent="0.25">
      <c r="S3062" s="78">
        <v>30449</v>
      </c>
      <c r="T3062" s="29">
        <v>10.06</v>
      </c>
    </row>
    <row r="3063" spans="19:20" x14ac:dyDescent="0.25">
      <c r="S3063" s="78">
        <v>30450</v>
      </c>
      <c r="T3063" s="29">
        <v>10.06</v>
      </c>
    </row>
    <row r="3064" spans="19:20" x14ac:dyDescent="0.25">
      <c r="S3064" s="78">
        <v>30451</v>
      </c>
      <c r="T3064" s="29">
        <v>10.06</v>
      </c>
    </row>
    <row r="3065" spans="19:20" x14ac:dyDescent="0.25">
      <c r="S3065" s="78">
        <v>30452</v>
      </c>
      <c r="T3065" s="29">
        <v>10.06</v>
      </c>
    </row>
    <row r="3066" spans="19:20" x14ac:dyDescent="0.25">
      <c r="S3066" s="78">
        <v>30453</v>
      </c>
      <c r="T3066" s="29">
        <v>10.06</v>
      </c>
    </row>
    <row r="3067" spans="19:20" x14ac:dyDescent="0.25">
      <c r="S3067" s="78">
        <v>30454</v>
      </c>
      <c r="T3067" s="29">
        <v>10.06</v>
      </c>
    </row>
    <row r="3068" spans="19:20" x14ac:dyDescent="0.25">
      <c r="S3068" s="78">
        <v>30455</v>
      </c>
      <c r="T3068" s="29">
        <v>10.06</v>
      </c>
    </row>
    <row r="3069" spans="19:20" x14ac:dyDescent="0.25">
      <c r="S3069" s="78">
        <v>30456</v>
      </c>
      <c r="T3069" s="29">
        <v>10.06</v>
      </c>
    </row>
    <row r="3070" spans="19:20" x14ac:dyDescent="0.25">
      <c r="S3070" s="78">
        <v>30457</v>
      </c>
      <c r="T3070" s="29">
        <v>10.06</v>
      </c>
    </row>
    <row r="3071" spans="19:20" x14ac:dyDescent="0.25">
      <c r="S3071" s="78">
        <v>30458</v>
      </c>
      <c r="T3071" s="29">
        <v>10.06</v>
      </c>
    </row>
    <row r="3072" spans="19:20" x14ac:dyDescent="0.25">
      <c r="S3072" s="78">
        <v>30459</v>
      </c>
      <c r="T3072" s="29">
        <v>10.06</v>
      </c>
    </row>
    <row r="3073" spans="19:20" x14ac:dyDescent="0.25">
      <c r="S3073" s="78">
        <v>30460</v>
      </c>
      <c r="T3073" s="29">
        <v>10.06</v>
      </c>
    </row>
    <row r="3074" spans="19:20" x14ac:dyDescent="0.25">
      <c r="S3074" s="78">
        <v>30461</v>
      </c>
      <c r="T3074" s="29">
        <v>10.06</v>
      </c>
    </row>
    <row r="3075" spans="19:20" x14ac:dyDescent="0.25">
      <c r="S3075" s="78">
        <v>30462</v>
      </c>
      <c r="T3075" s="29">
        <v>10.06</v>
      </c>
    </row>
    <row r="3076" spans="19:20" x14ac:dyDescent="0.25">
      <c r="S3076" s="78">
        <v>30463</v>
      </c>
      <c r="T3076" s="29">
        <v>10.06</v>
      </c>
    </row>
    <row r="3077" spans="19:20" x14ac:dyDescent="0.25">
      <c r="S3077" s="78">
        <v>30464</v>
      </c>
      <c r="T3077" s="29">
        <v>10.06</v>
      </c>
    </row>
    <row r="3078" spans="19:20" x14ac:dyDescent="0.25">
      <c r="S3078" s="78">
        <v>30465</v>
      </c>
      <c r="T3078" s="29">
        <v>10.06</v>
      </c>
    </row>
    <row r="3079" spans="19:20" x14ac:dyDescent="0.25">
      <c r="S3079" s="78">
        <v>30466</v>
      </c>
      <c r="T3079" s="29">
        <v>10.06</v>
      </c>
    </row>
    <row r="3080" spans="19:20" x14ac:dyDescent="0.25">
      <c r="S3080" s="78">
        <v>30467</v>
      </c>
      <c r="T3080" s="29">
        <v>10.06</v>
      </c>
    </row>
    <row r="3081" spans="19:20" x14ac:dyDescent="0.25">
      <c r="S3081" s="78">
        <v>30468</v>
      </c>
      <c r="T3081" s="29">
        <v>10.06</v>
      </c>
    </row>
    <row r="3082" spans="19:20" x14ac:dyDescent="0.25">
      <c r="S3082" s="78">
        <v>30469</v>
      </c>
      <c r="T3082" s="29">
        <v>10.06</v>
      </c>
    </row>
    <row r="3083" spans="19:20" x14ac:dyDescent="0.25">
      <c r="S3083" s="78">
        <v>30470</v>
      </c>
      <c r="T3083" s="29">
        <v>10.06</v>
      </c>
    </row>
    <row r="3084" spans="19:20" x14ac:dyDescent="0.25">
      <c r="S3084" s="78">
        <v>30471</v>
      </c>
      <c r="T3084" s="29">
        <v>10.06</v>
      </c>
    </row>
    <row r="3085" spans="19:20" x14ac:dyDescent="0.25">
      <c r="S3085" s="78">
        <v>30472</v>
      </c>
      <c r="T3085" s="29">
        <v>10.06</v>
      </c>
    </row>
    <row r="3086" spans="19:20" x14ac:dyDescent="0.25">
      <c r="S3086" s="78">
        <v>30473</v>
      </c>
      <c r="T3086" s="29">
        <v>10.06</v>
      </c>
    </row>
    <row r="3087" spans="19:20" x14ac:dyDescent="0.25">
      <c r="S3087" s="78">
        <v>30474</v>
      </c>
      <c r="T3087" s="29">
        <v>10.06</v>
      </c>
    </row>
    <row r="3088" spans="19:20" x14ac:dyDescent="0.25">
      <c r="S3088" s="78">
        <v>30475</v>
      </c>
      <c r="T3088" s="29">
        <v>10.06</v>
      </c>
    </row>
    <row r="3089" spans="19:20" x14ac:dyDescent="0.25">
      <c r="S3089" s="78">
        <v>30476</v>
      </c>
      <c r="T3089" s="29">
        <v>10.06</v>
      </c>
    </row>
    <row r="3090" spans="19:20" x14ac:dyDescent="0.25">
      <c r="S3090" s="78">
        <v>30477</v>
      </c>
      <c r="T3090" s="29">
        <v>10.06</v>
      </c>
    </row>
    <row r="3091" spans="19:20" x14ac:dyDescent="0.25">
      <c r="S3091" s="78">
        <v>30478</v>
      </c>
      <c r="T3091" s="29">
        <v>10.06</v>
      </c>
    </row>
    <row r="3092" spans="19:20" x14ac:dyDescent="0.25">
      <c r="S3092" s="78">
        <v>30479</v>
      </c>
      <c r="T3092" s="29">
        <v>10.06</v>
      </c>
    </row>
    <row r="3093" spans="19:20" x14ac:dyDescent="0.25">
      <c r="S3093" s="78">
        <v>30480</v>
      </c>
      <c r="T3093" s="29">
        <v>9.81</v>
      </c>
    </row>
    <row r="3094" spans="19:20" x14ac:dyDescent="0.25">
      <c r="S3094" s="78">
        <v>30481</v>
      </c>
      <c r="T3094" s="29">
        <v>9.56</v>
      </c>
    </row>
    <row r="3095" spans="19:20" x14ac:dyDescent="0.25">
      <c r="S3095" s="78">
        <v>30482</v>
      </c>
      <c r="T3095" s="29">
        <v>9.56</v>
      </c>
    </row>
    <row r="3096" spans="19:20" x14ac:dyDescent="0.25">
      <c r="S3096" s="78">
        <v>30483</v>
      </c>
      <c r="T3096" s="29">
        <v>9.56</v>
      </c>
    </row>
    <row r="3097" spans="19:20" x14ac:dyDescent="0.25">
      <c r="S3097" s="78">
        <v>30484</v>
      </c>
      <c r="T3097" s="29">
        <v>9.56</v>
      </c>
    </row>
    <row r="3098" spans="19:20" x14ac:dyDescent="0.25">
      <c r="S3098" s="78">
        <v>30485</v>
      </c>
      <c r="T3098" s="29">
        <v>9.56</v>
      </c>
    </row>
    <row r="3099" spans="19:20" x14ac:dyDescent="0.25">
      <c r="S3099" s="78">
        <v>30486</v>
      </c>
      <c r="T3099" s="29">
        <v>9.56</v>
      </c>
    </row>
    <row r="3100" spans="19:20" x14ac:dyDescent="0.25">
      <c r="S3100" s="78">
        <v>30487</v>
      </c>
      <c r="T3100" s="29">
        <v>9.56</v>
      </c>
    </row>
    <row r="3101" spans="19:20" x14ac:dyDescent="0.25">
      <c r="S3101" s="78">
        <v>30488</v>
      </c>
      <c r="T3101" s="29">
        <v>9.56</v>
      </c>
    </row>
    <row r="3102" spans="19:20" x14ac:dyDescent="0.25">
      <c r="S3102" s="78">
        <v>30489</v>
      </c>
      <c r="T3102" s="29">
        <v>9.56</v>
      </c>
    </row>
    <row r="3103" spans="19:20" x14ac:dyDescent="0.25">
      <c r="S3103" s="78">
        <v>30490</v>
      </c>
      <c r="T3103" s="29">
        <v>9.56</v>
      </c>
    </row>
    <row r="3104" spans="19:20" x14ac:dyDescent="0.25">
      <c r="S3104" s="78">
        <v>30491</v>
      </c>
      <c r="T3104" s="29">
        <v>9.56</v>
      </c>
    </row>
    <row r="3105" spans="19:21" x14ac:dyDescent="0.25">
      <c r="S3105" s="78">
        <v>30492</v>
      </c>
      <c r="T3105" s="29">
        <v>9.56</v>
      </c>
    </row>
    <row r="3106" spans="19:21" x14ac:dyDescent="0.25">
      <c r="S3106" s="78">
        <v>30493</v>
      </c>
      <c r="T3106" s="29">
        <v>9.56</v>
      </c>
    </row>
    <row r="3107" spans="19:21" x14ac:dyDescent="0.25">
      <c r="S3107" s="78">
        <v>30494</v>
      </c>
      <c r="T3107" s="29">
        <v>9.56</v>
      </c>
    </row>
    <row r="3108" spans="19:21" x14ac:dyDescent="0.25">
      <c r="S3108" s="78">
        <v>30495</v>
      </c>
      <c r="T3108" s="29">
        <v>9.56</v>
      </c>
    </row>
    <row r="3109" spans="19:21" x14ac:dyDescent="0.25">
      <c r="S3109" s="78">
        <v>30496</v>
      </c>
      <c r="T3109" s="29">
        <v>9.56</v>
      </c>
    </row>
    <row r="3110" spans="19:21" x14ac:dyDescent="0.25">
      <c r="S3110" s="78">
        <v>30497</v>
      </c>
      <c r="T3110" s="29">
        <v>9.56</v>
      </c>
      <c r="U3110" s="40">
        <f>AVERAGE(T3020:T3110)</f>
        <v>10.03252747252745</v>
      </c>
    </row>
    <row r="3111" spans="19:21" x14ac:dyDescent="0.25">
      <c r="S3111" s="78">
        <v>30498</v>
      </c>
      <c r="T3111" s="29">
        <v>9.56</v>
      </c>
    </row>
    <row r="3112" spans="19:21" x14ac:dyDescent="0.25">
      <c r="S3112" s="78">
        <v>30499</v>
      </c>
      <c r="T3112" s="29">
        <v>9.56</v>
      </c>
    </row>
    <row r="3113" spans="19:21" x14ac:dyDescent="0.25">
      <c r="S3113" s="78">
        <v>30500</v>
      </c>
      <c r="T3113" s="29">
        <v>9.56</v>
      </c>
    </row>
    <row r="3114" spans="19:21" x14ac:dyDescent="0.25">
      <c r="S3114" s="78">
        <v>30501</v>
      </c>
      <c r="T3114" s="29">
        <v>9.56</v>
      </c>
    </row>
    <row r="3115" spans="19:21" x14ac:dyDescent="0.25">
      <c r="S3115" s="78">
        <v>30502</v>
      </c>
      <c r="T3115" s="29">
        <v>9.56</v>
      </c>
    </row>
    <row r="3116" spans="19:21" x14ac:dyDescent="0.25">
      <c r="S3116" s="78">
        <v>30503</v>
      </c>
      <c r="T3116" s="29">
        <v>9.56</v>
      </c>
    </row>
    <row r="3117" spans="19:21" x14ac:dyDescent="0.25">
      <c r="S3117" s="78">
        <v>30504</v>
      </c>
      <c r="T3117" s="29">
        <v>9.56</v>
      </c>
    </row>
    <row r="3118" spans="19:21" x14ac:dyDescent="0.25">
      <c r="S3118" s="78">
        <v>30505</v>
      </c>
      <c r="T3118" s="29">
        <v>9.56</v>
      </c>
    </row>
    <row r="3119" spans="19:21" x14ac:dyDescent="0.25">
      <c r="S3119" s="78">
        <v>30506</v>
      </c>
      <c r="T3119" s="29">
        <v>9.56</v>
      </c>
    </row>
    <row r="3120" spans="19:21" x14ac:dyDescent="0.25">
      <c r="S3120" s="78">
        <v>30507</v>
      </c>
      <c r="T3120" s="29">
        <v>9.56</v>
      </c>
    </row>
    <row r="3121" spans="19:20" x14ac:dyDescent="0.25">
      <c r="S3121" s="78">
        <v>30508</v>
      </c>
      <c r="T3121" s="29">
        <v>9.56</v>
      </c>
    </row>
    <row r="3122" spans="19:20" x14ac:dyDescent="0.25">
      <c r="S3122" s="78">
        <v>30509</v>
      </c>
      <c r="T3122" s="29">
        <v>9.56</v>
      </c>
    </row>
    <row r="3123" spans="19:20" x14ac:dyDescent="0.25">
      <c r="S3123" s="78">
        <v>30510</v>
      </c>
      <c r="T3123" s="29">
        <v>9.56</v>
      </c>
    </row>
    <row r="3124" spans="19:20" x14ac:dyDescent="0.25">
      <c r="S3124" s="78">
        <v>30511</v>
      </c>
      <c r="T3124" s="29">
        <v>9.56</v>
      </c>
    </row>
    <row r="3125" spans="19:20" x14ac:dyDescent="0.25">
      <c r="S3125" s="78">
        <v>30512</v>
      </c>
      <c r="T3125" s="29">
        <v>9.56</v>
      </c>
    </row>
    <row r="3126" spans="19:20" x14ac:dyDescent="0.25">
      <c r="S3126" s="78">
        <v>30513</v>
      </c>
      <c r="T3126" s="29">
        <v>9.56</v>
      </c>
    </row>
    <row r="3127" spans="19:20" x14ac:dyDescent="0.25">
      <c r="S3127" s="78">
        <v>30514</v>
      </c>
      <c r="T3127" s="29">
        <v>9.56</v>
      </c>
    </row>
    <row r="3128" spans="19:20" x14ac:dyDescent="0.25">
      <c r="S3128" s="78">
        <v>30515</v>
      </c>
      <c r="T3128" s="29">
        <v>9.56</v>
      </c>
    </row>
    <row r="3129" spans="19:20" x14ac:dyDescent="0.25">
      <c r="S3129" s="78">
        <v>30516</v>
      </c>
      <c r="T3129" s="29">
        <v>9.56</v>
      </c>
    </row>
    <row r="3130" spans="19:20" x14ac:dyDescent="0.25">
      <c r="S3130" s="78">
        <v>30517</v>
      </c>
      <c r="T3130" s="29">
        <v>9.56</v>
      </c>
    </row>
    <row r="3131" spans="19:20" x14ac:dyDescent="0.25">
      <c r="S3131" s="78">
        <v>30518</v>
      </c>
      <c r="T3131" s="29">
        <v>9.56</v>
      </c>
    </row>
    <row r="3132" spans="19:20" x14ac:dyDescent="0.25">
      <c r="S3132" s="78">
        <v>30519</v>
      </c>
      <c r="T3132" s="29">
        <v>9.56</v>
      </c>
    </row>
    <row r="3133" spans="19:20" x14ac:dyDescent="0.25">
      <c r="S3133" s="78">
        <v>30520</v>
      </c>
      <c r="T3133" s="29">
        <v>9.56</v>
      </c>
    </row>
    <row r="3134" spans="19:20" x14ac:dyDescent="0.25">
      <c r="S3134" s="78">
        <v>30521</v>
      </c>
      <c r="T3134" s="29">
        <v>9.56</v>
      </c>
    </row>
    <row r="3135" spans="19:20" x14ac:dyDescent="0.25">
      <c r="S3135" s="78">
        <v>30522</v>
      </c>
      <c r="T3135" s="29">
        <v>9.56</v>
      </c>
    </row>
    <row r="3136" spans="19:20" x14ac:dyDescent="0.25">
      <c r="S3136" s="78">
        <v>30523</v>
      </c>
      <c r="T3136" s="29">
        <v>9.56</v>
      </c>
    </row>
    <row r="3137" spans="19:20" x14ac:dyDescent="0.25">
      <c r="S3137" s="78">
        <v>30524</v>
      </c>
      <c r="T3137" s="29">
        <v>9.56</v>
      </c>
    </row>
    <row r="3138" spans="19:20" x14ac:dyDescent="0.25">
      <c r="S3138" s="78">
        <v>30525</v>
      </c>
      <c r="T3138" s="29">
        <v>9.56</v>
      </c>
    </row>
    <row r="3139" spans="19:20" x14ac:dyDescent="0.25">
      <c r="S3139" s="78">
        <v>30526</v>
      </c>
      <c r="T3139" s="29">
        <v>9.56</v>
      </c>
    </row>
    <row r="3140" spans="19:20" x14ac:dyDescent="0.25">
      <c r="S3140" s="78">
        <v>30527</v>
      </c>
      <c r="T3140" s="29">
        <v>9.56</v>
      </c>
    </row>
    <row r="3141" spans="19:20" x14ac:dyDescent="0.25">
      <c r="S3141" s="78">
        <v>30528</v>
      </c>
      <c r="T3141" s="29">
        <v>9.56</v>
      </c>
    </row>
    <row r="3142" spans="19:20" x14ac:dyDescent="0.25">
      <c r="S3142" s="78">
        <v>30529</v>
      </c>
      <c r="T3142" s="29">
        <v>9.56</v>
      </c>
    </row>
    <row r="3143" spans="19:20" x14ac:dyDescent="0.25">
      <c r="S3143" s="78">
        <v>30530</v>
      </c>
      <c r="T3143" s="29">
        <v>9.56</v>
      </c>
    </row>
    <row r="3144" spans="19:20" x14ac:dyDescent="0.25">
      <c r="S3144" s="78">
        <v>30531</v>
      </c>
      <c r="T3144" s="29">
        <v>9.56</v>
      </c>
    </row>
    <row r="3145" spans="19:20" x14ac:dyDescent="0.25">
      <c r="S3145" s="78">
        <v>30532</v>
      </c>
      <c r="T3145" s="29">
        <v>9.56</v>
      </c>
    </row>
    <row r="3146" spans="19:20" x14ac:dyDescent="0.25">
      <c r="S3146" s="78">
        <v>30533</v>
      </c>
      <c r="T3146" s="29">
        <v>9.56</v>
      </c>
    </row>
    <row r="3147" spans="19:20" x14ac:dyDescent="0.25">
      <c r="S3147" s="78">
        <v>30534</v>
      </c>
      <c r="T3147" s="29">
        <v>9.56</v>
      </c>
    </row>
    <row r="3148" spans="19:20" x14ac:dyDescent="0.25">
      <c r="S3148" s="78">
        <v>30535</v>
      </c>
      <c r="T3148" s="29">
        <v>9.56</v>
      </c>
    </row>
    <row r="3149" spans="19:20" x14ac:dyDescent="0.25">
      <c r="S3149" s="78">
        <v>30536</v>
      </c>
      <c r="T3149" s="29">
        <v>9.56</v>
      </c>
    </row>
    <row r="3150" spans="19:20" x14ac:dyDescent="0.25">
      <c r="S3150" s="78">
        <v>30537</v>
      </c>
      <c r="T3150" s="29">
        <v>9.44</v>
      </c>
    </row>
    <row r="3151" spans="19:20" x14ac:dyDescent="0.25">
      <c r="S3151" s="78">
        <v>30538</v>
      </c>
      <c r="T3151" s="29">
        <v>9.56</v>
      </c>
    </row>
    <row r="3152" spans="19:20" x14ac:dyDescent="0.25">
      <c r="S3152" s="78">
        <v>30539</v>
      </c>
      <c r="T3152" s="29">
        <v>9.56</v>
      </c>
    </row>
    <row r="3153" spans="19:20" x14ac:dyDescent="0.25">
      <c r="S3153" s="78">
        <v>30540</v>
      </c>
      <c r="T3153" s="29">
        <v>9.56</v>
      </c>
    </row>
    <row r="3154" spans="19:20" x14ac:dyDescent="0.25">
      <c r="S3154" s="78">
        <v>30541</v>
      </c>
      <c r="T3154" s="29">
        <v>9.56</v>
      </c>
    </row>
    <row r="3155" spans="19:20" x14ac:dyDescent="0.25">
      <c r="S3155" s="78">
        <v>30542</v>
      </c>
      <c r="T3155" s="29">
        <v>9.56</v>
      </c>
    </row>
    <row r="3156" spans="19:20" x14ac:dyDescent="0.25">
      <c r="S3156" s="78">
        <v>30543</v>
      </c>
      <c r="T3156" s="29">
        <v>9.56</v>
      </c>
    </row>
    <row r="3157" spans="19:20" x14ac:dyDescent="0.25">
      <c r="S3157" s="78">
        <v>30544</v>
      </c>
      <c r="T3157" s="29">
        <v>9.56</v>
      </c>
    </row>
    <row r="3158" spans="19:20" x14ac:dyDescent="0.25">
      <c r="S3158" s="78">
        <v>30545</v>
      </c>
      <c r="T3158" s="29">
        <v>9.56</v>
      </c>
    </row>
    <row r="3159" spans="19:20" x14ac:dyDescent="0.25">
      <c r="S3159" s="78">
        <v>30546</v>
      </c>
      <c r="T3159" s="29">
        <v>9.56</v>
      </c>
    </row>
    <row r="3160" spans="19:20" x14ac:dyDescent="0.25">
      <c r="S3160" s="78">
        <v>30547</v>
      </c>
      <c r="T3160" s="29">
        <v>9.56</v>
      </c>
    </row>
    <row r="3161" spans="19:20" x14ac:dyDescent="0.25">
      <c r="S3161" s="78">
        <v>30548</v>
      </c>
      <c r="T3161" s="29">
        <v>9.56</v>
      </c>
    </row>
    <row r="3162" spans="19:20" x14ac:dyDescent="0.25">
      <c r="S3162" s="78">
        <v>30549</v>
      </c>
      <c r="T3162" s="29">
        <v>9.56</v>
      </c>
    </row>
    <row r="3163" spans="19:20" x14ac:dyDescent="0.25">
      <c r="S3163" s="78">
        <v>30550</v>
      </c>
      <c r="T3163" s="29">
        <v>9.56</v>
      </c>
    </row>
    <row r="3164" spans="19:20" x14ac:dyDescent="0.25">
      <c r="S3164" s="78">
        <v>30551</v>
      </c>
      <c r="T3164" s="29">
        <v>9.56</v>
      </c>
    </row>
    <row r="3165" spans="19:20" x14ac:dyDescent="0.25">
      <c r="S3165" s="78">
        <v>30552</v>
      </c>
      <c r="T3165" s="29">
        <v>9.56</v>
      </c>
    </row>
    <row r="3166" spans="19:20" x14ac:dyDescent="0.25">
      <c r="S3166" s="78">
        <v>30553</v>
      </c>
      <c r="T3166" s="29">
        <v>9.56</v>
      </c>
    </row>
    <row r="3167" spans="19:20" x14ac:dyDescent="0.25">
      <c r="S3167" s="78">
        <v>30554</v>
      </c>
      <c r="T3167" s="29">
        <v>9.56</v>
      </c>
    </row>
    <row r="3168" spans="19:20" x14ac:dyDescent="0.25">
      <c r="S3168" s="78">
        <v>30555</v>
      </c>
      <c r="T3168" s="29">
        <v>9.56</v>
      </c>
    </row>
    <row r="3169" spans="19:20" x14ac:dyDescent="0.25">
      <c r="S3169" s="78">
        <v>30556</v>
      </c>
      <c r="T3169" s="29">
        <v>9.56</v>
      </c>
    </row>
    <row r="3170" spans="19:20" x14ac:dyDescent="0.25">
      <c r="S3170" s="78">
        <v>30557</v>
      </c>
      <c r="T3170" s="29">
        <v>9.56</v>
      </c>
    </row>
    <row r="3171" spans="19:20" x14ac:dyDescent="0.25">
      <c r="S3171" s="78">
        <v>30558</v>
      </c>
      <c r="T3171" s="29">
        <v>9.56</v>
      </c>
    </row>
    <row r="3172" spans="19:20" x14ac:dyDescent="0.25">
      <c r="S3172" s="78">
        <v>30559</v>
      </c>
      <c r="T3172" s="29">
        <v>9.56</v>
      </c>
    </row>
    <row r="3173" spans="19:20" x14ac:dyDescent="0.25">
      <c r="S3173" s="78">
        <v>30560</v>
      </c>
      <c r="T3173" s="29">
        <v>9.56</v>
      </c>
    </row>
    <row r="3174" spans="19:20" x14ac:dyDescent="0.25">
      <c r="S3174" s="78">
        <v>30561</v>
      </c>
      <c r="T3174" s="29">
        <v>9.56</v>
      </c>
    </row>
    <row r="3175" spans="19:20" x14ac:dyDescent="0.25">
      <c r="S3175" s="78">
        <v>30562</v>
      </c>
      <c r="T3175" s="29">
        <v>9.56</v>
      </c>
    </row>
    <row r="3176" spans="19:20" x14ac:dyDescent="0.25">
      <c r="S3176" s="78">
        <v>30563</v>
      </c>
      <c r="T3176" s="29">
        <v>9.56</v>
      </c>
    </row>
    <row r="3177" spans="19:20" x14ac:dyDescent="0.25">
      <c r="S3177" s="78">
        <v>30564</v>
      </c>
      <c r="T3177" s="29">
        <v>9.56</v>
      </c>
    </row>
    <row r="3178" spans="19:20" x14ac:dyDescent="0.25">
      <c r="S3178" s="78">
        <v>30565</v>
      </c>
      <c r="T3178" s="29">
        <v>9.56</v>
      </c>
    </row>
    <row r="3179" spans="19:20" x14ac:dyDescent="0.25">
      <c r="S3179" s="78">
        <v>30566</v>
      </c>
      <c r="T3179" s="29">
        <v>9.56</v>
      </c>
    </row>
    <row r="3180" spans="19:20" x14ac:dyDescent="0.25">
      <c r="S3180" s="78">
        <v>30567</v>
      </c>
      <c r="T3180" s="29">
        <v>9.56</v>
      </c>
    </row>
    <row r="3181" spans="19:20" x14ac:dyDescent="0.25">
      <c r="S3181" s="78">
        <v>30568</v>
      </c>
      <c r="T3181" s="29">
        <v>9.56</v>
      </c>
    </row>
    <row r="3182" spans="19:20" x14ac:dyDescent="0.25">
      <c r="S3182" s="78">
        <v>30569</v>
      </c>
      <c r="T3182" s="29">
        <v>9.56</v>
      </c>
    </row>
    <row r="3183" spans="19:20" x14ac:dyDescent="0.25">
      <c r="S3183" s="78">
        <v>30570</v>
      </c>
      <c r="T3183" s="29">
        <v>9.56</v>
      </c>
    </row>
    <row r="3184" spans="19:20" x14ac:dyDescent="0.25">
      <c r="S3184" s="78">
        <v>30571</v>
      </c>
      <c r="T3184" s="29">
        <v>9.56</v>
      </c>
    </row>
    <row r="3185" spans="19:20" x14ac:dyDescent="0.25">
      <c r="S3185" s="78">
        <v>30572</v>
      </c>
      <c r="T3185" s="29">
        <v>9.56</v>
      </c>
    </row>
    <row r="3186" spans="19:20" x14ac:dyDescent="0.25">
      <c r="S3186" s="78">
        <v>30573</v>
      </c>
      <c r="T3186" s="29">
        <v>9.56</v>
      </c>
    </row>
    <row r="3187" spans="19:20" x14ac:dyDescent="0.25">
      <c r="S3187" s="78">
        <v>30574</v>
      </c>
      <c r="T3187" s="29">
        <v>9.56</v>
      </c>
    </row>
    <row r="3188" spans="19:20" x14ac:dyDescent="0.25">
      <c r="S3188" s="78">
        <v>30575</v>
      </c>
      <c r="T3188" s="29">
        <v>9.56</v>
      </c>
    </row>
    <row r="3189" spans="19:20" x14ac:dyDescent="0.25">
      <c r="S3189" s="78">
        <v>30576</v>
      </c>
      <c r="T3189" s="29">
        <v>9.56</v>
      </c>
    </row>
    <row r="3190" spans="19:20" x14ac:dyDescent="0.25">
      <c r="S3190" s="78">
        <v>30577</v>
      </c>
      <c r="T3190" s="29">
        <v>9.56</v>
      </c>
    </row>
    <row r="3191" spans="19:20" x14ac:dyDescent="0.25">
      <c r="S3191" s="78">
        <v>30578</v>
      </c>
      <c r="T3191" s="29">
        <v>9.56</v>
      </c>
    </row>
    <row r="3192" spans="19:20" x14ac:dyDescent="0.25">
      <c r="S3192" s="78">
        <v>30579</v>
      </c>
      <c r="T3192" s="29">
        <v>9.56</v>
      </c>
    </row>
    <row r="3193" spans="19:20" x14ac:dyDescent="0.25">
      <c r="S3193" s="78">
        <v>30580</v>
      </c>
      <c r="T3193" s="29">
        <v>9.56</v>
      </c>
    </row>
    <row r="3194" spans="19:20" x14ac:dyDescent="0.25">
      <c r="S3194" s="78">
        <v>30581</v>
      </c>
      <c r="T3194" s="29">
        <v>9.56</v>
      </c>
    </row>
    <row r="3195" spans="19:20" x14ac:dyDescent="0.25">
      <c r="S3195" s="78">
        <v>30582</v>
      </c>
      <c r="T3195" s="29">
        <v>9.56</v>
      </c>
    </row>
    <row r="3196" spans="19:20" x14ac:dyDescent="0.25">
      <c r="S3196" s="78">
        <v>30583</v>
      </c>
      <c r="T3196" s="29">
        <v>9.56</v>
      </c>
    </row>
    <row r="3197" spans="19:20" x14ac:dyDescent="0.25">
      <c r="S3197" s="78">
        <v>30584</v>
      </c>
      <c r="T3197" s="29">
        <v>9.56</v>
      </c>
    </row>
    <row r="3198" spans="19:20" x14ac:dyDescent="0.25">
      <c r="S3198" s="78">
        <v>30585</v>
      </c>
      <c r="T3198" s="29">
        <v>9.56</v>
      </c>
    </row>
    <row r="3199" spans="19:20" x14ac:dyDescent="0.25">
      <c r="S3199" s="78">
        <v>30586</v>
      </c>
      <c r="T3199" s="29">
        <v>9.56</v>
      </c>
    </row>
    <row r="3200" spans="19:20" x14ac:dyDescent="0.25">
      <c r="S3200" s="78">
        <v>30587</v>
      </c>
      <c r="T3200" s="29">
        <v>9.56</v>
      </c>
    </row>
    <row r="3201" spans="19:21" x14ac:dyDescent="0.25">
      <c r="S3201" s="78">
        <v>30588</v>
      </c>
      <c r="T3201" s="29">
        <v>9.56</v>
      </c>
    </row>
    <row r="3202" spans="19:21" x14ac:dyDescent="0.25">
      <c r="S3202" s="78">
        <v>30589</v>
      </c>
      <c r="T3202" s="29">
        <v>9.56</v>
      </c>
      <c r="U3202" s="40">
        <f>AVERAGE(T3111:T3202)</f>
        <v>9.5586956521738902</v>
      </c>
    </row>
    <row r="3203" spans="19:21" x14ac:dyDescent="0.25">
      <c r="S3203" s="78">
        <v>30590</v>
      </c>
      <c r="T3203" s="29">
        <v>9.56</v>
      </c>
    </row>
    <row r="3204" spans="19:21" x14ac:dyDescent="0.25">
      <c r="S3204" s="78">
        <v>30591</v>
      </c>
      <c r="T3204" s="29">
        <v>9.56</v>
      </c>
    </row>
    <row r="3205" spans="19:21" x14ac:dyDescent="0.25">
      <c r="S3205" s="78">
        <v>30592</v>
      </c>
      <c r="T3205" s="29">
        <v>9.06</v>
      </c>
    </row>
    <row r="3206" spans="19:21" x14ac:dyDescent="0.25">
      <c r="S3206" s="78">
        <v>30593</v>
      </c>
      <c r="T3206" s="29">
        <v>9.06</v>
      </c>
    </row>
    <row r="3207" spans="19:21" x14ac:dyDescent="0.25">
      <c r="S3207" s="78">
        <v>30594</v>
      </c>
      <c r="T3207" s="29">
        <v>9.06</v>
      </c>
    </row>
    <row r="3208" spans="19:21" x14ac:dyDescent="0.25">
      <c r="S3208" s="78">
        <v>30595</v>
      </c>
      <c r="T3208" s="29">
        <v>9.06</v>
      </c>
    </row>
    <row r="3209" spans="19:21" x14ac:dyDescent="0.25">
      <c r="S3209" s="78">
        <v>30596</v>
      </c>
      <c r="T3209" s="29">
        <v>9.06</v>
      </c>
    </row>
    <row r="3210" spans="19:21" x14ac:dyDescent="0.25">
      <c r="S3210" s="78">
        <v>30597</v>
      </c>
      <c r="T3210" s="29">
        <v>9.06</v>
      </c>
    </row>
    <row r="3211" spans="19:21" x14ac:dyDescent="0.25">
      <c r="S3211" s="78">
        <v>30598</v>
      </c>
      <c r="T3211" s="29">
        <v>9.06</v>
      </c>
    </row>
    <row r="3212" spans="19:21" x14ac:dyDescent="0.25">
      <c r="S3212" s="78">
        <v>30599</v>
      </c>
      <c r="T3212" s="29">
        <v>9.06</v>
      </c>
    </row>
    <row r="3213" spans="19:21" x14ac:dyDescent="0.25">
      <c r="S3213" s="78">
        <v>30600</v>
      </c>
      <c r="T3213" s="29">
        <v>9.06</v>
      </c>
    </row>
    <row r="3214" spans="19:21" x14ac:dyDescent="0.25">
      <c r="S3214" s="78">
        <v>30601</v>
      </c>
      <c r="T3214" s="29">
        <v>9.06</v>
      </c>
    </row>
    <row r="3215" spans="19:21" x14ac:dyDescent="0.25">
      <c r="S3215" s="78">
        <v>30602</v>
      </c>
      <c r="T3215" s="29">
        <v>9.06</v>
      </c>
    </row>
    <row r="3216" spans="19:21" x14ac:dyDescent="0.25">
      <c r="S3216" s="78">
        <v>30603</v>
      </c>
      <c r="T3216" s="29">
        <v>9.06</v>
      </c>
    </row>
    <row r="3217" spans="19:20" x14ac:dyDescent="0.25">
      <c r="S3217" s="78">
        <v>30604</v>
      </c>
      <c r="T3217" s="29">
        <v>9.06</v>
      </c>
    </row>
    <row r="3218" spans="19:20" x14ac:dyDescent="0.25">
      <c r="S3218" s="78">
        <v>30605</v>
      </c>
      <c r="T3218" s="29">
        <v>9.06</v>
      </c>
    </row>
    <row r="3219" spans="19:20" x14ac:dyDescent="0.25">
      <c r="S3219" s="78">
        <v>30606</v>
      </c>
      <c r="T3219" s="29">
        <v>9.06</v>
      </c>
    </row>
    <row r="3220" spans="19:20" x14ac:dyDescent="0.25">
      <c r="S3220" s="78">
        <v>30607</v>
      </c>
      <c r="T3220" s="29">
        <v>9.06</v>
      </c>
    </row>
    <row r="3221" spans="19:20" x14ac:dyDescent="0.25">
      <c r="S3221" s="78">
        <v>30608</v>
      </c>
      <c r="T3221" s="29">
        <v>9.06</v>
      </c>
    </row>
    <row r="3222" spans="19:20" x14ac:dyDescent="0.25">
      <c r="S3222" s="78">
        <v>30609</v>
      </c>
      <c r="T3222" s="29">
        <v>9.06</v>
      </c>
    </row>
    <row r="3223" spans="19:20" x14ac:dyDescent="0.25">
      <c r="S3223" s="78">
        <v>30610</v>
      </c>
      <c r="T3223" s="29">
        <v>9.06</v>
      </c>
    </row>
    <row r="3224" spans="19:20" x14ac:dyDescent="0.25">
      <c r="S3224" s="78">
        <v>30611</v>
      </c>
      <c r="T3224" s="29">
        <v>9.06</v>
      </c>
    </row>
    <row r="3225" spans="19:20" x14ac:dyDescent="0.25">
      <c r="S3225" s="78">
        <v>30612</v>
      </c>
      <c r="T3225" s="29">
        <v>9.06</v>
      </c>
    </row>
    <row r="3226" spans="19:20" x14ac:dyDescent="0.25">
      <c r="S3226" s="78">
        <v>30613</v>
      </c>
      <c r="T3226" s="29">
        <v>9.06</v>
      </c>
    </row>
    <row r="3227" spans="19:20" x14ac:dyDescent="0.25">
      <c r="S3227" s="78">
        <v>30614</v>
      </c>
      <c r="T3227" s="29">
        <v>9.06</v>
      </c>
    </row>
    <row r="3228" spans="19:20" x14ac:dyDescent="0.25">
      <c r="S3228" s="78">
        <v>30615</v>
      </c>
      <c r="T3228" s="29">
        <v>9.06</v>
      </c>
    </row>
    <row r="3229" spans="19:20" x14ac:dyDescent="0.25">
      <c r="S3229" s="78">
        <v>30616</v>
      </c>
      <c r="T3229" s="29">
        <v>9.06</v>
      </c>
    </row>
    <row r="3230" spans="19:20" x14ac:dyDescent="0.25">
      <c r="S3230" s="78">
        <v>30617</v>
      </c>
      <c r="T3230" s="29">
        <v>9.06</v>
      </c>
    </row>
    <row r="3231" spans="19:20" x14ac:dyDescent="0.25">
      <c r="S3231" s="78">
        <v>30618</v>
      </c>
      <c r="T3231" s="29">
        <v>9.06</v>
      </c>
    </row>
    <row r="3232" spans="19:20" x14ac:dyDescent="0.25">
      <c r="S3232" s="78">
        <v>30619</v>
      </c>
      <c r="T3232" s="29">
        <v>9.06</v>
      </c>
    </row>
    <row r="3233" spans="19:20" x14ac:dyDescent="0.25">
      <c r="S3233" s="78">
        <v>30620</v>
      </c>
      <c r="T3233" s="29">
        <v>9.06</v>
      </c>
    </row>
    <row r="3234" spans="19:20" x14ac:dyDescent="0.25">
      <c r="S3234" s="78">
        <v>30621</v>
      </c>
      <c r="T3234" s="29">
        <v>9.06</v>
      </c>
    </row>
    <row r="3235" spans="19:20" x14ac:dyDescent="0.25">
      <c r="S3235" s="78">
        <v>30622</v>
      </c>
      <c r="T3235" s="29">
        <v>9.06</v>
      </c>
    </row>
    <row r="3236" spans="19:20" x14ac:dyDescent="0.25">
      <c r="S3236" s="78">
        <v>30623</v>
      </c>
      <c r="T3236" s="29">
        <v>9.06</v>
      </c>
    </row>
    <row r="3237" spans="19:20" x14ac:dyDescent="0.25">
      <c r="S3237" s="78">
        <v>30624</v>
      </c>
      <c r="T3237" s="29">
        <v>9.06</v>
      </c>
    </row>
    <row r="3238" spans="19:20" x14ac:dyDescent="0.25">
      <c r="S3238" s="78">
        <v>30625</v>
      </c>
      <c r="T3238" s="29">
        <v>9.06</v>
      </c>
    </row>
    <row r="3239" spans="19:20" x14ac:dyDescent="0.25">
      <c r="S3239" s="78">
        <v>30626</v>
      </c>
      <c r="T3239" s="29">
        <v>9.06</v>
      </c>
    </row>
    <row r="3240" spans="19:20" x14ac:dyDescent="0.25">
      <c r="S3240" s="78">
        <v>30627</v>
      </c>
      <c r="T3240" s="29">
        <v>9.06</v>
      </c>
    </row>
    <row r="3241" spans="19:20" x14ac:dyDescent="0.25">
      <c r="S3241" s="78">
        <v>30628</v>
      </c>
      <c r="T3241" s="29">
        <v>9.06</v>
      </c>
    </row>
    <row r="3242" spans="19:20" x14ac:dyDescent="0.25">
      <c r="S3242" s="78">
        <v>30629</v>
      </c>
      <c r="T3242" s="29">
        <v>9.06</v>
      </c>
    </row>
    <row r="3243" spans="19:20" x14ac:dyDescent="0.25">
      <c r="S3243" s="78">
        <v>30630</v>
      </c>
      <c r="T3243" s="29">
        <v>9.06</v>
      </c>
    </row>
    <row r="3244" spans="19:20" x14ac:dyDescent="0.25">
      <c r="S3244" s="78">
        <v>30631</v>
      </c>
      <c r="T3244" s="29">
        <v>9.06</v>
      </c>
    </row>
    <row r="3245" spans="19:20" x14ac:dyDescent="0.25">
      <c r="S3245" s="78">
        <v>30632</v>
      </c>
      <c r="T3245" s="29">
        <v>9.06</v>
      </c>
    </row>
    <row r="3246" spans="19:20" x14ac:dyDescent="0.25">
      <c r="S3246" s="78">
        <v>30633</v>
      </c>
      <c r="T3246" s="29">
        <v>9.06</v>
      </c>
    </row>
    <row r="3247" spans="19:20" x14ac:dyDescent="0.25">
      <c r="S3247" s="78">
        <v>30634</v>
      </c>
      <c r="T3247" s="29">
        <v>9.06</v>
      </c>
    </row>
    <row r="3248" spans="19:20" x14ac:dyDescent="0.25">
      <c r="S3248" s="78">
        <v>30635</v>
      </c>
      <c r="T3248" s="29">
        <v>9.06</v>
      </c>
    </row>
    <row r="3249" spans="19:20" x14ac:dyDescent="0.25">
      <c r="S3249" s="78">
        <v>30636</v>
      </c>
      <c r="T3249" s="29">
        <v>9.06</v>
      </c>
    </row>
    <row r="3250" spans="19:20" x14ac:dyDescent="0.25">
      <c r="S3250" s="78">
        <v>30637</v>
      </c>
      <c r="T3250" s="29">
        <v>9.06</v>
      </c>
    </row>
    <row r="3251" spans="19:20" x14ac:dyDescent="0.25">
      <c r="S3251" s="78">
        <v>30638</v>
      </c>
      <c r="T3251" s="29">
        <v>9.06</v>
      </c>
    </row>
    <row r="3252" spans="19:20" x14ac:dyDescent="0.25">
      <c r="S3252" s="78">
        <v>30639</v>
      </c>
      <c r="T3252" s="29">
        <v>9.06</v>
      </c>
    </row>
    <row r="3253" spans="19:20" x14ac:dyDescent="0.25">
      <c r="S3253" s="78">
        <v>30640</v>
      </c>
      <c r="T3253" s="29">
        <v>9.06</v>
      </c>
    </row>
    <row r="3254" spans="19:20" x14ac:dyDescent="0.25">
      <c r="S3254" s="78">
        <v>30641</v>
      </c>
      <c r="T3254" s="29">
        <v>9.06</v>
      </c>
    </row>
    <row r="3255" spans="19:20" x14ac:dyDescent="0.25">
      <c r="S3255" s="78">
        <v>30642</v>
      </c>
      <c r="T3255" s="29">
        <v>9.06</v>
      </c>
    </row>
    <row r="3256" spans="19:20" x14ac:dyDescent="0.25">
      <c r="S3256" s="78">
        <v>30643</v>
      </c>
      <c r="T3256" s="29">
        <v>9.06</v>
      </c>
    </row>
    <row r="3257" spans="19:20" x14ac:dyDescent="0.25">
      <c r="S3257" s="78">
        <v>30644</v>
      </c>
      <c r="T3257" s="29">
        <v>9.06</v>
      </c>
    </row>
    <row r="3258" spans="19:20" x14ac:dyDescent="0.25">
      <c r="S3258" s="78">
        <v>30645</v>
      </c>
      <c r="T3258" s="29">
        <v>9.06</v>
      </c>
    </row>
    <row r="3259" spans="19:20" x14ac:dyDescent="0.25">
      <c r="S3259" s="78">
        <v>30646</v>
      </c>
      <c r="T3259" s="29">
        <v>9.06</v>
      </c>
    </row>
    <row r="3260" spans="19:20" x14ac:dyDescent="0.25">
      <c r="S3260" s="78">
        <v>30647</v>
      </c>
      <c r="T3260" s="29">
        <v>9.06</v>
      </c>
    </row>
    <row r="3261" spans="19:20" x14ac:dyDescent="0.25">
      <c r="S3261" s="78">
        <v>30648</v>
      </c>
      <c r="T3261" s="29">
        <v>9.06</v>
      </c>
    </row>
    <row r="3262" spans="19:20" x14ac:dyDescent="0.25">
      <c r="S3262" s="78">
        <v>30649</v>
      </c>
      <c r="T3262" s="29">
        <v>9.06</v>
      </c>
    </row>
    <row r="3263" spans="19:20" x14ac:dyDescent="0.25">
      <c r="S3263" s="78">
        <v>30650</v>
      </c>
      <c r="T3263" s="29">
        <v>9.06</v>
      </c>
    </row>
    <row r="3264" spans="19:20" x14ac:dyDescent="0.25">
      <c r="S3264" s="78">
        <v>30651</v>
      </c>
      <c r="T3264" s="29">
        <v>9.06</v>
      </c>
    </row>
    <row r="3265" spans="19:20" x14ac:dyDescent="0.25">
      <c r="S3265" s="78">
        <v>30652</v>
      </c>
      <c r="T3265" s="29">
        <v>9.06</v>
      </c>
    </row>
    <row r="3266" spans="19:20" x14ac:dyDescent="0.25">
      <c r="S3266" s="78">
        <v>30653</v>
      </c>
      <c r="T3266" s="29">
        <v>9.06</v>
      </c>
    </row>
    <row r="3267" spans="19:20" x14ac:dyDescent="0.25">
      <c r="S3267" s="78">
        <v>30654</v>
      </c>
      <c r="T3267" s="29">
        <v>9.06</v>
      </c>
    </row>
    <row r="3268" spans="19:20" x14ac:dyDescent="0.25">
      <c r="S3268" s="78">
        <v>30655</v>
      </c>
      <c r="T3268" s="29">
        <v>9.06</v>
      </c>
    </row>
    <row r="3269" spans="19:20" x14ac:dyDescent="0.25">
      <c r="S3269" s="78">
        <v>30656</v>
      </c>
      <c r="T3269" s="29">
        <v>9.06</v>
      </c>
    </row>
    <row r="3270" spans="19:20" x14ac:dyDescent="0.25">
      <c r="S3270" s="78">
        <v>30657</v>
      </c>
      <c r="T3270" s="29">
        <v>9.06</v>
      </c>
    </row>
    <row r="3271" spans="19:20" x14ac:dyDescent="0.25">
      <c r="S3271" s="78">
        <v>30658</v>
      </c>
      <c r="T3271" s="29">
        <v>9.06</v>
      </c>
    </row>
    <row r="3272" spans="19:20" x14ac:dyDescent="0.25">
      <c r="S3272" s="78">
        <v>30659</v>
      </c>
      <c r="T3272" s="29">
        <v>9.06</v>
      </c>
    </row>
    <row r="3273" spans="19:20" x14ac:dyDescent="0.25">
      <c r="S3273" s="78">
        <v>30660</v>
      </c>
      <c r="T3273" s="29">
        <v>9.06</v>
      </c>
    </row>
    <row r="3274" spans="19:20" x14ac:dyDescent="0.25">
      <c r="S3274" s="78">
        <v>30661</v>
      </c>
      <c r="T3274" s="29">
        <v>9.06</v>
      </c>
    </row>
    <row r="3275" spans="19:20" x14ac:dyDescent="0.25">
      <c r="S3275" s="78">
        <v>30662</v>
      </c>
      <c r="T3275" s="29">
        <v>9.06</v>
      </c>
    </row>
    <row r="3276" spans="19:20" x14ac:dyDescent="0.25">
      <c r="S3276" s="78">
        <v>30663</v>
      </c>
      <c r="T3276" s="29">
        <v>9.06</v>
      </c>
    </row>
    <row r="3277" spans="19:20" x14ac:dyDescent="0.25">
      <c r="S3277" s="78">
        <v>30664</v>
      </c>
      <c r="T3277" s="29">
        <v>9.06</v>
      </c>
    </row>
    <row r="3278" spans="19:20" x14ac:dyDescent="0.25">
      <c r="S3278" s="78">
        <v>30665</v>
      </c>
      <c r="T3278" s="29">
        <v>9.06</v>
      </c>
    </row>
    <row r="3279" spans="19:20" x14ac:dyDescent="0.25">
      <c r="S3279" s="78">
        <v>30666</v>
      </c>
      <c r="T3279" s="29">
        <v>9.06</v>
      </c>
    </row>
    <row r="3280" spans="19:20" x14ac:dyDescent="0.25">
      <c r="S3280" s="78">
        <v>30667</v>
      </c>
      <c r="T3280" s="29">
        <v>9.06</v>
      </c>
    </row>
    <row r="3281" spans="19:21" x14ac:dyDescent="0.25">
      <c r="S3281" s="78">
        <v>30668</v>
      </c>
      <c r="T3281" s="29">
        <v>9.06</v>
      </c>
    </row>
    <row r="3282" spans="19:21" x14ac:dyDescent="0.25">
      <c r="S3282" s="78">
        <v>30669</v>
      </c>
      <c r="T3282" s="29">
        <v>9.06</v>
      </c>
    </row>
    <row r="3283" spans="19:21" x14ac:dyDescent="0.25">
      <c r="S3283" s="78">
        <v>30670</v>
      </c>
      <c r="T3283" s="29">
        <v>9.06</v>
      </c>
    </row>
    <row r="3284" spans="19:21" x14ac:dyDescent="0.25">
      <c r="S3284" s="78">
        <v>30671</v>
      </c>
      <c r="T3284" s="29">
        <v>9.06</v>
      </c>
    </row>
    <row r="3285" spans="19:21" x14ac:dyDescent="0.25">
      <c r="S3285" s="78">
        <v>30672</v>
      </c>
      <c r="T3285" s="29">
        <v>9.06</v>
      </c>
    </row>
    <row r="3286" spans="19:21" x14ac:dyDescent="0.25">
      <c r="S3286" s="78">
        <v>30673</v>
      </c>
      <c r="T3286" s="29">
        <v>9.06</v>
      </c>
    </row>
    <row r="3287" spans="19:21" x14ac:dyDescent="0.25">
      <c r="S3287" s="78">
        <v>30674</v>
      </c>
      <c r="T3287" s="29">
        <v>9.06</v>
      </c>
    </row>
    <row r="3288" spans="19:21" x14ac:dyDescent="0.25">
      <c r="S3288" s="78">
        <v>30675</v>
      </c>
      <c r="T3288" s="29">
        <v>9.06</v>
      </c>
    </row>
    <row r="3289" spans="19:21" x14ac:dyDescent="0.25">
      <c r="S3289" s="78">
        <v>30676</v>
      </c>
      <c r="T3289" s="29">
        <v>9.06</v>
      </c>
    </row>
    <row r="3290" spans="19:21" x14ac:dyDescent="0.25">
      <c r="S3290" s="78">
        <v>30677</v>
      </c>
      <c r="T3290" s="29">
        <v>9.06</v>
      </c>
    </row>
    <row r="3291" spans="19:21" x14ac:dyDescent="0.25">
      <c r="S3291" s="78">
        <v>30678</v>
      </c>
      <c r="T3291" s="29">
        <v>9.06</v>
      </c>
    </row>
    <row r="3292" spans="19:21" x14ac:dyDescent="0.25">
      <c r="S3292" s="78">
        <v>30679</v>
      </c>
      <c r="T3292" s="29">
        <v>9.06</v>
      </c>
    </row>
    <row r="3293" spans="19:21" x14ac:dyDescent="0.25">
      <c r="S3293" s="78">
        <v>30680</v>
      </c>
      <c r="T3293" s="29">
        <v>9.06</v>
      </c>
    </row>
    <row r="3294" spans="19:21" x14ac:dyDescent="0.25">
      <c r="S3294" s="78">
        <v>30681</v>
      </c>
      <c r="T3294" s="29">
        <v>9.06</v>
      </c>
      <c r="U3294" s="40">
        <f>AVERAGE(T3203:T3294)</f>
        <v>9.0708695652173716</v>
      </c>
    </row>
    <row r="3295" spans="19:21" x14ac:dyDescent="0.25">
      <c r="S3295" s="78">
        <v>30682</v>
      </c>
      <c r="T3295" s="29">
        <v>9.06</v>
      </c>
    </row>
    <row r="3296" spans="19:21" x14ac:dyDescent="0.25">
      <c r="S3296" s="78">
        <v>30683</v>
      </c>
      <c r="T3296" s="29">
        <v>9.06</v>
      </c>
    </row>
    <row r="3297" spans="19:20" x14ac:dyDescent="0.25">
      <c r="S3297" s="78">
        <v>30684</v>
      </c>
      <c r="T3297" s="29">
        <v>9.06</v>
      </c>
    </row>
    <row r="3298" spans="19:20" x14ac:dyDescent="0.25">
      <c r="S3298" s="78">
        <v>30685</v>
      </c>
      <c r="T3298" s="29">
        <v>9.06</v>
      </c>
    </row>
    <row r="3299" spans="19:20" x14ac:dyDescent="0.25">
      <c r="S3299" s="78">
        <v>30686</v>
      </c>
      <c r="T3299" s="29">
        <v>9.06</v>
      </c>
    </row>
    <row r="3300" spans="19:20" x14ac:dyDescent="0.25">
      <c r="S3300" s="78">
        <v>30687</v>
      </c>
      <c r="T3300" s="29">
        <v>9.06</v>
      </c>
    </row>
    <row r="3301" spans="19:20" x14ac:dyDescent="0.25">
      <c r="S3301" s="78">
        <v>30688</v>
      </c>
      <c r="T3301" s="29">
        <v>9.06</v>
      </c>
    </row>
    <row r="3302" spans="19:20" x14ac:dyDescent="0.25">
      <c r="S3302" s="78">
        <v>30689</v>
      </c>
      <c r="T3302" s="29">
        <v>9.06</v>
      </c>
    </row>
    <row r="3303" spans="19:20" x14ac:dyDescent="0.25">
      <c r="S3303" s="78">
        <v>30690</v>
      </c>
      <c r="T3303" s="29">
        <v>9.06</v>
      </c>
    </row>
    <row r="3304" spans="19:20" x14ac:dyDescent="0.25">
      <c r="S3304" s="78">
        <v>30691</v>
      </c>
      <c r="T3304" s="29">
        <v>9.06</v>
      </c>
    </row>
    <row r="3305" spans="19:20" x14ac:dyDescent="0.25">
      <c r="S3305" s="78">
        <v>30692</v>
      </c>
      <c r="T3305" s="29">
        <v>9.06</v>
      </c>
    </row>
    <row r="3306" spans="19:20" x14ac:dyDescent="0.25">
      <c r="S3306" s="78">
        <v>30693</v>
      </c>
      <c r="T3306" s="29">
        <v>9.06</v>
      </c>
    </row>
    <row r="3307" spans="19:20" x14ac:dyDescent="0.25">
      <c r="S3307" s="78">
        <v>30694</v>
      </c>
      <c r="T3307" s="29">
        <v>9.06</v>
      </c>
    </row>
    <row r="3308" spans="19:20" x14ac:dyDescent="0.25">
      <c r="S3308" s="78">
        <v>30695</v>
      </c>
      <c r="T3308" s="29">
        <v>9.06</v>
      </c>
    </row>
    <row r="3309" spans="19:20" x14ac:dyDescent="0.25">
      <c r="S3309" s="78">
        <v>30696</v>
      </c>
      <c r="T3309" s="29">
        <v>9.06</v>
      </c>
    </row>
    <row r="3310" spans="19:20" x14ac:dyDescent="0.25">
      <c r="S3310" s="78">
        <v>30697</v>
      </c>
      <c r="T3310" s="29">
        <v>9.06</v>
      </c>
    </row>
    <row r="3311" spans="19:20" x14ac:dyDescent="0.25">
      <c r="S3311" s="78">
        <v>30698</v>
      </c>
      <c r="T3311" s="29">
        <v>9.06</v>
      </c>
    </row>
    <row r="3312" spans="19:20" x14ac:dyDescent="0.25">
      <c r="S3312" s="78">
        <v>30699</v>
      </c>
      <c r="T3312" s="29">
        <v>9.06</v>
      </c>
    </row>
    <row r="3313" spans="19:20" x14ac:dyDescent="0.25">
      <c r="S3313" s="78">
        <v>30700</v>
      </c>
      <c r="T3313" s="29">
        <v>9.06</v>
      </c>
    </row>
    <row r="3314" spans="19:20" x14ac:dyDescent="0.25">
      <c r="S3314" s="78">
        <v>30701</v>
      </c>
      <c r="T3314" s="29">
        <v>9.06</v>
      </c>
    </row>
    <row r="3315" spans="19:20" x14ac:dyDescent="0.25">
      <c r="S3315" s="78">
        <v>30702</v>
      </c>
      <c r="T3315" s="29">
        <v>9.06</v>
      </c>
    </row>
    <row r="3316" spans="19:20" x14ac:dyDescent="0.25">
      <c r="S3316" s="78">
        <v>30703</v>
      </c>
      <c r="T3316" s="29">
        <v>9.06</v>
      </c>
    </row>
    <row r="3317" spans="19:20" x14ac:dyDescent="0.25">
      <c r="S3317" s="78">
        <v>30704</v>
      </c>
      <c r="T3317" s="29">
        <v>9.06</v>
      </c>
    </row>
    <row r="3318" spans="19:20" x14ac:dyDescent="0.25">
      <c r="S3318" s="78">
        <v>30705</v>
      </c>
      <c r="T3318" s="29">
        <v>9.06</v>
      </c>
    </row>
    <row r="3319" spans="19:20" x14ac:dyDescent="0.25">
      <c r="S3319" s="78">
        <v>30706</v>
      </c>
      <c r="T3319" s="29">
        <v>9.06</v>
      </c>
    </row>
    <row r="3320" spans="19:20" x14ac:dyDescent="0.25">
      <c r="S3320" s="78">
        <v>30707</v>
      </c>
      <c r="T3320" s="29">
        <v>9.06</v>
      </c>
    </row>
    <row r="3321" spans="19:20" x14ac:dyDescent="0.25">
      <c r="S3321" s="78">
        <v>30708</v>
      </c>
      <c r="T3321" s="29">
        <v>9.06</v>
      </c>
    </row>
    <row r="3322" spans="19:20" x14ac:dyDescent="0.25">
      <c r="S3322" s="78">
        <v>30709</v>
      </c>
      <c r="T3322" s="29">
        <v>9.06</v>
      </c>
    </row>
    <row r="3323" spans="19:20" x14ac:dyDescent="0.25">
      <c r="S3323" s="78">
        <v>30710</v>
      </c>
      <c r="T3323" s="29">
        <v>9.06</v>
      </c>
    </row>
    <row r="3324" spans="19:20" x14ac:dyDescent="0.25">
      <c r="S3324" s="78">
        <v>30711</v>
      </c>
      <c r="T3324" s="29">
        <v>9.06</v>
      </c>
    </row>
    <row r="3325" spans="19:20" x14ac:dyDescent="0.25">
      <c r="S3325" s="78">
        <v>30712</v>
      </c>
      <c r="T3325" s="29">
        <v>9.06</v>
      </c>
    </row>
    <row r="3326" spans="19:20" x14ac:dyDescent="0.25">
      <c r="S3326" s="78">
        <v>30713</v>
      </c>
      <c r="T3326" s="29">
        <v>9.06</v>
      </c>
    </row>
    <row r="3327" spans="19:20" x14ac:dyDescent="0.25">
      <c r="S3327" s="78">
        <v>30714</v>
      </c>
      <c r="T3327" s="29">
        <v>9.06</v>
      </c>
    </row>
    <row r="3328" spans="19:20" x14ac:dyDescent="0.25">
      <c r="S3328" s="78">
        <v>30715</v>
      </c>
      <c r="T3328" s="29">
        <v>9.06</v>
      </c>
    </row>
    <row r="3329" spans="19:20" x14ac:dyDescent="0.25">
      <c r="S3329" s="78">
        <v>30716</v>
      </c>
      <c r="T3329" s="29">
        <v>9.06</v>
      </c>
    </row>
    <row r="3330" spans="19:20" x14ac:dyDescent="0.25">
      <c r="S3330" s="78">
        <v>30717</v>
      </c>
      <c r="T3330" s="29">
        <v>9.06</v>
      </c>
    </row>
    <row r="3331" spans="19:20" x14ac:dyDescent="0.25">
      <c r="S3331" s="78">
        <v>30718</v>
      </c>
      <c r="T3331" s="29">
        <v>9.06</v>
      </c>
    </row>
    <row r="3332" spans="19:20" x14ac:dyDescent="0.25">
      <c r="S3332" s="78">
        <v>30719</v>
      </c>
      <c r="T3332" s="29">
        <v>9.06</v>
      </c>
    </row>
    <row r="3333" spans="19:20" x14ac:dyDescent="0.25">
      <c r="S3333" s="78">
        <v>30720</v>
      </c>
      <c r="T3333" s="29">
        <v>9.06</v>
      </c>
    </row>
    <row r="3334" spans="19:20" x14ac:dyDescent="0.25">
      <c r="S3334" s="78">
        <v>30721</v>
      </c>
      <c r="T3334" s="29">
        <v>9.06</v>
      </c>
    </row>
    <row r="3335" spans="19:20" x14ac:dyDescent="0.25">
      <c r="S3335" s="78">
        <v>30722</v>
      </c>
      <c r="T3335" s="29">
        <v>9.06</v>
      </c>
    </row>
    <row r="3336" spans="19:20" x14ac:dyDescent="0.25">
      <c r="S3336" s="78">
        <v>30723</v>
      </c>
      <c r="T3336" s="29">
        <v>9.06</v>
      </c>
    </row>
    <row r="3337" spans="19:20" x14ac:dyDescent="0.25">
      <c r="S3337" s="78">
        <v>30724</v>
      </c>
      <c r="T3337" s="29">
        <v>9.06</v>
      </c>
    </row>
    <row r="3338" spans="19:20" x14ac:dyDescent="0.25">
      <c r="S3338" s="78">
        <v>30725</v>
      </c>
      <c r="T3338" s="29">
        <v>9.06</v>
      </c>
    </row>
    <row r="3339" spans="19:20" x14ac:dyDescent="0.25">
      <c r="S3339" s="78">
        <v>30726</v>
      </c>
      <c r="T3339" s="29">
        <v>9.06</v>
      </c>
    </row>
    <row r="3340" spans="19:20" x14ac:dyDescent="0.25">
      <c r="S3340" s="78">
        <v>30727</v>
      </c>
      <c r="T3340" s="29">
        <v>9.06</v>
      </c>
    </row>
    <row r="3341" spans="19:20" x14ac:dyDescent="0.25">
      <c r="S3341" s="78">
        <v>30728</v>
      </c>
      <c r="T3341" s="29">
        <v>9.06</v>
      </c>
    </row>
    <row r="3342" spans="19:20" x14ac:dyDescent="0.25">
      <c r="S3342" s="78">
        <v>30729</v>
      </c>
      <c r="T3342" s="29">
        <v>9.06</v>
      </c>
    </row>
    <row r="3343" spans="19:20" x14ac:dyDescent="0.25">
      <c r="S3343" s="78">
        <v>30730</v>
      </c>
      <c r="T3343" s="29">
        <v>9.06</v>
      </c>
    </row>
    <row r="3344" spans="19:20" x14ac:dyDescent="0.25">
      <c r="S3344" s="78">
        <v>30731</v>
      </c>
      <c r="T3344" s="29">
        <v>9.06</v>
      </c>
    </row>
    <row r="3345" spans="19:20" x14ac:dyDescent="0.25">
      <c r="S3345" s="78">
        <v>30732</v>
      </c>
      <c r="T3345" s="29">
        <v>9.06</v>
      </c>
    </row>
    <row r="3346" spans="19:20" x14ac:dyDescent="0.25">
      <c r="S3346" s="78">
        <v>30733</v>
      </c>
      <c r="T3346" s="29">
        <v>9.06</v>
      </c>
    </row>
    <row r="3347" spans="19:20" x14ac:dyDescent="0.25">
      <c r="S3347" s="78">
        <v>30734</v>
      </c>
      <c r="T3347" s="29">
        <v>9.06</v>
      </c>
    </row>
    <row r="3348" spans="19:20" x14ac:dyDescent="0.25">
      <c r="S3348" s="78">
        <v>30735</v>
      </c>
      <c r="T3348" s="29">
        <v>9.06</v>
      </c>
    </row>
    <row r="3349" spans="19:20" x14ac:dyDescent="0.25">
      <c r="S3349" s="78">
        <v>30736</v>
      </c>
      <c r="T3349" s="29">
        <v>9.06</v>
      </c>
    </row>
    <row r="3350" spans="19:20" x14ac:dyDescent="0.25">
      <c r="S3350" s="78">
        <v>30737</v>
      </c>
      <c r="T3350" s="29">
        <v>9.06</v>
      </c>
    </row>
    <row r="3351" spans="19:20" x14ac:dyDescent="0.25">
      <c r="S3351" s="78">
        <v>30738</v>
      </c>
      <c r="T3351" s="29">
        <v>9.06</v>
      </c>
    </row>
    <row r="3352" spans="19:20" x14ac:dyDescent="0.25">
      <c r="S3352" s="78">
        <v>30739</v>
      </c>
      <c r="T3352" s="29">
        <v>9.06</v>
      </c>
    </row>
    <row r="3353" spans="19:20" x14ac:dyDescent="0.25">
      <c r="S3353" s="78">
        <v>30740</v>
      </c>
      <c r="T3353" s="29">
        <v>9.06</v>
      </c>
    </row>
    <row r="3354" spans="19:20" x14ac:dyDescent="0.25">
      <c r="S3354" s="78">
        <v>30741</v>
      </c>
      <c r="T3354" s="29">
        <v>9.06</v>
      </c>
    </row>
    <row r="3355" spans="19:20" x14ac:dyDescent="0.25">
      <c r="S3355" s="78">
        <v>30742</v>
      </c>
      <c r="T3355" s="29">
        <v>9.06</v>
      </c>
    </row>
    <row r="3356" spans="19:20" x14ac:dyDescent="0.25">
      <c r="S3356" s="78">
        <v>30743</v>
      </c>
      <c r="T3356" s="29">
        <v>9.06</v>
      </c>
    </row>
    <row r="3357" spans="19:20" x14ac:dyDescent="0.25">
      <c r="S3357" s="78">
        <v>30744</v>
      </c>
      <c r="T3357" s="29">
        <v>9.06</v>
      </c>
    </row>
    <row r="3358" spans="19:20" x14ac:dyDescent="0.25">
      <c r="S3358" s="78">
        <v>30745</v>
      </c>
      <c r="T3358" s="29">
        <v>9.06</v>
      </c>
    </row>
    <row r="3359" spans="19:20" x14ac:dyDescent="0.25">
      <c r="S3359" s="78">
        <v>30746</v>
      </c>
      <c r="T3359" s="29">
        <v>9.06</v>
      </c>
    </row>
    <row r="3360" spans="19:20" x14ac:dyDescent="0.25">
      <c r="S3360" s="78">
        <v>30747</v>
      </c>
      <c r="T3360" s="29">
        <v>9.06</v>
      </c>
    </row>
    <row r="3361" spans="19:20" x14ac:dyDescent="0.25">
      <c r="S3361" s="78">
        <v>30748</v>
      </c>
      <c r="T3361" s="29">
        <v>8.81</v>
      </c>
    </row>
    <row r="3362" spans="19:20" x14ac:dyDescent="0.25">
      <c r="S3362" s="78">
        <v>30749</v>
      </c>
      <c r="T3362" s="29">
        <v>8.81</v>
      </c>
    </row>
    <row r="3363" spans="19:20" x14ac:dyDescent="0.25">
      <c r="S3363" s="78">
        <v>30750</v>
      </c>
      <c r="T3363" s="29">
        <v>8.81</v>
      </c>
    </row>
    <row r="3364" spans="19:20" x14ac:dyDescent="0.25">
      <c r="S3364" s="78">
        <v>30751</v>
      </c>
      <c r="T3364" s="29">
        <v>8.81</v>
      </c>
    </row>
    <row r="3365" spans="19:20" x14ac:dyDescent="0.25">
      <c r="S3365" s="78">
        <v>30752</v>
      </c>
      <c r="T3365" s="29">
        <v>8.81</v>
      </c>
    </row>
    <row r="3366" spans="19:20" x14ac:dyDescent="0.25">
      <c r="S3366" s="78">
        <v>30753</v>
      </c>
      <c r="T3366" s="29">
        <v>8.81</v>
      </c>
    </row>
    <row r="3367" spans="19:20" x14ac:dyDescent="0.25">
      <c r="S3367" s="78">
        <v>30754</v>
      </c>
      <c r="T3367" s="29">
        <v>8.81</v>
      </c>
    </row>
    <row r="3368" spans="19:20" x14ac:dyDescent="0.25">
      <c r="S3368" s="78">
        <v>30755</v>
      </c>
      <c r="T3368" s="29">
        <v>8.56</v>
      </c>
    </row>
    <row r="3369" spans="19:20" x14ac:dyDescent="0.25">
      <c r="S3369" s="78">
        <v>30756</v>
      </c>
      <c r="T3369" s="29">
        <v>8.56</v>
      </c>
    </row>
    <row r="3370" spans="19:20" x14ac:dyDescent="0.25">
      <c r="S3370" s="78">
        <v>30757</v>
      </c>
      <c r="T3370" s="29">
        <v>8.56</v>
      </c>
    </row>
    <row r="3371" spans="19:20" x14ac:dyDescent="0.25">
      <c r="S3371" s="78">
        <v>30758</v>
      </c>
      <c r="T3371" s="29">
        <v>8.56</v>
      </c>
    </row>
    <row r="3372" spans="19:20" x14ac:dyDescent="0.25">
      <c r="S3372" s="78">
        <v>30759</v>
      </c>
      <c r="T3372" s="29">
        <v>8.56</v>
      </c>
    </row>
    <row r="3373" spans="19:20" x14ac:dyDescent="0.25">
      <c r="S3373" s="78">
        <v>30760</v>
      </c>
      <c r="T3373" s="29">
        <v>8.56</v>
      </c>
    </row>
    <row r="3374" spans="19:20" x14ac:dyDescent="0.25">
      <c r="S3374" s="78">
        <v>30761</v>
      </c>
      <c r="T3374" s="29">
        <v>8.56</v>
      </c>
    </row>
    <row r="3375" spans="19:20" x14ac:dyDescent="0.25">
      <c r="S3375" s="78">
        <v>30762</v>
      </c>
      <c r="T3375" s="29">
        <v>8.56</v>
      </c>
    </row>
    <row r="3376" spans="19:20" x14ac:dyDescent="0.25">
      <c r="S3376" s="78">
        <v>30763</v>
      </c>
      <c r="T3376" s="29">
        <v>8.56</v>
      </c>
    </row>
    <row r="3377" spans="19:21" x14ac:dyDescent="0.25">
      <c r="S3377" s="78">
        <v>30764</v>
      </c>
      <c r="T3377" s="29">
        <v>8.56</v>
      </c>
    </row>
    <row r="3378" spans="19:21" x14ac:dyDescent="0.25">
      <c r="S3378" s="78">
        <v>30765</v>
      </c>
      <c r="T3378" s="29">
        <v>8.56</v>
      </c>
    </row>
    <row r="3379" spans="19:21" x14ac:dyDescent="0.25">
      <c r="S3379" s="78">
        <v>30766</v>
      </c>
      <c r="T3379" s="29">
        <v>8.56</v>
      </c>
    </row>
    <row r="3380" spans="19:21" x14ac:dyDescent="0.25">
      <c r="S3380" s="78">
        <v>30767</v>
      </c>
      <c r="T3380" s="29">
        <v>8.56</v>
      </c>
    </row>
    <row r="3381" spans="19:21" x14ac:dyDescent="0.25">
      <c r="S3381" s="78">
        <v>30768</v>
      </c>
      <c r="T3381" s="29">
        <v>8.56</v>
      </c>
    </row>
    <row r="3382" spans="19:21" x14ac:dyDescent="0.25">
      <c r="S3382" s="78">
        <v>30769</v>
      </c>
      <c r="T3382" s="29">
        <v>8.56</v>
      </c>
    </row>
    <row r="3383" spans="19:21" x14ac:dyDescent="0.25">
      <c r="S3383" s="78">
        <v>30770</v>
      </c>
      <c r="T3383" s="29">
        <v>8.56</v>
      </c>
    </row>
    <row r="3384" spans="19:21" x14ac:dyDescent="0.25">
      <c r="S3384" s="78">
        <v>30771</v>
      </c>
      <c r="T3384" s="29">
        <v>8.56</v>
      </c>
    </row>
    <row r="3385" spans="19:21" x14ac:dyDescent="0.25">
      <c r="S3385" s="78">
        <v>30772</v>
      </c>
      <c r="T3385" s="29">
        <v>8.56</v>
      </c>
      <c r="U3385" s="39">
        <f>AVERAGE(T3295:T3385)</f>
        <v>8.9418681318681124</v>
      </c>
    </row>
    <row r="3386" spans="19:21" x14ac:dyDescent="0.25">
      <c r="S3386" s="78">
        <v>30773</v>
      </c>
      <c r="T3386" s="29">
        <v>8.56</v>
      </c>
    </row>
    <row r="3387" spans="19:21" x14ac:dyDescent="0.25">
      <c r="S3387" s="78">
        <v>30774</v>
      </c>
      <c r="T3387" s="29">
        <v>8.56</v>
      </c>
    </row>
    <row r="3388" spans="19:21" x14ac:dyDescent="0.25">
      <c r="S3388" s="78">
        <v>30775</v>
      </c>
      <c r="T3388" s="29">
        <v>8.56</v>
      </c>
    </row>
    <row r="3389" spans="19:21" x14ac:dyDescent="0.25">
      <c r="S3389" s="78">
        <v>30776</v>
      </c>
      <c r="T3389" s="29">
        <v>8.56</v>
      </c>
    </row>
    <row r="3390" spans="19:21" x14ac:dyDescent="0.25">
      <c r="S3390" s="78">
        <v>30777</v>
      </c>
      <c r="T3390" s="29">
        <v>8.56</v>
      </c>
    </row>
    <row r="3391" spans="19:21" x14ac:dyDescent="0.25">
      <c r="S3391" s="78">
        <v>30778</v>
      </c>
      <c r="T3391" s="29">
        <v>8.56</v>
      </c>
    </row>
    <row r="3392" spans="19:21" x14ac:dyDescent="0.25">
      <c r="S3392" s="78">
        <v>30779</v>
      </c>
      <c r="T3392" s="29">
        <v>8.56</v>
      </c>
    </row>
    <row r="3393" spans="19:20" x14ac:dyDescent="0.25">
      <c r="S3393" s="78">
        <v>30780</v>
      </c>
      <c r="T3393" s="29">
        <v>8.56</v>
      </c>
    </row>
    <row r="3394" spans="19:20" x14ac:dyDescent="0.25">
      <c r="S3394" s="78">
        <v>30781</v>
      </c>
      <c r="T3394" s="29">
        <v>8.56</v>
      </c>
    </row>
    <row r="3395" spans="19:20" x14ac:dyDescent="0.25">
      <c r="S3395" s="78">
        <v>30782</v>
      </c>
      <c r="T3395" s="29">
        <v>8.56</v>
      </c>
    </row>
    <row r="3396" spans="19:20" x14ac:dyDescent="0.25">
      <c r="S3396" s="78">
        <v>30783</v>
      </c>
      <c r="T3396" s="29">
        <v>8.56</v>
      </c>
    </row>
    <row r="3397" spans="19:20" x14ac:dyDescent="0.25">
      <c r="S3397" s="78">
        <v>30784</v>
      </c>
      <c r="T3397" s="29">
        <v>8.56</v>
      </c>
    </row>
    <row r="3398" spans="19:20" x14ac:dyDescent="0.25">
      <c r="S3398" s="78">
        <v>30785</v>
      </c>
      <c r="T3398" s="29">
        <v>8.56</v>
      </c>
    </row>
    <row r="3399" spans="19:20" x14ac:dyDescent="0.25">
      <c r="S3399" s="78">
        <v>30786</v>
      </c>
      <c r="T3399" s="29">
        <v>8.56</v>
      </c>
    </row>
    <row r="3400" spans="19:20" x14ac:dyDescent="0.25">
      <c r="S3400" s="78">
        <v>30787</v>
      </c>
      <c r="T3400" s="29">
        <v>8.56</v>
      </c>
    </row>
    <row r="3401" spans="19:20" x14ac:dyDescent="0.25">
      <c r="S3401" s="78">
        <v>30788</v>
      </c>
      <c r="T3401" s="29">
        <v>8.56</v>
      </c>
    </row>
    <row r="3402" spans="19:20" x14ac:dyDescent="0.25">
      <c r="S3402" s="78">
        <v>30789</v>
      </c>
      <c r="T3402" s="29">
        <v>8.56</v>
      </c>
    </row>
    <row r="3403" spans="19:20" x14ac:dyDescent="0.25">
      <c r="S3403" s="78">
        <v>30790</v>
      </c>
      <c r="T3403" s="29">
        <v>8.56</v>
      </c>
    </row>
    <row r="3404" spans="19:20" x14ac:dyDescent="0.25">
      <c r="S3404" s="78">
        <v>30791</v>
      </c>
      <c r="T3404" s="29">
        <v>8.56</v>
      </c>
    </row>
    <row r="3405" spans="19:20" x14ac:dyDescent="0.25">
      <c r="S3405" s="78">
        <v>30792</v>
      </c>
      <c r="T3405" s="29">
        <v>8.56</v>
      </c>
    </row>
    <row r="3406" spans="19:20" x14ac:dyDescent="0.25">
      <c r="S3406" s="78">
        <v>30793</v>
      </c>
      <c r="T3406" s="29">
        <v>8.56</v>
      </c>
    </row>
    <row r="3407" spans="19:20" x14ac:dyDescent="0.25">
      <c r="S3407" s="78">
        <v>30794</v>
      </c>
      <c r="T3407" s="29">
        <v>8.56</v>
      </c>
    </row>
    <row r="3408" spans="19:20" x14ac:dyDescent="0.25">
      <c r="S3408" s="78">
        <v>30795</v>
      </c>
      <c r="T3408" s="29">
        <v>8.56</v>
      </c>
    </row>
    <row r="3409" spans="19:20" x14ac:dyDescent="0.25">
      <c r="S3409" s="78">
        <v>30796</v>
      </c>
      <c r="T3409" s="29">
        <v>8.56</v>
      </c>
    </row>
    <row r="3410" spans="19:20" x14ac:dyDescent="0.25">
      <c r="S3410" s="78">
        <v>30797</v>
      </c>
      <c r="T3410" s="29">
        <v>8.56</v>
      </c>
    </row>
    <row r="3411" spans="19:20" x14ac:dyDescent="0.25">
      <c r="S3411" s="78">
        <v>30798</v>
      </c>
      <c r="T3411" s="29">
        <v>8.56</v>
      </c>
    </row>
    <row r="3412" spans="19:20" x14ac:dyDescent="0.25">
      <c r="S3412" s="78">
        <v>30799</v>
      </c>
      <c r="T3412" s="29">
        <v>8.56</v>
      </c>
    </row>
    <row r="3413" spans="19:20" x14ac:dyDescent="0.25">
      <c r="S3413" s="78">
        <v>30800</v>
      </c>
      <c r="T3413" s="29">
        <v>8.56</v>
      </c>
    </row>
    <row r="3414" spans="19:20" x14ac:dyDescent="0.25">
      <c r="S3414" s="78">
        <v>30801</v>
      </c>
      <c r="T3414" s="29">
        <v>8.56</v>
      </c>
    </row>
    <row r="3415" spans="19:20" x14ac:dyDescent="0.25">
      <c r="S3415" s="78">
        <v>30802</v>
      </c>
      <c r="T3415" s="29">
        <v>8.56</v>
      </c>
    </row>
    <row r="3416" spans="19:20" x14ac:dyDescent="0.25">
      <c r="S3416" s="78">
        <v>30803</v>
      </c>
      <c r="T3416" s="29">
        <v>8.56</v>
      </c>
    </row>
    <row r="3417" spans="19:20" x14ac:dyDescent="0.25">
      <c r="S3417" s="78">
        <v>30804</v>
      </c>
      <c r="T3417" s="29">
        <v>8.56</v>
      </c>
    </row>
    <row r="3418" spans="19:20" x14ac:dyDescent="0.25">
      <c r="S3418" s="78">
        <v>30805</v>
      </c>
      <c r="T3418" s="29">
        <v>8.56</v>
      </c>
    </row>
    <row r="3419" spans="19:20" x14ac:dyDescent="0.25">
      <c r="S3419" s="78">
        <v>30806</v>
      </c>
      <c r="T3419" s="29">
        <v>8.56</v>
      </c>
    </row>
    <row r="3420" spans="19:20" x14ac:dyDescent="0.25">
      <c r="S3420" s="78">
        <v>30807</v>
      </c>
      <c r="T3420" s="29">
        <v>8.56</v>
      </c>
    </row>
    <row r="3421" spans="19:20" x14ac:dyDescent="0.25">
      <c r="S3421" s="78">
        <v>30808</v>
      </c>
      <c r="T3421" s="29">
        <v>8.56</v>
      </c>
    </row>
    <row r="3422" spans="19:20" x14ac:dyDescent="0.25">
      <c r="S3422" s="78">
        <v>30809</v>
      </c>
      <c r="T3422" s="29">
        <v>8.56</v>
      </c>
    </row>
    <row r="3423" spans="19:20" x14ac:dyDescent="0.25">
      <c r="S3423" s="78">
        <v>30810</v>
      </c>
      <c r="T3423" s="29">
        <v>8.56</v>
      </c>
    </row>
    <row r="3424" spans="19:20" x14ac:dyDescent="0.25">
      <c r="S3424" s="78">
        <v>30811</v>
      </c>
      <c r="T3424" s="29">
        <v>8.56</v>
      </c>
    </row>
    <row r="3425" spans="19:20" x14ac:dyDescent="0.25">
      <c r="S3425" s="78">
        <v>30812</v>
      </c>
      <c r="T3425" s="29">
        <v>9.06</v>
      </c>
    </row>
    <row r="3426" spans="19:20" x14ac:dyDescent="0.25">
      <c r="S3426" s="78">
        <v>30813</v>
      </c>
      <c r="T3426" s="29">
        <v>9.06</v>
      </c>
    </row>
    <row r="3427" spans="19:20" x14ac:dyDescent="0.25">
      <c r="S3427" s="78">
        <v>30814</v>
      </c>
      <c r="T3427" s="29">
        <v>9.06</v>
      </c>
    </row>
    <row r="3428" spans="19:20" x14ac:dyDescent="0.25">
      <c r="S3428" s="78">
        <v>30815</v>
      </c>
      <c r="T3428" s="29">
        <v>9.06</v>
      </c>
    </row>
    <row r="3429" spans="19:20" x14ac:dyDescent="0.25">
      <c r="S3429" s="78">
        <v>30816</v>
      </c>
      <c r="T3429" s="29">
        <v>9.06</v>
      </c>
    </row>
    <row r="3430" spans="19:20" x14ac:dyDescent="0.25">
      <c r="S3430" s="78">
        <v>30817</v>
      </c>
      <c r="T3430" s="29">
        <v>9.06</v>
      </c>
    </row>
    <row r="3431" spans="19:20" x14ac:dyDescent="0.25">
      <c r="S3431" s="78">
        <v>30818</v>
      </c>
      <c r="T3431" s="29">
        <v>9.06</v>
      </c>
    </row>
    <row r="3432" spans="19:20" x14ac:dyDescent="0.25">
      <c r="S3432" s="78">
        <v>30819</v>
      </c>
      <c r="T3432" s="29">
        <v>9.06</v>
      </c>
    </row>
    <row r="3433" spans="19:20" x14ac:dyDescent="0.25">
      <c r="S3433" s="78">
        <v>30820</v>
      </c>
      <c r="T3433" s="29">
        <v>9.06</v>
      </c>
    </row>
    <row r="3434" spans="19:20" x14ac:dyDescent="0.25">
      <c r="S3434" s="78">
        <v>30821</v>
      </c>
      <c r="T3434" s="29">
        <v>9.06</v>
      </c>
    </row>
    <row r="3435" spans="19:20" x14ac:dyDescent="0.25">
      <c r="S3435" s="78">
        <v>30822</v>
      </c>
      <c r="T3435" s="29">
        <v>9.06</v>
      </c>
    </row>
    <row r="3436" spans="19:20" x14ac:dyDescent="0.25">
      <c r="S3436" s="78">
        <v>30823</v>
      </c>
      <c r="T3436" s="29">
        <v>9.06</v>
      </c>
    </row>
    <row r="3437" spans="19:20" x14ac:dyDescent="0.25">
      <c r="S3437" s="78">
        <v>30824</v>
      </c>
      <c r="T3437" s="29">
        <v>9.06</v>
      </c>
    </row>
    <row r="3438" spans="19:20" x14ac:dyDescent="0.25">
      <c r="S3438" s="78">
        <v>30825</v>
      </c>
      <c r="T3438" s="29">
        <v>9.06</v>
      </c>
    </row>
    <row r="3439" spans="19:20" x14ac:dyDescent="0.25">
      <c r="S3439" s="78">
        <v>30826</v>
      </c>
      <c r="T3439" s="29">
        <v>9.06</v>
      </c>
    </row>
    <row r="3440" spans="19:20" x14ac:dyDescent="0.25">
      <c r="S3440" s="78">
        <v>30827</v>
      </c>
      <c r="T3440" s="29">
        <v>9.06</v>
      </c>
    </row>
    <row r="3441" spans="19:20" x14ac:dyDescent="0.25">
      <c r="S3441" s="78">
        <v>30828</v>
      </c>
      <c r="T3441" s="29">
        <v>9.06</v>
      </c>
    </row>
    <row r="3442" spans="19:20" x14ac:dyDescent="0.25">
      <c r="S3442" s="78">
        <v>30829</v>
      </c>
      <c r="T3442" s="29">
        <v>9.06</v>
      </c>
    </row>
    <row r="3443" spans="19:20" x14ac:dyDescent="0.25">
      <c r="S3443" s="78">
        <v>30830</v>
      </c>
      <c r="T3443" s="29">
        <v>9.06</v>
      </c>
    </row>
    <row r="3444" spans="19:20" x14ac:dyDescent="0.25">
      <c r="S3444" s="78">
        <v>30831</v>
      </c>
      <c r="T3444" s="29">
        <v>9.06</v>
      </c>
    </row>
    <row r="3445" spans="19:20" x14ac:dyDescent="0.25">
      <c r="S3445" s="78">
        <v>30832</v>
      </c>
      <c r="T3445" s="29">
        <v>9.06</v>
      </c>
    </row>
    <row r="3446" spans="19:20" x14ac:dyDescent="0.25">
      <c r="S3446" s="78">
        <v>30833</v>
      </c>
      <c r="T3446" s="29">
        <v>9.06</v>
      </c>
    </row>
    <row r="3447" spans="19:20" x14ac:dyDescent="0.25">
      <c r="S3447" s="78">
        <v>30834</v>
      </c>
      <c r="T3447" s="29">
        <v>9.06</v>
      </c>
    </row>
    <row r="3448" spans="19:20" x14ac:dyDescent="0.25">
      <c r="S3448" s="78">
        <v>30835</v>
      </c>
      <c r="T3448" s="29">
        <v>9.06</v>
      </c>
    </row>
    <row r="3449" spans="19:20" x14ac:dyDescent="0.25">
      <c r="S3449" s="78">
        <v>30836</v>
      </c>
      <c r="T3449" s="29">
        <v>9.06</v>
      </c>
    </row>
    <row r="3450" spans="19:20" x14ac:dyDescent="0.25">
      <c r="S3450" s="78">
        <v>30837</v>
      </c>
      <c r="T3450" s="29">
        <v>9.06</v>
      </c>
    </row>
    <row r="3451" spans="19:20" x14ac:dyDescent="0.25">
      <c r="S3451" s="78">
        <v>30838</v>
      </c>
      <c r="T3451" s="29">
        <v>9.06</v>
      </c>
    </row>
    <row r="3452" spans="19:20" x14ac:dyDescent="0.25">
      <c r="S3452" s="78">
        <v>30839</v>
      </c>
      <c r="T3452" s="29">
        <v>9.06</v>
      </c>
    </row>
    <row r="3453" spans="19:20" x14ac:dyDescent="0.25">
      <c r="S3453" s="78">
        <v>30840</v>
      </c>
      <c r="T3453" s="29">
        <v>9.06</v>
      </c>
    </row>
    <row r="3454" spans="19:20" x14ac:dyDescent="0.25">
      <c r="S3454" s="78">
        <v>30841</v>
      </c>
      <c r="T3454" s="29">
        <v>9.06</v>
      </c>
    </row>
    <row r="3455" spans="19:20" x14ac:dyDescent="0.25">
      <c r="S3455" s="78">
        <v>30842</v>
      </c>
      <c r="T3455" s="29">
        <v>9.06</v>
      </c>
    </row>
    <row r="3456" spans="19:20" x14ac:dyDescent="0.25">
      <c r="S3456" s="78">
        <v>30843</v>
      </c>
      <c r="T3456" s="29">
        <v>9.06</v>
      </c>
    </row>
    <row r="3457" spans="19:20" x14ac:dyDescent="0.25">
      <c r="S3457" s="78">
        <v>30844</v>
      </c>
      <c r="T3457" s="29">
        <v>9.06</v>
      </c>
    </row>
    <row r="3458" spans="19:20" x14ac:dyDescent="0.25">
      <c r="S3458" s="78">
        <v>30845</v>
      </c>
      <c r="T3458" s="29">
        <v>9.06</v>
      </c>
    </row>
    <row r="3459" spans="19:20" x14ac:dyDescent="0.25">
      <c r="S3459" s="78">
        <v>30846</v>
      </c>
      <c r="T3459" s="29">
        <v>9.06</v>
      </c>
    </row>
    <row r="3460" spans="19:20" x14ac:dyDescent="0.25">
      <c r="S3460" s="78">
        <v>30847</v>
      </c>
      <c r="T3460" s="29">
        <v>9.06</v>
      </c>
    </row>
    <row r="3461" spans="19:20" x14ac:dyDescent="0.25">
      <c r="S3461" s="78">
        <v>30848</v>
      </c>
      <c r="T3461" s="29">
        <v>9.06</v>
      </c>
    </row>
    <row r="3462" spans="19:20" x14ac:dyDescent="0.25">
      <c r="S3462" s="78">
        <v>30849</v>
      </c>
      <c r="T3462" s="29">
        <v>9.06</v>
      </c>
    </row>
    <row r="3463" spans="19:20" x14ac:dyDescent="0.25">
      <c r="S3463" s="78">
        <v>30850</v>
      </c>
      <c r="T3463" s="29">
        <v>9.06</v>
      </c>
    </row>
    <row r="3464" spans="19:20" x14ac:dyDescent="0.25">
      <c r="S3464" s="78">
        <v>30851</v>
      </c>
      <c r="T3464" s="29">
        <v>9.06</v>
      </c>
    </row>
    <row r="3465" spans="19:20" x14ac:dyDescent="0.25">
      <c r="S3465" s="78">
        <v>30852</v>
      </c>
      <c r="T3465" s="29">
        <v>9.06</v>
      </c>
    </row>
    <row r="3466" spans="19:20" x14ac:dyDescent="0.25">
      <c r="S3466" s="78">
        <v>30853</v>
      </c>
      <c r="T3466" s="29">
        <v>9.06</v>
      </c>
    </row>
    <row r="3467" spans="19:20" x14ac:dyDescent="0.25">
      <c r="S3467" s="78">
        <v>30854</v>
      </c>
      <c r="T3467" s="29">
        <v>9.06</v>
      </c>
    </row>
    <row r="3468" spans="19:20" x14ac:dyDescent="0.25">
      <c r="S3468" s="78">
        <v>30855</v>
      </c>
      <c r="T3468" s="29">
        <v>9.06</v>
      </c>
    </row>
    <row r="3469" spans="19:20" x14ac:dyDescent="0.25">
      <c r="S3469" s="78">
        <v>30856</v>
      </c>
      <c r="T3469" s="29">
        <v>9.06</v>
      </c>
    </row>
    <row r="3470" spans="19:20" x14ac:dyDescent="0.25">
      <c r="S3470" s="78">
        <v>30857</v>
      </c>
      <c r="T3470" s="29">
        <v>9.06</v>
      </c>
    </row>
    <row r="3471" spans="19:20" x14ac:dyDescent="0.25">
      <c r="S3471" s="78">
        <v>30858</v>
      </c>
      <c r="T3471" s="29">
        <v>9.06</v>
      </c>
    </row>
    <row r="3472" spans="19:20" x14ac:dyDescent="0.25">
      <c r="S3472" s="78">
        <v>30859</v>
      </c>
      <c r="T3472" s="29">
        <v>9.06</v>
      </c>
    </row>
    <row r="3473" spans="19:21" x14ac:dyDescent="0.25">
      <c r="S3473" s="78">
        <v>30860</v>
      </c>
      <c r="T3473" s="29">
        <v>9.06</v>
      </c>
    </row>
    <row r="3474" spans="19:21" x14ac:dyDescent="0.25">
      <c r="S3474" s="78">
        <v>30861</v>
      </c>
      <c r="T3474" s="29">
        <v>9.06</v>
      </c>
    </row>
    <row r="3475" spans="19:21" x14ac:dyDescent="0.25">
      <c r="S3475" s="78">
        <v>30862</v>
      </c>
      <c r="T3475" s="29">
        <v>8.8800000000000008</v>
      </c>
      <c r="U3475" s="40"/>
    </row>
    <row r="3476" spans="19:21" x14ac:dyDescent="0.25">
      <c r="S3476" s="78">
        <v>30863</v>
      </c>
      <c r="T3476" s="29">
        <v>8.8800000000000008</v>
      </c>
      <c r="U3476" s="40">
        <f>AVERAGE(T3386:T3476)</f>
        <v>8.8417582417582246</v>
      </c>
    </row>
    <row r="3477" spans="19:21" x14ac:dyDescent="0.25">
      <c r="S3477" s="78">
        <v>30864</v>
      </c>
      <c r="T3477" s="29">
        <v>8.8800000000000008</v>
      </c>
    </row>
    <row r="3478" spans="19:21" x14ac:dyDescent="0.25">
      <c r="S3478" s="78">
        <v>30865</v>
      </c>
      <c r="T3478" s="29">
        <v>8.8800000000000008</v>
      </c>
    </row>
    <row r="3479" spans="19:21" x14ac:dyDescent="0.25">
      <c r="S3479" s="78">
        <v>30866</v>
      </c>
      <c r="T3479" s="29">
        <v>8.8800000000000008</v>
      </c>
    </row>
    <row r="3480" spans="19:21" x14ac:dyDescent="0.25">
      <c r="S3480" s="78">
        <v>30867</v>
      </c>
      <c r="T3480" s="29">
        <v>8.8800000000000008</v>
      </c>
    </row>
    <row r="3481" spans="19:21" x14ac:dyDescent="0.25">
      <c r="S3481" s="78">
        <v>30868</v>
      </c>
      <c r="T3481" s="29">
        <v>8.8800000000000008</v>
      </c>
    </row>
    <row r="3482" spans="19:21" x14ac:dyDescent="0.25">
      <c r="S3482" s="78">
        <v>30869</v>
      </c>
      <c r="T3482" s="29">
        <v>10</v>
      </c>
    </row>
    <row r="3483" spans="19:21" x14ac:dyDescent="0.25">
      <c r="S3483" s="78">
        <v>30870</v>
      </c>
      <c r="T3483" s="29">
        <v>10</v>
      </c>
    </row>
    <row r="3484" spans="19:21" x14ac:dyDescent="0.25">
      <c r="S3484" s="78">
        <v>30871</v>
      </c>
      <c r="T3484" s="29">
        <v>10</v>
      </c>
    </row>
    <row r="3485" spans="19:21" x14ac:dyDescent="0.25">
      <c r="S3485" s="78">
        <v>30872</v>
      </c>
      <c r="T3485" s="29">
        <v>10</v>
      </c>
    </row>
    <row r="3486" spans="19:21" x14ac:dyDescent="0.25">
      <c r="S3486" s="78">
        <v>30873</v>
      </c>
      <c r="T3486" s="29">
        <v>10</v>
      </c>
    </row>
    <row r="3487" spans="19:21" x14ac:dyDescent="0.25">
      <c r="S3487" s="78">
        <v>30874</v>
      </c>
      <c r="T3487" s="29">
        <v>12</v>
      </c>
    </row>
    <row r="3488" spans="19:21" x14ac:dyDescent="0.25">
      <c r="S3488" s="78">
        <v>30875</v>
      </c>
      <c r="T3488" s="29">
        <v>12</v>
      </c>
    </row>
    <row r="3489" spans="19:20" x14ac:dyDescent="0.25">
      <c r="S3489" s="78">
        <v>30876</v>
      </c>
      <c r="T3489" s="29">
        <v>12</v>
      </c>
    </row>
    <row r="3490" spans="19:20" x14ac:dyDescent="0.25">
      <c r="S3490" s="78">
        <v>30877</v>
      </c>
      <c r="T3490" s="29">
        <v>12</v>
      </c>
    </row>
    <row r="3491" spans="19:20" x14ac:dyDescent="0.25">
      <c r="S3491" s="78">
        <v>30878</v>
      </c>
      <c r="T3491" s="29">
        <v>12</v>
      </c>
    </row>
    <row r="3492" spans="19:20" x14ac:dyDescent="0.25">
      <c r="S3492" s="78">
        <v>30879</v>
      </c>
      <c r="T3492" s="29">
        <v>12</v>
      </c>
    </row>
    <row r="3493" spans="19:20" x14ac:dyDescent="0.25">
      <c r="S3493" s="78">
        <v>30880</v>
      </c>
      <c r="T3493" s="29">
        <v>12</v>
      </c>
    </row>
    <row r="3494" spans="19:20" x14ac:dyDescent="0.25">
      <c r="S3494" s="78">
        <v>30881</v>
      </c>
      <c r="T3494" s="29">
        <v>12</v>
      </c>
    </row>
    <row r="3495" spans="19:20" x14ac:dyDescent="0.25">
      <c r="S3495" s="78">
        <v>30882</v>
      </c>
      <c r="T3495" s="29">
        <v>12</v>
      </c>
    </row>
    <row r="3496" spans="19:20" x14ac:dyDescent="0.25">
      <c r="S3496" s="78">
        <v>30883</v>
      </c>
      <c r="T3496" s="29">
        <v>12</v>
      </c>
    </row>
    <row r="3497" spans="19:20" x14ac:dyDescent="0.25">
      <c r="S3497" s="78">
        <v>30884</v>
      </c>
      <c r="T3497" s="29">
        <v>12</v>
      </c>
    </row>
    <row r="3498" spans="19:20" x14ac:dyDescent="0.25">
      <c r="S3498" s="78">
        <v>30885</v>
      </c>
      <c r="T3498" s="29">
        <v>12</v>
      </c>
    </row>
    <row r="3499" spans="19:20" x14ac:dyDescent="0.25">
      <c r="S3499" s="78">
        <v>30886</v>
      </c>
      <c r="T3499" s="29">
        <v>12</v>
      </c>
    </row>
    <row r="3500" spans="19:20" x14ac:dyDescent="0.25">
      <c r="S3500" s="78">
        <v>30887</v>
      </c>
      <c r="T3500" s="29">
        <v>12</v>
      </c>
    </row>
    <row r="3501" spans="19:20" x14ac:dyDescent="0.25">
      <c r="S3501" s="78">
        <v>30888</v>
      </c>
      <c r="T3501" s="29">
        <v>12</v>
      </c>
    </row>
    <row r="3502" spans="19:20" x14ac:dyDescent="0.25">
      <c r="S3502" s="78">
        <v>30889</v>
      </c>
      <c r="T3502" s="29">
        <v>12</v>
      </c>
    </row>
    <row r="3503" spans="19:20" x14ac:dyDescent="0.25">
      <c r="S3503" s="78">
        <v>30890</v>
      </c>
      <c r="T3503" s="29">
        <v>12</v>
      </c>
    </row>
    <row r="3504" spans="19:20" x14ac:dyDescent="0.25">
      <c r="S3504" s="78">
        <v>30891</v>
      </c>
      <c r="T3504" s="29">
        <v>12</v>
      </c>
    </row>
    <row r="3505" spans="19:20" x14ac:dyDescent="0.25">
      <c r="S3505" s="78">
        <v>30892</v>
      </c>
      <c r="T3505" s="29">
        <v>12</v>
      </c>
    </row>
    <row r="3506" spans="19:20" x14ac:dyDescent="0.25">
      <c r="S3506" s="78">
        <v>30893</v>
      </c>
      <c r="T3506" s="29">
        <v>12</v>
      </c>
    </row>
    <row r="3507" spans="19:20" x14ac:dyDescent="0.25">
      <c r="S3507" s="78">
        <v>30894</v>
      </c>
      <c r="T3507" s="29">
        <v>12</v>
      </c>
    </row>
    <row r="3508" spans="19:20" x14ac:dyDescent="0.25">
      <c r="S3508" s="78">
        <v>30895</v>
      </c>
      <c r="T3508" s="29">
        <v>12</v>
      </c>
    </row>
    <row r="3509" spans="19:20" x14ac:dyDescent="0.25">
      <c r="S3509" s="78">
        <v>30896</v>
      </c>
      <c r="T3509" s="29">
        <v>12</v>
      </c>
    </row>
    <row r="3510" spans="19:20" x14ac:dyDescent="0.25">
      <c r="S3510" s="78">
        <v>30897</v>
      </c>
      <c r="T3510" s="29">
        <v>12</v>
      </c>
    </row>
    <row r="3511" spans="19:20" x14ac:dyDescent="0.25">
      <c r="S3511" s="78">
        <v>30898</v>
      </c>
      <c r="T3511" s="29">
        <v>12</v>
      </c>
    </row>
    <row r="3512" spans="19:20" x14ac:dyDescent="0.25">
      <c r="S3512" s="78">
        <v>30899</v>
      </c>
      <c r="T3512" s="29">
        <v>12</v>
      </c>
    </row>
    <row r="3513" spans="19:20" x14ac:dyDescent="0.25">
      <c r="S3513" s="78">
        <v>30900</v>
      </c>
      <c r="T3513" s="29">
        <v>12</v>
      </c>
    </row>
    <row r="3514" spans="19:20" x14ac:dyDescent="0.25">
      <c r="S3514" s="78">
        <v>30901</v>
      </c>
      <c r="T3514" s="29">
        <v>12</v>
      </c>
    </row>
    <row r="3515" spans="19:20" x14ac:dyDescent="0.25">
      <c r="S3515" s="78">
        <v>30902</v>
      </c>
      <c r="T3515" s="29">
        <v>11.5</v>
      </c>
    </row>
    <row r="3516" spans="19:20" x14ac:dyDescent="0.25">
      <c r="S3516" s="78">
        <v>30903</v>
      </c>
      <c r="T3516" s="29">
        <v>11</v>
      </c>
    </row>
    <row r="3517" spans="19:20" x14ac:dyDescent="0.25">
      <c r="S3517" s="78">
        <v>30904</v>
      </c>
      <c r="T3517" s="29">
        <v>11</v>
      </c>
    </row>
    <row r="3518" spans="19:20" x14ac:dyDescent="0.25">
      <c r="S3518" s="78">
        <v>30905</v>
      </c>
      <c r="T3518" s="29">
        <v>11</v>
      </c>
    </row>
    <row r="3519" spans="19:20" x14ac:dyDescent="0.25">
      <c r="S3519" s="78">
        <v>30906</v>
      </c>
      <c r="T3519" s="29">
        <v>11</v>
      </c>
    </row>
    <row r="3520" spans="19:20" x14ac:dyDescent="0.25">
      <c r="S3520" s="78">
        <v>30907</v>
      </c>
      <c r="T3520" s="29">
        <v>11</v>
      </c>
    </row>
    <row r="3521" spans="19:20" x14ac:dyDescent="0.25">
      <c r="S3521" s="78">
        <v>30908</v>
      </c>
      <c r="T3521" s="29">
        <v>11</v>
      </c>
    </row>
    <row r="3522" spans="19:20" x14ac:dyDescent="0.25">
      <c r="S3522" s="78">
        <v>30909</v>
      </c>
      <c r="T3522" s="29">
        <v>11</v>
      </c>
    </row>
    <row r="3523" spans="19:20" x14ac:dyDescent="0.25">
      <c r="S3523" s="78">
        <v>30910</v>
      </c>
      <c r="T3523" s="29">
        <v>10.75</v>
      </c>
    </row>
    <row r="3524" spans="19:20" x14ac:dyDescent="0.25">
      <c r="S3524" s="78">
        <v>30911</v>
      </c>
      <c r="T3524" s="29">
        <v>10.5</v>
      </c>
    </row>
    <row r="3525" spans="19:20" x14ac:dyDescent="0.25">
      <c r="S3525" s="78">
        <v>30912</v>
      </c>
      <c r="T3525" s="29">
        <v>10.5</v>
      </c>
    </row>
    <row r="3526" spans="19:20" x14ac:dyDescent="0.25">
      <c r="S3526" s="78">
        <v>30913</v>
      </c>
      <c r="T3526" s="29">
        <v>10.5</v>
      </c>
    </row>
    <row r="3527" spans="19:20" x14ac:dyDescent="0.25">
      <c r="S3527" s="78">
        <v>30914</v>
      </c>
      <c r="T3527" s="29">
        <v>10.5</v>
      </c>
    </row>
    <row r="3528" spans="19:20" x14ac:dyDescent="0.25">
      <c r="S3528" s="78">
        <v>30915</v>
      </c>
      <c r="T3528" s="29">
        <v>10.5</v>
      </c>
    </row>
    <row r="3529" spans="19:20" x14ac:dyDescent="0.25">
      <c r="S3529" s="78">
        <v>30916</v>
      </c>
      <c r="T3529" s="29">
        <v>10.5</v>
      </c>
    </row>
    <row r="3530" spans="19:20" x14ac:dyDescent="0.25">
      <c r="S3530" s="78">
        <v>30917</v>
      </c>
      <c r="T3530" s="29">
        <v>10.5</v>
      </c>
    </row>
    <row r="3531" spans="19:20" x14ac:dyDescent="0.25">
      <c r="S3531" s="78">
        <v>30918</v>
      </c>
      <c r="T3531" s="29">
        <v>10.5</v>
      </c>
    </row>
    <row r="3532" spans="19:20" x14ac:dyDescent="0.25">
      <c r="S3532" s="78">
        <v>30919</v>
      </c>
      <c r="T3532" s="29">
        <v>10.5</v>
      </c>
    </row>
    <row r="3533" spans="19:20" x14ac:dyDescent="0.25">
      <c r="S3533" s="78">
        <v>30920</v>
      </c>
      <c r="T3533" s="29">
        <v>10.5</v>
      </c>
    </row>
    <row r="3534" spans="19:20" x14ac:dyDescent="0.25">
      <c r="S3534" s="78">
        <v>30921</v>
      </c>
      <c r="T3534" s="29">
        <v>10.5</v>
      </c>
    </row>
    <row r="3535" spans="19:20" x14ac:dyDescent="0.25">
      <c r="S3535" s="78">
        <v>30922</v>
      </c>
      <c r="T3535" s="29">
        <v>10.5</v>
      </c>
    </row>
    <row r="3536" spans="19:20" x14ac:dyDescent="0.25">
      <c r="S3536" s="78">
        <v>30923</v>
      </c>
      <c r="T3536" s="29">
        <v>10.5</v>
      </c>
    </row>
    <row r="3537" spans="19:20" x14ac:dyDescent="0.25">
      <c r="S3537" s="78">
        <v>30924</v>
      </c>
      <c r="T3537" s="29">
        <v>10.5</v>
      </c>
    </row>
    <row r="3538" spans="19:20" x14ac:dyDescent="0.25">
      <c r="S3538" s="78">
        <v>30925</v>
      </c>
      <c r="T3538" s="29">
        <v>10.5</v>
      </c>
    </row>
    <row r="3539" spans="19:20" x14ac:dyDescent="0.25">
      <c r="S3539" s="78">
        <v>30926</v>
      </c>
      <c r="T3539" s="29">
        <v>10.5</v>
      </c>
    </row>
    <row r="3540" spans="19:20" x14ac:dyDescent="0.25">
      <c r="S3540" s="78">
        <v>30927</v>
      </c>
      <c r="T3540" s="29">
        <v>10.5</v>
      </c>
    </row>
    <row r="3541" spans="19:20" x14ac:dyDescent="0.25">
      <c r="S3541" s="78">
        <v>30928</v>
      </c>
      <c r="T3541" s="29">
        <v>10.5</v>
      </c>
    </row>
    <row r="3542" spans="19:20" x14ac:dyDescent="0.25">
      <c r="S3542" s="78">
        <v>30929</v>
      </c>
      <c r="T3542" s="29">
        <v>10.5</v>
      </c>
    </row>
    <row r="3543" spans="19:20" x14ac:dyDescent="0.25">
      <c r="S3543" s="78">
        <v>30930</v>
      </c>
      <c r="T3543" s="29">
        <v>10.5</v>
      </c>
    </row>
    <row r="3544" spans="19:20" x14ac:dyDescent="0.25">
      <c r="S3544" s="78">
        <v>30931</v>
      </c>
      <c r="T3544" s="29">
        <v>10.5</v>
      </c>
    </row>
    <row r="3545" spans="19:20" x14ac:dyDescent="0.25">
      <c r="S3545" s="78">
        <v>30932</v>
      </c>
      <c r="T3545" s="29">
        <v>10.5</v>
      </c>
    </row>
    <row r="3546" spans="19:20" x14ac:dyDescent="0.25">
      <c r="S3546" s="78">
        <v>30933</v>
      </c>
      <c r="T3546" s="29">
        <v>10.5</v>
      </c>
    </row>
    <row r="3547" spans="19:20" x14ac:dyDescent="0.25">
      <c r="S3547" s="78">
        <v>30934</v>
      </c>
      <c r="T3547" s="29">
        <v>10.5</v>
      </c>
    </row>
    <row r="3548" spans="19:20" x14ac:dyDescent="0.25">
      <c r="S3548" s="78">
        <v>30935</v>
      </c>
      <c r="T3548" s="29">
        <v>10.5</v>
      </c>
    </row>
    <row r="3549" spans="19:20" x14ac:dyDescent="0.25">
      <c r="S3549" s="78">
        <v>30936</v>
      </c>
      <c r="T3549" s="29">
        <v>10.5</v>
      </c>
    </row>
    <row r="3550" spans="19:20" x14ac:dyDescent="0.25">
      <c r="S3550" s="78">
        <v>30937</v>
      </c>
      <c r="T3550" s="29">
        <v>10.5</v>
      </c>
    </row>
    <row r="3551" spans="19:20" x14ac:dyDescent="0.25">
      <c r="S3551" s="78">
        <v>30938</v>
      </c>
      <c r="T3551" s="29">
        <v>10.5</v>
      </c>
    </row>
    <row r="3552" spans="19:20" x14ac:dyDescent="0.25">
      <c r="S3552" s="78">
        <v>30939</v>
      </c>
      <c r="T3552" s="29">
        <v>10.5</v>
      </c>
    </row>
    <row r="3553" spans="19:21" x14ac:dyDescent="0.25">
      <c r="S3553" s="78">
        <v>30940</v>
      </c>
      <c r="T3553" s="29">
        <v>10.5</v>
      </c>
    </row>
    <row r="3554" spans="19:21" x14ac:dyDescent="0.25">
      <c r="S3554" s="78">
        <v>30941</v>
      </c>
      <c r="T3554" s="29">
        <v>10.5</v>
      </c>
    </row>
    <row r="3555" spans="19:21" x14ac:dyDescent="0.25">
      <c r="S3555" s="78">
        <v>30942</v>
      </c>
      <c r="T3555" s="29">
        <v>10.5</v>
      </c>
    </row>
    <row r="3556" spans="19:21" x14ac:dyDescent="0.25">
      <c r="S3556" s="78">
        <v>30943</v>
      </c>
      <c r="T3556" s="29">
        <v>10.5</v>
      </c>
    </row>
    <row r="3557" spans="19:21" x14ac:dyDescent="0.25">
      <c r="S3557" s="78">
        <v>30944</v>
      </c>
      <c r="T3557" s="29">
        <v>10.5</v>
      </c>
    </row>
    <row r="3558" spans="19:21" x14ac:dyDescent="0.25">
      <c r="S3558" s="78">
        <v>30945</v>
      </c>
      <c r="T3558" s="29">
        <v>10.5</v>
      </c>
    </row>
    <row r="3559" spans="19:21" x14ac:dyDescent="0.25">
      <c r="S3559" s="78">
        <v>30946</v>
      </c>
      <c r="T3559" s="29">
        <v>10.5</v>
      </c>
    </row>
    <row r="3560" spans="19:21" x14ac:dyDescent="0.25">
      <c r="S3560" s="78">
        <v>30947</v>
      </c>
      <c r="T3560" s="29">
        <v>10.5</v>
      </c>
    </row>
    <row r="3561" spans="19:21" x14ac:dyDescent="0.25">
      <c r="S3561" s="78">
        <v>30948</v>
      </c>
      <c r="T3561" s="29">
        <v>10.5</v>
      </c>
    </row>
    <row r="3562" spans="19:21" x14ac:dyDescent="0.25">
      <c r="S3562" s="78">
        <v>30949</v>
      </c>
      <c r="T3562" s="29">
        <v>10.5</v>
      </c>
    </row>
    <row r="3563" spans="19:21" x14ac:dyDescent="0.25">
      <c r="S3563" s="78">
        <v>30950</v>
      </c>
      <c r="T3563" s="29">
        <v>10.5</v>
      </c>
    </row>
    <row r="3564" spans="19:21" x14ac:dyDescent="0.25">
      <c r="S3564" s="78">
        <v>30951</v>
      </c>
      <c r="T3564" s="29">
        <v>10.5</v>
      </c>
    </row>
    <row r="3565" spans="19:21" x14ac:dyDescent="0.25">
      <c r="S3565" s="78">
        <v>30952</v>
      </c>
      <c r="T3565" s="29">
        <v>10.5</v>
      </c>
    </row>
    <row r="3566" spans="19:21" x14ac:dyDescent="0.25">
      <c r="S3566" s="78">
        <v>30953</v>
      </c>
      <c r="T3566" s="29">
        <v>10.5</v>
      </c>
    </row>
    <row r="3567" spans="19:21" x14ac:dyDescent="0.25">
      <c r="S3567" s="78">
        <v>30954</v>
      </c>
      <c r="T3567" s="29">
        <v>10.5</v>
      </c>
      <c r="U3567" s="40"/>
    </row>
    <row r="3568" spans="19:21" x14ac:dyDescent="0.25">
      <c r="S3568" s="78">
        <v>30955</v>
      </c>
      <c r="T3568" s="29">
        <v>10.5</v>
      </c>
      <c r="U3568" s="40">
        <f>AVERAGE(T3477:T3568)</f>
        <v>10.892934782608695</v>
      </c>
    </row>
    <row r="3569" spans="19:20" x14ac:dyDescent="0.25">
      <c r="S3569" s="78">
        <v>30956</v>
      </c>
      <c r="T3569" s="29">
        <v>10.5</v>
      </c>
    </row>
    <row r="3570" spans="19:20" x14ac:dyDescent="0.25">
      <c r="S3570" s="78">
        <v>30957</v>
      </c>
      <c r="T3570" s="29">
        <v>10.5</v>
      </c>
    </row>
    <row r="3571" spans="19:20" x14ac:dyDescent="0.25">
      <c r="S3571" s="78">
        <v>30958</v>
      </c>
      <c r="T3571" s="29">
        <v>10.5</v>
      </c>
    </row>
    <row r="3572" spans="19:20" x14ac:dyDescent="0.25">
      <c r="S3572" s="78">
        <v>30959</v>
      </c>
      <c r="T3572" s="29">
        <v>10.5</v>
      </c>
    </row>
    <row r="3573" spans="19:20" x14ac:dyDescent="0.25">
      <c r="S3573" s="78">
        <v>30960</v>
      </c>
      <c r="T3573" s="29">
        <v>10.5</v>
      </c>
    </row>
    <row r="3574" spans="19:20" x14ac:dyDescent="0.25">
      <c r="S3574" s="78">
        <v>30961</v>
      </c>
      <c r="T3574" s="29">
        <v>10.5</v>
      </c>
    </row>
    <row r="3575" spans="19:20" x14ac:dyDescent="0.25">
      <c r="S3575" s="78">
        <v>30962</v>
      </c>
      <c r="T3575" s="29">
        <v>10.5</v>
      </c>
    </row>
    <row r="3576" spans="19:20" x14ac:dyDescent="0.25">
      <c r="S3576" s="78">
        <v>30963</v>
      </c>
      <c r="T3576" s="29">
        <v>10.5</v>
      </c>
    </row>
    <row r="3577" spans="19:20" x14ac:dyDescent="0.25">
      <c r="S3577" s="78">
        <v>30964</v>
      </c>
      <c r="T3577" s="29">
        <v>10.5</v>
      </c>
    </row>
    <row r="3578" spans="19:20" x14ac:dyDescent="0.25">
      <c r="S3578" s="78">
        <v>30965</v>
      </c>
      <c r="T3578" s="29">
        <v>10.5</v>
      </c>
    </row>
    <row r="3579" spans="19:20" x14ac:dyDescent="0.25">
      <c r="S3579" s="78">
        <v>30966</v>
      </c>
      <c r="T3579" s="29">
        <v>10.5</v>
      </c>
    </row>
    <row r="3580" spans="19:20" x14ac:dyDescent="0.25">
      <c r="S3580" s="78">
        <v>30967</v>
      </c>
      <c r="T3580" s="29">
        <v>10.5</v>
      </c>
    </row>
    <row r="3581" spans="19:20" x14ac:dyDescent="0.25">
      <c r="S3581" s="78">
        <v>30968</v>
      </c>
      <c r="T3581" s="29">
        <v>10.5</v>
      </c>
    </row>
    <row r="3582" spans="19:20" x14ac:dyDescent="0.25">
      <c r="S3582" s="78">
        <v>30969</v>
      </c>
      <c r="T3582" s="29">
        <v>10.5</v>
      </c>
    </row>
    <row r="3583" spans="19:20" x14ac:dyDescent="0.25">
      <c r="S3583" s="78">
        <v>30970</v>
      </c>
      <c r="T3583" s="29">
        <v>10.5</v>
      </c>
    </row>
    <row r="3584" spans="19:20" x14ac:dyDescent="0.25">
      <c r="S3584" s="78">
        <v>30971</v>
      </c>
      <c r="T3584" s="29">
        <v>10.5</v>
      </c>
    </row>
    <row r="3585" spans="19:20" x14ac:dyDescent="0.25">
      <c r="S3585" s="78">
        <v>30972</v>
      </c>
      <c r="T3585" s="29">
        <v>10.5</v>
      </c>
    </row>
    <row r="3586" spans="19:20" x14ac:dyDescent="0.25">
      <c r="S3586" s="78">
        <v>30973</v>
      </c>
      <c r="T3586" s="29">
        <v>10.5</v>
      </c>
    </row>
    <row r="3587" spans="19:20" x14ac:dyDescent="0.25">
      <c r="S3587" s="78">
        <v>30974</v>
      </c>
      <c r="T3587" s="29">
        <v>10.5</v>
      </c>
    </row>
    <row r="3588" spans="19:20" x14ac:dyDescent="0.25">
      <c r="S3588" s="78">
        <v>30975</v>
      </c>
      <c r="T3588" s="29">
        <v>10.5</v>
      </c>
    </row>
    <row r="3589" spans="19:20" x14ac:dyDescent="0.25">
      <c r="S3589" s="78">
        <v>30976</v>
      </c>
      <c r="T3589" s="29">
        <v>10.5</v>
      </c>
    </row>
    <row r="3590" spans="19:20" x14ac:dyDescent="0.25">
      <c r="S3590" s="78">
        <v>30977</v>
      </c>
      <c r="T3590" s="29">
        <v>10.5</v>
      </c>
    </row>
    <row r="3591" spans="19:20" x14ac:dyDescent="0.25">
      <c r="S3591" s="78">
        <v>30978</v>
      </c>
      <c r="T3591" s="29">
        <v>10.5</v>
      </c>
    </row>
    <row r="3592" spans="19:20" x14ac:dyDescent="0.25">
      <c r="S3592" s="78">
        <v>30979</v>
      </c>
      <c r="T3592" s="29">
        <v>10.5</v>
      </c>
    </row>
    <row r="3593" spans="19:20" x14ac:dyDescent="0.25">
      <c r="S3593" s="78">
        <v>30980</v>
      </c>
      <c r="T3593" s="29">
        <v>10.5</v>
      </c>
    </row>
    <row r="3594" spans="19:20" x14ac:dyDescent="0.25">
      <c r="S3594" s="78">
        <v>30981</v>
      </c>
      <c r="T3594" s="29">
        <v>10.5</v>
      </c>
    </row>
    <row r="3595" spans="19:20" x14ac:dyDescent="0.25">
      <c r="S3595" s="78">
        <v>30982</v>
      </c>
      <c r="T3595" s="29">
        <v>10.5</v>
      </c>
    </row>
    <row r="3596" spans="19:20" x14ac:dyDescent="0.25">
      <c r="S3596" s="78">
        <v>30983</v>
      </c>
      <c r="T3596" s="29">
        <v>10.5</v>
      </c>
    </row>
    <row r="3597" spans="19:20" x14ac:dyDescent="0.25">
      <c r="S3597" s="78">
        <v>30984</v>
      </c>
      <c r="T3597" s="29">
        <v>10.5</v>
      </c>
    </row>
    <row r="3598" spans="19:20" x14ac:dyDescent="0.25">
      <c r="S3598" s="78">
        <v>30985</v>
      </c>
      <c r="T3598" s="29">
        <v>10.5</v>
      </c>
    </row>
    <row r="3599" spans="19:20" x14ac:dyDescent="0.25">
      <c r="S3599" s="78">
        <v>30986</v>
      </c>
      <c r="T3599" s="29">
        <v>10.5</v>
      </c>
    </row>
    <row r="3600" spans="19:20" x14ac:dyDescent="0.25">
      <c r="S3600" s="78">
        <v>30987</v>
      </c>
      <c r="T3600" s="29">
        <v>10.5</v>
      </c>
    </row>
    <row r="3601" spans="19:20" x14ac:dyDescent="0.25">
      <c r="S3601" s="78">
        <v>30988</v>
      </c>
      <c r="T3601" s="29">
        <v>10.5</v>
      </c>
    </row>
    <row r="3602" spans="19:20" x14ac:dyDescent="0.25">
      <c r="S3602" s="78">
        <v>30989</v>
      </c>
      <c r="T3602" s="29">
        <v>10.5</v>
      </c>
    </row>
    <row r="3603" spans="19:20" x14ac:dyDescent="0.25">
      <c r="S3603" s="78">
        <v>30990</v>
      </c>
      <c r="T3603" s="29">
        <v>10.5</v>
      </c>
    </row>
    <row r="3604" spans="19:20" x14ac:dyDescent="0.25">
      <c r="S3604" s="78">
        <v>30991</v>
      </c>
      <c r="T3604" s="29">
        <v>10</v>
      </c>
    </row>
    <row r="3605" spans="19:20" x14ac:dyDescent="0.25">
      <c r="S3605" s="78">
        <v>30992</v>
      </c>
      <c r="T3605" s="29">
        <v>10</v>
      </c>
    </row>
    <row r="3606" spans="19:20" x14ac:dyDescent="0.25">
      <c r="S3606" s="78">
        <v>30993</v>
      </c>
      <c r="T3606" s="29">
        <v>10</v>
      </c>
    </row>
    <row r="3607" spans="19:20" x14ac:dyDescent="0.25">
      <c r="S3607" s="78">
        <v>30994</v>
      </c>
      <c r="T3607" s="29">
        <v>10</v>
      </c>
    </row>
    <row r="3608" spans="19:20" x14ac:dyDescent="0.25">
      <c r="S3608" s="78">
        <v>30995</v>
      </c>
      <c r="T3608" s="29">
        <v>10</v>
      </c>
    </row>
    <row r="3609" spans="19:20" x14ac:dyDescent="0.25">
      <c r="S3609" s="78">
        <v>30996</v>
      </c>
      <c r="T3609" s="29">
        <v>10</v>
      </c>
    </row>
    <row r="3610" spans="19:20" x14ac:dyDescent="0.25">
      <c r="S3610" s="78">
        <v>30997</v>
      </c>
      <c r="T3610" s="29">
        <v>10</v>
      </c>
    </row>
    <row r="3611" spans="19:20" x14ac:dyDescent="0.25">
      <c r="S3611" s="78">
        <v>30998</v>
      </c>
      <c r="T3611" s="29">
        <v>10</v>
      </c>
    </row>
    <row r="3612" spans="19:20" x14ac:dyDescent="0.25">
      <c r="S3612" s="78">
        <v>30999</v>
      </c>
      <c r="T3612" s="29">
        <v>10</v>
      </c>
    </row>
    <row r="3613" spans="19:20" x14ac:dyDescent="0.25">
      <c r="S3613" s="78">
        <v>31000</v>
      </c>
      <c r="T3613" s="29">
        <v>10</v>
      </c>
    </row>
    <row r="3614" spans="19:20" x14ac:dyDescent="0.25">
      <c r="S3614" s="78">
        <v>31001</v>
      </c>
      <c r="T3614" s="29">
        <v>10</v>
      </c>
    </row>
    <row r="3615" spans="19:20" x14ac:dyDescent="0.25">
      <c r="S3615" s="78">
        <v>31002</v>
      </c>
      <c r="T3615" s="29">
        <v>10</v>
      </c>
    </row>
    <row r="3616" spans="19:20" x14ac:dyDescent="0.25">
      <c r="S3616" s="78">
        <v>31003</v>
      </c>
      <c r="T3616" s="29">
        <v>10</v>
      </c>
    </row>
    <row r="3617" spans="19:20" x14ac:dyDescent="0.25">
      <c r="S3617" s="78">
        <v>31004</v>
      </c>
      <c r="T3617" s="29">
        <v>10</v>
      </c>
    </row>
    <row r="3618" spans="19:20" x14ac:dyDescent="0.25">
      <c r="S3618" s="78">
        <v>31005</v>
      </c>
      <c r="T3618" s="29">
        <v>9.75</v>
      </c>
    </row>
    <row r="3619" spans="19:20" x14ac:dyDescent="0.25">
      <c r="S3619" s="78">
        <v>31006</v>
      </c>
      <c r="T3619" s="29">
        <v>9.75</v>
      </c>
    </row>
    <row r="3620" spans="19:20" x14ac:dyDescent="0.25">
      <c r="S3620" s="78">
        <v>31007</v>
      </c>
      <c r="T3620" s="29">
        <v>9.75</v>
      </c>
    </row>
    <row r="3621" spans="19:20" x14ac:dyDescent="0.25">
      <c r="S3621" s="78">
        <v>31008</v>
      </c>
      <c r="T3621" s="29">
        <v>9.75</v>
      </c>
    </row>
    <row r="3622" spans="19:20" x14ac:dyDescent="0.25">
      <c r="S3622" s="78">
        <v>31009</v>
      </c>
      <c r="T3622" s="29">
        <v>9.5</v>
      </c>
    </row>
    <row r="3623" spans="19:20" x14ac:dyDescent="0.25">
      <c r="S3623" s="78">
        <v>31010</v>
      </c>
      <c r="T3623" s="29">
        <v>9.5</v>
      </c>
    </row>
    <row r="3624" spans="19:20" x14ac:dyDescent="0.25">
      <c r="S3624" s="78">
        <v>31011</v>
      </c>
      <c r="T3624" s="29">
        <v>9.5</v>
      </c>
    </row>
    <row r="3625" spans="19:20" x14ac:dyDescent="0.25">
      <c r="S3625" s="78">
        <v>31012</v>
      </c>
      <c r="T3625" s="29">
        <v>9.5</v>
      </c>
    </row>
    <row r="3626" spans="19:20" x14ac:dyDescent="0.25">
      <c r="S3626" s="78">
        <v>31013</v>
      </c>
      <c r="T3626" s="29">
        <v>9.5</v>
      </c>
    </row>
    <row r="3627" spans="19:20" x14ac:dyDescent="0.25">
      <c r="S3627" s="78">
        <v>31014</v>
      </c>
      <c r="T3627" s="29">
        <v>9.5</v>
      </c>
    </row>
    <row r="3628" spans="19:20" x14ac:dyDescent="0.25">
      <c r="S3628" s="78">
        <v>31015</v>
      </c>
      <c r="T3628" s="29">
        <v>9.5</v>
      </c>
    </row>
    <row r="3629" spans="19:20" x14ac:dyDescent="0.25">
      <c r="S3629" s="78">
        <v>31016</v>
      </c>
      <c r="T3629" s="29">
        <v>9.5</v>
      </c>
    </row>
    <row r="3630" spans="19:20" x14ac:dyDescent="0.25">
      <c r="S3630" s="78">
        <v>31017</v>
      </c>
      <c r="T3630" s="29">
        <v>9.5</v>
      </c>
    </row>
    <row r="3631" spans="19:20" x14ac:dyDescent="0.25">
      <c r="S3631" s="78">
        <v>31018</v>
      </c>
      <c r="T3631" s="29">
        <v>9.5</v>
      </c>
    </row>
    <row r="3632" spans="19:20" x14ac:dyDescent="0.25">
      <c r="S3632" s="78">
        <v>31019</v>
      </c>
      <c r="T3632" s="29">
        <v>9.5</v>
      </c>
    </row>
    <row r="3633" spans="19:20" x14ac:dyDescent="0.25">
      <c r="S3633" s="78">
        <v>31020</v>
      </c>
      <c r="T3633" s="29">
        <v>9.5</v>
      </c>
    </row>
    <row r="3634" spans="19:20" x14ac:dyDescent="0.25">
      <c r="S3634" s="78">
        <v>31021</v>
      </c>
      <c r="T3634" s="29">
        <v>9.5</v>
      </c>
    </row>
    <row r="3635" spans="19:20" x14ac:dyDescent="0.25">
      <c r="S3635" s="78">
        <v>31022</v>
      </c>
      <c r="T3635" s="29">
        <v>9.5</v>
      </c>
    </row>
    <row r="3636" spans="19:20" x14ac:dyDescent="0.25">
      <c r="S3636" s="78">
        <v>31023</v>
      </c>
      <c r="T3636" s="29">
        <v>9.5</v>
      </c>
    </row>
    <row r="3637" spans="19:20" x14ac:dyDescent="0.25">
      <c r="S3637" s="78">
        <v>31024</v>
      </c>
      <c r="T3637" s="29">
        <v>9.5</v>
      </c>
    </row>
    <row r="3638" spans="19:20" x14ac:dyDescent="0.25">
      <c r="S3638" s="78">
        <v>31025</v>
      </c>
      <c r="T3638" s="29">
        <v>9.5</v>
      </c>
    </row>
    <row r="3639" spans="19:20" x14ac:dyDescent="0.25">
      <c r="S3639" s="78">
        <v>31026</v>
      </c>
      <c r="T3639" s="29">
        <v>9.5</v>
      </c>
    </row>
    <row r="3640" spans="19:20" x14ac:dyDescent="0.25">
      <c r="S3640" s="78">
        <v>31027</v>
      </c>
      <c r="T3640" s="29">
        <v>9.5</v>
      </c>
    </row>
    <row r="3641" spans="19:20" x14ac:dyDescent="0.25">
      <c r="S3641" s="78">
        <v>31028</v>
      </c>
      <c r="T3641" s="29">
        <v>9.5</v>
      </c>
    </row>
    <row r="3642" spans="19:20" x14ac:dyDescent="0.25">
      <c r="S3642" s="78">
        <v>31029</v>
      </c>
      <c r="T3642" s="29">
        <v>9.5</v>
      </c>
    </row>
    <row r="3643" spans="19:20" x14ac:dyDescent="0.25">
      <c r="S3643" s="78">
        <v>31030</v>
      </c>
      <c r="T3643" s="29">
        <v>9.5</v>
      </c>
    </row>
    <row r="3644" spans="19:20" x14ac:dyDescent="0.25">
      <c r="S3644" s="78">
        <v>31031</v>
      </c>
      <c r="T3644" s="29">
        <v>9.5</v>
      </c>
    </row>
    <row r="3645" spans="19:20" x14ac:dyDescent="0.25">
      <c r="S3645" s="78">
        <v>31032</v>
      </c>
      <c r="T3645" s="29">
        <v>9.5</v>
      </c>
    </row>
    <row r="3646" spans="19:20" x14ac:dyDescent="0.25">
      <c r="S3646" s="78">
        <v>31033</v>
      </c>
      <c r="T3646" s="29">
        <v>9.5</v>
      </c>
    </row>
    <row r="3647" spans="19:20" x14ac:dyDescent="0.25">
      <c r="S3647" s="78">
        <v>31034</v>
      </c>
      <c r="T3647" s="29">
        <v>9.5</v>
      </c>
    </row>
    <row r="3648" spans="19:20" x14ac:dyDescent="0.25">
      <c r="S3648" s="78">
        <v>31035</v>
      </c>
      <c r="T3648" s="29">
        <v>9.5</v>
      </c>
    </row>
    <row r="3649" spans="19:21" x14ac:dyDescent="0.25">
      <c r="S3649" s="78">
        <v>31036</v>
      </c>
      <c r="T3649" s="29">
        <v>9.5</v>
      </c>
    </row>
    <row r="3650" spans="19:21" x14ac:dyDescent="0.25">
      <c r="S3650" s="78">
        <v>31037</v>
      </c>
      <c r="T3650" s="29">
        <v>9.5</v>
      </c>
    </row>
    <row r="3651" spans="19:21" x14ac:dyDescent="0.25">
      <c r="S3651" s="78">
        <v>31038</v>
      </c>
      <c r="T3651" s="29">
        <v>9.5</v>
      </c>
    </row>
    <row r="3652" spans="19:21" x14ac:dyDescent="0.25">
      <c r="S3652" s="78">
        <v>31039</v>
      </c>
      <c r="T3652" s="29">
        <v>9.5</v>
      </c>
    </row>
    <row r="3653" spans="19:21" x14ac:dyDescent="0.25">
      <c r="S3653" s="78">
        <v>31040</v>
      </c>
      <c r="T3653" s="29">
        <v>9.5</v>
      </c>
    </row>
    <row r="3654" spans="19:21" x14ac:dyDescent="0.25">
      <c r="S3654" s="78">
        <v>31041</v>
      </c>
      <c r="T3654" s="29">
        <v>9.5</v>
      </c>
    </row>
    <row r="3655" spans="19:21" x14ac:dyDescent="0.25">
      <c r="S3655" s="78">
        <v>31042</v>
      </c>
      <c r="T3655" s="29">
        <v>9.5</v>
      </c>
    </row>
    <row r="3656" spans="19:21" x14ac:dyDescent="0.25">
      <c r="S3656" s="78">
        <v>31043</v>
      </c>
      <c r="T3656" s="29">
        <v>9.5</v>
      </c>
    </row>
    <row r="3657" spans="19:21" x14ac:dyDescent="0.25">
      <c r="S3657" s="78">
        <v>31044</v>
      </c>
      <c r="T3657" s="29">
        <v>9.5</v>
      </c>
    </row>
    <row r="3658" spans="19:21" x14ac:dyDescent="0.25">
      <c r="S3658" s="78">
        <v>31045</v>
      </c>
      <c r="T3658" s="29">
        <v>9.5</v>
      </c>
    </row>
    <row r="3659" spans="19:21" x14ac:dyDescent="0.25">
      <c r="S3659" s="78">
        <v>31046</v>
      </c>
      <c r="T3659" s="29">
        <v>9.5</v>
      </c>
      <c r="U3659" s="40"/>
    </row>
    <row r="3660" spans="19:21" x14ac:dyDescent="0.25">
      <c r="S3660" s="78">
        <v>31047</v>
      </c>
      <c r="T3660" s="29">
        <v>9.5</v>
      </c>
      <c r="U3660" s="40">
        <f>AVERAGE(T3569:T3660)</f>
        <v>9.9673913043478262</v>
      </c>
    </row>
    <row r="3661" spans="19:21" x14ac:dyDescent="0.25">
      <c r="S3661" s="78">
        <v>31048</v>
      </c>
      <c r="T3661" s="29">
        <v>9.5</v>
      </c>
    </row>
    <row r="3662" spans="19:21" x14ac:dyDescent="0.25">
      <c r="S3662" s="78">
        <v>31049</v>
      </c>
      <c r="T3662" s="29">
        <v>9.5</v>
      </c>
    </row>
    <row r="3663" spans="19:21" x14ac:dyDescent="0.25">
      <c r="S3663" s="78">
        <v>31050</v>
      </c>
      <c r="T3663" s="29">
        <v>9.5</v>
      </c>
    </row>
    <row r="3664" spans="19:21" x14ac:dyDescent="0.25">
      <c r="S3664" s="78">
        <v>31051</v>
      </c>
      <c r="T3664" s="29">
        <v>9.5</v>
      </c>
    </row>
    <row r="3665" spans="19:20" x14ac:dyDescent="0.25">
      <c r="S3665" s="78">
        <v>31052</v>
      </c>
      <c r="T3665" s="29">
        <v>9.5</v>
      </c>
    </row>
    <row r="3666" spans="19:20" x14ac:dyDescent="0.25">
      <c r="S3666" s="78">
        <v>31053</v>
      </c>
      <c r="T3666" s="29">
        <v>9.5</v>
      </c>
    </row>
    <row r="3667" spans="19:20" x14ac:dyDescent="0.25">
      <c r="S3667" s="78">
        <v>31054</v>
      </c>
      <c r="T3667" s="29">
        <v>9.5</v>
      </c>
    </row>
    <row r="3668" spans="19:20" x14ac:dyDescent="0.25">
      <c r="S3668" s="78">
        <v>31055</v>
      </c>
      <c r="T3668" s="29">
        <v>9.5</v>
      </c>
    </row>
    <row r="3669" spans="19:20" x14ac:dyDescent="0.25">
      <c r="S3669" s="78">
        <v>31056</v>
      </c>
      <c r="T3669" s="29">
        <v>9.5</v>
      </c>
    </row>
    <row r="3670" spans="19:20" x14ac:dyDescent="0.25">
      <c r="S3670" s="78">
        <v>31057</v>
      </c>
      <c r="T3670" s="29">
        <v>9.5</v>
      </c>
    </row>
    <row r="3671" spans="19:20" x14ac:dyDescent="0.25">
      <c r="S3671" s="78">
        <v>31058</v>
      </c>
      <c r="T3671" s="29">
        <v>9.5</v>
      </c>
    </row>
    <row r="3672" spans="19:20" x14ac:dyDescent="0.25">
      <c r="S3672" s="78">
        <v>31059</v>
      </c>
      <c r="T3672" s="29">
        <v>9.5</v>
      </c>
    </row>
    <row r="3673" spans="19:20" x14ac:dyDescent="0.25">
      <c r="S3673" s="78">
        <v>31060</v>
      </c>
      <c r="T3673" s="29">
        <v>9.5</v>
      </c>
    </row>
    <row r="3674" spans="19:20" x14ac:dyDescent="0.25">
      <c r="S3674" s="78">
        <v>31061</v>
      </c>
      <c r="T3674" s="29">
        <v>11.88</v>
      </c>
    </row>
    <row r="3675" spans="19:20" x14ac:dyDescent="0.25">
      <c r="S3675" s="78">
        <v>31062</v>
      </c>
      <c r="T3675" s="29">
        <v>11.88</v>
      </c>
    </row>
    <row r="3676" spans="19:20" x14ac:dyDescent="0.25">
      <c r="S3676" s="78">
        <v>31063</v>
      </c>
      <c r="T3676" s="29">
        <v>11.88</v>
      </c>
    </row>
    <row r="3677" spans="19:20" x14ac:dyDescent="0.25">
      <c r="S3677" s="78">
        <v>31064</v>
      </c>
      <c r="T3677" s="29">
        <v>11.88</v>
      </c>
    </row>
    <row r="3678" spans="19:20" x14ac:dyDescent="0.25">
      <c r="S3678" s="78">
        <v>31065</v>
      </c>
      <c r="T3678" s="29">
        <v>11.88</v>
      </c>
    </row>
    <row r="3679" spans="19:20" x14ac:dyDescent="0.25">
      <c r="S3679" s="78">
        <v>31066</v>
      </c>
      <c r="T3679" s="29">
        <v>11.88</v>
      </c>
    </row>
    <row r="3680" spans="19:20" x14ac:dyDescent="0.25">
      <c r="S3680" s="78">
        <v>31067</v>
      </c>
      <c r="T3680" s="29">
        <v>11.88</v>
      </c>
    </row>
    <row r="3681" spans="19:20" x14ac:dyDescent="0.25">
      <c r="S3681" s="78">
        <v>31068</v>
      </c>
      <c r="T3681" s="29">
        <v>11.88</v>
      </c>
    </row>
    <row r="3682" spans="19:20" x14ac:dyDescent="0.25">
      <c r="S3682" s="78">
        <v>31069</v>
      </c>
      <c r="T3682" s="29">
        <v>11.88</v>
      </c>
    </row>
    <row r="3683" spans="19:20" x14ac:dyDescent="0.25">
      <c r="S3683" s="78">
        <v>31070</v>
      </c>
      <c r="T3683" s="29">
        <v>11.88</v>
      </c>
    </row>
    <row r="3684" spans="19:20" x14ac:dyDescent="0.25">
      <c r="S3684" s="78">
        <v>31071</v>
      </c>
      <c r="T3684" s="29">
        <v>11.88</v>
      </c>
    </row>
    <row r="3685" spans="19:20" x14ac:dyDescent="0.25">
      <c r="S3685" s="78">
        <v>31072</v>
      </c>
      <c r="T3685" s="29">
        <v>11.88</v>
      </c>
    </row>
    <row r="3686" spans="19:20" x14ac:dyDescent="0.25">
      <c r="S3686" s="78">
        <v>31073</v>
      </c>
      <c r="T3686" s="29">
        <v>11.88</v>
      </c>
    </row>
    <row r="3687" spans="19:20" x14ac:dyDescent="0.25">
      <c r="S3687" s="78">
        <v>31074</v>
      </c>
      <c r="T3687" s="29">
        <v>11.88</v>
      </c>
    </row>
    <row r="3688" spans="19:20" x14ac:dyDescent="0.25">
      <c r="S3688" s="78">
        <v>31075</v>
      </c>
      <c r="T3688" s="29">
        <v>13.88</v>
      </c>
    </row>
    <row r="3689" spans="19:20" x14ac:dyDescent="0.25">
      <c r="S3689" s="78">
        <v>31076</v>
      </c>
      <c r="T3689" s="29">
        <v>13.88</v>
      </c>
    </row>
    <row r="3690" spans="19:20" x14ac:dyDescent="0.25">
      <c r="S3690" s="78">
        <v>31077</v>
      </c>
      <c r="T3690" s="29">
        <v>13.88</v>
      </c>
    </row>
    <row r="3691" spans="19:20" x14ac:dyDescent="0.25">
      <c r="S3691" s="78">
        <v>31078</v>
      </c>
      <c r="T3691" s="29">
        <v>13.88</v>
      </c>
    </row>
    <row r="3692" spans="19:20" x14ac:dyDescent="0.25">
      <c r="S3692" s="78">
        <v>31079</v>
      </c>
      <c r="T3692" s="29">
        <v>13.88</v>
      </c>
    </row>
    <row r="3693" spans="19:20" x14ac:dyDescent="0.25">
      <c r="S3693" s="78">
        <v>31080</v>
      </c>
      <c r="T3693" s="29">
        <v>13.88</v>
      </c>
    </row>
    <row r="3694" spans="19:20" x14ac:dyDescent="0.25">
      <c r="S3694" s="78">
        <v>31081</v>
      </c>
      <c r="T3694" s="29">
        <v>13.88</v>
      </c>
    </row>
    <row r="3695" spans="19:20" x14ac:dyDescent="0.25">
      <c r="S3695" s="78">
        <v>31082</v>
      </c>
      <c r="T3695" s="29">
        <v>13.88</v>
      </c>
    </row>
    <row r="3696" spans="19:20" x14ac:dyDescent="0.25">
      <c r="S3696" s="78">
        <v>31083</v>
      </c>
      <c r="T3696" s="29">
        <v>13.88</v>
      </c>
    </row>
    <row r="3697" spans="19:20" x14ac:dyDescent="0.25">
      <c r="S3697" s="78">
        <v>31084</v>
      </c>
      <c r="T3697" s="29">
        <v>13.88</v>
      </c>
    </row>
    <row r="3698" spans="19:20" x14ac:dyDescent="0.25">
      <c r="S3698" s="78">
        <v>31085</v>
      </c>
      <c r="T3698" s="29">
        <v>13.88</v>
      </c>
    </row>
    <row r="3699" spans="19:20" x14ac:dyDescent="0.25">
      <c r="S3699" s="78">
        <v>31086</v>
      </c>
      <c r="T3699" s="29">
        <v>13.88</v>
      </c>
    </row>
    <row r="3700" spans="19:20" x14ac:dyDescent="0.25">
      <c r="S3700" s="78">
        <v>31087</v>
      </c>
      <c r="T3700" s="29">
        <v>13.88</v>
      </c>
    </row>
    <row r="3701" spans="19:20" x14ac:dyDescent="0.25">
      <c r="S3701" s="78">
        <v>31088</v>
      </c>
      <c r="T3701" s="29">
        <v>13.88</v>
      </c>
    </row>
    <row r="3702" spans="19:20" x14ac:dyDescent="0.25">
      <c r="S3702" s="78">
        <v>31089</v>
      </c>
      <c r="T3702" s="29">
        <v>13.88</v>
      </c>
    </row>
    <row r="3703" spans="19:20" x14ac:dyDescent="0.25">
      <c r="S3703" s="78">
        <v>31090</v>
      </c>
      <c r="T3703" s="29">
        <v>13.88</v>
      </c>
    </row>
    <row r="3704" spans="19:20" x14ac:dyDescent="0.25">
      <c r="S3704" s="78">
        <v>31091</v>
      </c>
      <c r="T3704" s="29">
        <v>13.88</v>
      </c>
    </row>
    <row r="3705" spans="19:20" x14ac:dyDescent="0.25">
      <c r="S3705" s="78">
        <v>31092</v>
      </c>
      <c r="T3705" s="29">
        <v>13.88</v>
      </c>
    </row>
    <row r="3706" spans="19:20" x14ac:dyDescent="0.25">
      <c r="S3706" s="78">
        <v>31093</v>
      </c>
      <c r="T3706" s="29">
        <v>13.88</v>
      </c>
    </row>
    <row r="3707" spans="19:20" x14ac:dyDescent="0.25">
      <c r="S3707" s="78">
        <v>31094</v>
      </c>
      <c r="T3707" s="29">
        <v>13.88</v>
      </c>
    </row>
    <row r="3708" spans="19:20" x14ac:dyDescent="0.25">
      <c r="S3708" s="78">
        <v>31095</v>
      </c>
      <c r="T3708" s="29">
        <v>13.88</v>
      </c>
    </row>
    <row r="3709" spans="19:20" x14ac:dyDescent="0.25">
      <c r="S3709" s="78">
        <v>31096</v>
      </c>
      <c r="T3709" s="29">
        <v>13.88</v>
      </c>
    </row>
    <row r="3710" spans="19:20" x14ac:dyDescent="0.25">
      <c r="S3710" s="78">
        <v>31097</v>
      </c>
      <c r="T3710" s="29">
        <v>13.88</v>
      </c>
    </row>
    <row r="3711" spans="19:20" x14ac:dyDescent="0.25">
      <c r="S3711" s="78">
        <v>31098</v>
      </c>
      <c r="T3711" s="29">
        <v>13.88</v>
      </c>
    </row>
    <row r="3712" spans="19:20" x14ac:dyDescent="0.25">
      <c r="S3712" s="78">
        <v>31099</v>
      </c>
      <c r="T3712" s="29">
        <v>13.88</v>
      </c>
    </row>
    <row r="3713" spans="19:20" x14ac:dyDescent="0.25">
      <c r="S3713" s="78">
        <v>31100</v>
      </c>
      <c r="T3713" s="29">
        <v>13.88</v>
      </c>
    </row>
    <row r="3714" spans="19:20" x14ac:dyDescent="0.25">
      <c r="S3714" s="78">
        <v>31101</v>
      </c>
      <c r="T3714" s="29">
        <v>13.88</v>
      </c>
    </row>
    <row r="3715" spans="19:20" x14ac:dyDescent="0.25">
      <c r="S3715" s="78">
        <v>31102</v>
      </c>
      <c r="T3715" s="29">
        <v>13.88</v>
      </c>
    </row>
    <row r="3716" spans="19:20" x14ac:dyDescent="0.25">
      <c r="S3716" s="78">
        <v>31103</v>
      </c>
      <c r="T3716" s="29">
        <v>13.88</v>
      </c>
    </row>
    <row r="3717" spans="19:20" x14ac:dyDescent="0.25">
      <c r="S3717" s="78">
        <v>31104</v>
      </c>
      <c r="T3717" s="29">
        <v>13.88</v>
      </c>
    </row>
    <row r="3718" spans="19:20" x14ac:dyDescent="0.25">
      <c r="S3718" s="78">
        <v>31105</v>
      </c>
      <c r="T3718" s="29">
        <v>13.88</v>
      </c>
    </row>
    <row r="3719" spans="19:20" x14ac:dyDescent="0.25">
      <c r="S3719" s="78">
        <v>31106</v>
      </c>
      <c r="T3719" s="29">
        <v>13.88</v>
      </c>
    </row>
    <row r="3720" spans="19:20" x14ac:dyDescent="0.25">
      <c r="S3720" s="78">
        <v>31107</v>
      </c>
      <c r="T3720" s="29">
        <v>13.88</v>
      </c>
    </row>
    <row r="3721" spans="19:20" x14ac:dyDescent="0.25">
      <c r="S3721" s="78">
        <v>31108</v>
      </c>
      <c r="T3721" s="29">
        <v>13.88</v>
      </c>
    </row>
    <row r="3722" spans="19:20" x14ac:dyDescent="0.25">
      <c r="S3722" s="78">
        <v>31109</v>
      </c>
      <c r="T3722" s="29">
        <v>13.88</v>
      </c>
    </row>
    <row r="3723" spans="19:20" x14ac:dyDescent="0.25">
      <c r="S3723" s="78">
        <v>31110</v>
      </c>
      <c r="T3723" s="29">
        <v>13.88</v>
      </c>
    </row>
    <row r="3724" spans="19:20" x14ac:dyDescent="0.25">
      <c r="S3724" s="78">
        <v>31111</v>
      </c>
      <c r="T3724" s="29">
        <v>13.88</v>
      </c>
    </row>
    <row r="3725" spans="19:20" x14ac:dyDescent="0.25">
      <c r="S3725" s="78">
        <v>31112</v>
      </c>
      <c r="T3725" s="29">
        <v>13.88</v>
      </c>
    </row>
    <row r="3726" spans="19:20" x14ac:dyDescent="0.25">
      <c r="S3726" s="78">
        <v>31113</v>
      </c>
      <c r="T3726" s="29">
        <v>13.88</v>
      </c>
    </row>
    <row r="3727" spans="19:20" x14ac:dyDescent="0.25">
      <c r="S3727" s="78">
        <v>31114</v>
      </c>
      <c r="T3727" s="29">
        <v>13.88</v>
      </c>
    </row>
    <row r="3728" spans="19:20" x14ac:dyDescent="0.25">
      <c r="S3728" s="78">
        <v>31115</v>
      </c>
      <c r="T3728" s="29">
        <v>13.88</v>
      </c>
    </row>
    <row r="3729" spans="19:20" x14ac:dyDescent="0.25">
      <c r="S3729" s="78">
        <v>31116</v>
      </c>
      <c r="T3729" s="29">
        <v>13.88</v>
      </c>
    </row>
    <row r="3730" spans="19:20" x14ac:dyDescent="0.25">
      <c r="S3730" s="78">
        <v>31117</v>
      </c>
      <c r="T3730" s="29">
        <v>13.88</v>
      </c>
    </row>
    <row r="3731" spans="19:20" x14ac:dyDescent="0.25">
      <c r="S3731" s="78">
        <v>31118</v>
      </c>
      <c r="T3731" s="29">
        <v>13.88</v>
      </c>
    </row>
    <row r="3732" spans="19:20" x14ac:dyDescent="0.25">
      <c r="S3732" s="78">
        <v>31119</v>
      </c>
      <c r="T3732" s="29">
        <v>13.88</v>
      </c>
    </row>
    <row r="3733" spans="19:20" x14ac:dyDescent="0.25">
      <c r="S3733" s="78">
        <v>31120</v>
      </c>
      <c r="T3733" s="29">
        <v>13.88</v>
      </c>
    </row>
    <row r="3734" spans="19:20" x14ac:dyDescent="0.25">
      <c r="S3734" s="78">
        <v>31121</v>
      </c>
      <c r="T3734" s="29">
        <v>13.88</v>
      </c>
    </row>
    <row r="3735" spans="19:20" x14ac:dyDescent="0.25">
      <c r="S3735" s="78">
        <v>31122</v>
      </c>
      <c r="T3735" s="29">
        <v>13.88</v>
      </c>
    </row>
    <row r="3736" spans="19:20" x14ac:dyDescent="0.25">
      <c r="S3736" s="78">
        <v>31123</v>
      </c>
      <c r="T3736" s="29">
        <v>13.88</v>
      </c>
    </row>
    <row r="3737" spans="19:20" x14ac:dyDescent="0.25">
      <c r="S3737" s="78">
        <v>31124</v>
      </c>
      <c r="T3737" s="29">
        <v>13.88</v>
      </c>
    </row>
    <row r="3738" spans="19:20" x14ac:dyDescent="0.25">
      <c r="S3738" s="78">
        <v>31125</v>
      </c>
      <c r="T3738" s="29">
        <v>13.88</v>
      </c>
    </row>
    <row r="3739" spans="19:20" x14ac:dyDescent="0.25">
      <c r="S3739" s="78">
        <v>31126</v>
      </c>
      <c r="T3739" s="29">
        <v>13.38</v>
      </c>
    </row>
    <row r="3740" spans="19:20" x14ac:dyDescent="0.25">
      <c r="S3740" s="78">
        <v>31127</v>
      </c>
      <c r="T3740" s="29">
        <v>13.38</v>
      </c>
    </row>
    <row r="3741" spans="19:20" x14ac:dyDescent="0.25">
      <c r="S3741" s="78">
        <v>31128</v>
      </c>
      <c r="T3741" s="29">
        <v>13.38</v>
      </c>
    </row>
    <row r="3742" spans="19:20" x14ac:dyDescent="0.25">
      <c r="S3742" s="78">
        <v>31129</v>
      </c>
      <c r="T3742" s="29">
        <v>13.38</v>
      </c>
    </row>
    <row r="3743" spans="19:20" x14ac:dyDescent="0.25">
      <c r="S3743" s="78">
        <v>31130</v>
      </c>
      <c r="T3743" s="29">
        <v>13.38</v>
      </c>
    </row>
    <row r="3744" spans="19:20" x14ac:dyDescent="0.25">
      <c r="S3744" s="78">
        <v>31131</v>
      </c>
      <c r="T3744" s="29">
        <v>13.38</v>
      </c>
    </row>
    <row r="3745" spans="19:21" x14ac:dyDescent="0.25">
      <c r="S3745" s="78">
        <v>31132</v>
      </c>
      <c r="T3745" s="29">
        <v>13.38</v>
      </c>
    </row>
    <row r="3746" spans="19:21" x14ac:dyDescent="0.25">
      <c r="S3746" s="78">
        <v>31133</v>
      </c>
      <c r="T3746" s="29">
        <v>13.38</v>
      </c>
    </row>
    <row r="3747" spans="19:21" x14ac:dyDescent="0.25">
      <c r="S3747" s="78">
        <v>31134</v>
      </c>
      <c r="T3747" s="29">
        <v>12.88</v>
      </c>
    </row>
    <row r="3748" spans="19:21" x14ac:dyDescent="0.25">
      <c r="S3748" s="78">
        <v>31135</v>
      </c>
      <c r="T3748" s="29">
        <v>12.88</v>
      </c>
    </row>
    <row r="3749" spans="19:21" x14ac:dyDescent="0.25">
      <c r="S3749" s="78">
        <v>31136</v>
      </c>
      <c r="T3749" s="29">
        <v>12.88</v>
      </c>
    </row>
    <row r="3750" spans="19:21" x14ac:dyDescent="0.25">
      <c r="S3750" s="78">
        <v>31137</v>
      </c>
      <c r="T3750" s="29">
        <v>12.88</v>
      </c>
      <c r="U3750" s="39">
        <f>AVERAGE(T3661:T3750)</f>
        <v>12.847333333333344</v>
      </c>
    </row>
    <row r="3751" spans="19:21" x14ac:dyDescent="0.25">
      <c r="S3751" s="78">
        <v>31138</v>
      </c>
      <c r="T3751" s="29">
        <v>12.88</v>
      </c>
    </row>
    <row r="3752" spans="19:21" x14ac:dyDescent="0.25">
      <c r="S3752" s="78">
        <v>31139</v>
      </c>
      <c r="T3752" s="29">
        <v>12.88</v>
      </c>
    </row>
    <row r="3753" spans="19:21" x14ac:dyDescent="0.25">
      <c r="S3753" s="78">
        <v>31140</v>
      </c>
      <c r="T3753" s="29">
        <v>12.88</v>
      </c>
    </row>
    <row r="3754" spans="19:21" x14ac:dyDescent="0.25">
      <c r="S3754" s="78">
        <v>31141</v>
      </c>
      <c r="T3754" s="29">
        <v>12.88</v>
      </c>
    </row>
    <row r="3755" spans="19:21" x14ac:dyDescent="0.25">
      <c r="S3755" s="78">
        <v>31142</v>
      </c>
      <c r="T3755" s="29">
        <v>12.88</v>
      </c>
    </row>
    <row r="3756" spans="19:21" x14ac:dyDescent="0.25">
      <c r="S3756" s="78">
        <v>31143</v>
      </c>
      <c r="T3756" s="29">
        <v>12.88</v>
      </c>
    </row>
    <row r="3757" spans="19:21" x14ac:dyDescent="0.25">
      <c r="S3757" s="78">
        <v>31144</v>
      </c>
      <c r="T3757" s="29">
        <v>12.88</v>
      </c>
    </row>
    <row r="3758" spans="19:21" x14ac:dyDescent="0.25">
      <c r="S3758" s="78">
        <v>31145</v>
      </c>
      <c r="T3758" s="29">
        <v>12.88</v>
      </c>
    </row>
    <row r="3759" spans="19:21" x14ac:dyDescent="0.25">
      <c r="S3759" s="78">
        <v>31146</v>
      </c>
      <c r="T3759" s="29">
        <v>12.88</v>
      </c>
    </row>
    <row r="3760" spans="19:21" x14ac:dyDescent="0.25">
      <c r="S3760" s="78">
        <v>31147</v>
      </c>
      <c r="T3760" s="29">
        <v>12.88</v>
      </c>
    </row>
    <row r="3761" spans="19:20" x14ac:dyDescent="0.25">
      <c r="S3761" s="78">
        <v>31148</v>
      </c>
      <c r="T3761" s="29">
        <v>12.88</v>
      </c>
    </row>
    <row r="3762" spans="19:20" x14ac:dyDescent="0.25">
      <c r="S3762" s="78">
        <v>31149</v>
      </c>
      <c r="T3762" s="29">
        <v>12.88</v>
      </c>
    </row>
    <row r="3763" spans="19:20" x14ac:dyDescent="0.25">
      <c r="S3763" s="78">
        <v>31150</v>
      </c>
      <c r="T3763" s="29">
        <v>12.88</v>
      </c>
    </row>
    <row r="3764" spans="19:20" x14ac:dyDescent="0.25">
      <c r="S3764" s="78">
        <v>31151</v>
      </c>
      <c r="T3764" s="29">
        <v>12.88</v>
      </c>
    </row>
    <row r="3765" spans="19:20" x14ac:dyDescent="0.25">
      <c r="S3765" s="78">
        <v>31152</v>
      </c>
      <c r="T3765" s="29">
        <v>12.88</v>
      </c>
    </row>
    <row r="3766" spans="19:20" x14ac:dyDescent="0.25">
      <c r="S3766" s="78">
        <v>31153</v>
      </c>
      <c r="T3766" s="29">
        <v>12.88</v>
      </c>
    </row>
    <row r="3767" spans="19:20" x14ac:dyDescent="0.25">
      <c r="S3767" s="78">
        <v>31154</v>
      </c>
      <c r="T3767" s="29">
        <v>12.88</v>
      </c>
    </row>
    <row r="3768" spans="19:20" x14ac:dyDescent="0.25">
      <c r="S3768" s="78">
        <v>31155</v>
      </c>
      <c r="T3768" s="29">
        <v>12.88</v>
      </c>
    </row>
    <row r="3769" spans="19:20" x14ac:dyDescent="0.25">
      <c r="S3769" s="78">
        <v>31156</v>
      </c>
      <c r="T3769" s="29">
        <v>12.38</v>
      </c>
    </row>
    <row r="3770" spans="19:20" x14ac:dyDescent="0.25">
      <c r="S3770" s="78">
        <v>31157</v>
      </c>
      <c r="T3770" s="29">
        <v>12.38</v>
      </c>
    </row>
    <row r="3771" spans="19:20" x14ac:dyDescent="0.25">
      <c r="S3771" s="78">
        <v>31158</v>
      </c>
      <c r="T3771" s="29">
        <v>12.38</v>
      </c>
    </row>
    <row r="3772" spans="19:20" x14ac:dyDescent="0.25">
      <c r="S3772" s="78">
        <v>31159</v>
      </c>
      <c r="T3772" s="29">
        <v>12.38</v>
      </c>
    </row>
    <row r="3773" spans="19:20" x14ac:dyDescent="0.25">
      <c r="S3773" s="78">
        <v>31160</v>
      </c>
      <c r="T3773" s="29">
        <v>12.38</v>
      </c>
    </row>
    <row r="3774" spans="19:20" x14ac:dyDescent="0.25">
      <c r="S3774" s="78">
        <v>31161</v>
      </c>
      <c r="T3774" s="29">
        <v>12.38</v>
      </c>
    </row>
    <row r="3775" spans="19:20" x14ac:dyDescent="0.25">
      <c r="S3775" s="78">
        <v>31162</v>
      </c>
      <c r="T3775" s="29">
        <v>12.38</v>
      </c>
    </row>
    <row r="3776" spans="19:20" x14ac:dyDescent="0.25">
      <c r="S3776" s="78">
        <v>31163</v>
      </c>
      <c r="T3776" s="29">
        <v>12.38</v>
      </c>
    </row>
    <row r="3777" spans="19:20" x14ac:dyDescent="0.25">
      <c r="S3777" s="78">
        <v>31164</v>
      </c>
      <c r="T3777" s="29">
        <v>12.38</v>
      </c>
    </row>
    <row r="3778" spans="19:20" x14ac:dyDescent="0.25">
      <c r="S3778" s="78">
        <v>31165</v>
      </c>
      <c r="T3778" s="29">
        <v>12.38</v>
      </c>
    </row>
    <row r="3779" spans="19:20" x14ac:dyDescent="0.25">
      <c r="S3779" s="78">
        <v>31166</v>
      </c>
      <c r="T3779" s="29">
        <v>12.38</v>
      </c>
    </row>
    <row r="3780" spans="19:20" x14ac:dyDescent="0.25">
      <c r="S3780" s="78">
        <v>31167</v>
      </c>
      <c r="T3780" s="29">
        <v>12.38</v>
      </c>
    </row>
    <row r="3781" spans="19:20" x14ac:dyDescent="0.25">
      <c r="S3781" s="78">
        <v>31168</v>
      </c>
      <c r="T3781" s="29">
        <v>12.38</v>
      </c>
    </row>
    <row r="3782" spans="19:20" x14ac:dyDescent="0.25">
      <c r="S3782" s="78">
        <v>31169</v>
      </c>
      <c r="T3782" s="29">
        <v>12.38</v>
      </c>
    </row>
    <row r="3783" spans="19:20" x14ac:dyDescent="0.25">
      <c r="S3783" s="78">
        <v>31170</v>
      </c>
      <c r="T3783" s="29">
        <v>12.38</v>
      </c>
    </row>
    <row r="3784" spans="19:20" x14ac:dyDescent="0.25">
      <c r="S3784" s="78">
        <v>31171</v>
      </c>
      <c r="T3784" s="29">
        <v>12.38</v>
      </c>
    </row>
    <row r="3785" spans="19:20" x14ac:dyDescent="0.25">
      <c r="S3785" s="78">
        <v>31172</v>
      </c>
      <c r="T3785" s="29">
        <v>12.38</v>
      </c>
    </row>
    <row r="3786" spans="19:20" x14ac:dyDescent="0.25">
      <c r="S3786" s="78">
        <v>31173</v>
      </c>
      <c r="T3786" s="29">
        <v>12.38</v>
      </c>
    </row>
    <row r="3787" spans="19:20" x14ac:dyDescent="0.25">
      <c r="S3787" s="78">
        <v>31174</v>
      </c>
      <c r="T3787" s="29">
        <v>12.38</v>
      </c>
    </row>
    <row r="3788" spans="19:20" x14ac:dyDescent="0.25">
      <c r="S3788" s="78">
        <v>31175</v>
      </c>
      <c r="T3788" s="29">
        <v>12.38</v>
      </c>
    </row>
    <row r="3789" spans="19:20" x14ac:dyDescent="0.25">
      <c r="S3789" s="78">
        <v>31176</v>
      </c>
      <c r="T3789" s="29">
        <v>12.38</v>
      </c>
    </row>
    <row r="3790" spans="19:20" x14ac:dyDescent="0.25">
      <c r="S3790" s="78">
        <v>31177</v>
      </c>
      <c r="T3790" s="29">
        <v>12.38</v>
      </c>
    </row>
    <row r="3791" spans="19:20" x14ac:dyDescent="0.25">
      <c r="S3791" s="78">
        <v>31178</v>
      </c>
      <c r="T3791" s="29">
        <v>12.38</v>
      </c>
    </row>
    <row r="3792" spans="19:20" x14ac:dyDescent="0.25">
      <c r="S3792" s="78">
        <v>31179</v>
      </c>
      <c r="T3792" s="29">
        <v>12.38</v>
      </c>
    </row>
    <row r="3793" spans="19:20" x14ac:dyDescent="0.25">
      <c r="S3793" s="78">
        <v>31180</v>
      </c>
      <c r="T3793" s="29">
        <v>12.38</v>
      </c>
    </row>
    <row r="3794" spans="19:20" x14ac:dyDescent="0.25">
      <c r="S3794" s="78">
        <v>31181</v>
      </c>
      <c r="T3794" s="29">
        <v>12.38</v>
      </c>
    </row>
    <row r="3795" spans="19:20" x14ac:dyDescent="0.25">
      <c r="S3795" s="78">
        <v>31182</v>
      </c>
      <c r="T3795" s="29">
        <v>12.38</v>
      </c>
    </row>
    <row r="3796" spans="19:20" x14ac:dyDescent="0.25">
      <c r="S3796" s="78">
        <v>31183</v>
      </c>
      <c r="T3796" s="29">
        <v>12.38</v>
      </c>
    </row>
    <row r="3797" spans="19:20" x14ac:dyDescent="0.25">
      <c r="S3797" s="78">
        <v>31184</v>
      </c>
      <c r="T3797" s="29">
        <v>12.38</v>
      </c>
    </row>
    <row r="3798" spans="19:20" x14ac:dyDescent="0.25">
      <c r="S3798" s="78">
        <v>31185</v>
      </c>
      <c r="T3798" s="29">
        <v>12.38</v>
      </c>
    </row>
    <row r="3799" spans="19:20" x14ac:dyDescent="0.25">
      <c r="S3799" s="78">
        <v>31186</v>
      </c>
      <c r="T3799" s="29">
        <v>12.38</v>
      </c>
    </row>
    <row r="3800" spans="19:20" x14ac:dyDescent="0.25">
      <c r="S3800" s="78">
        <v>31187</v>
      </c>
      <c r="T3800" s="29">
        <v>12.38</v>
      </c>
    </row>
    <row r="3801" spans="19:20" x14ac:dyDescent="0.25">
      <c r="S3801" s="78">
        <v>31188</v>
      </c>
      <c r="T3801" s="29">
        <v>12.38</v>
      </c>
    </row>
    <row r="3802" spans="19:20" x14ac:dyDescent="0.25">
      <c r="S3802" s="78">
        <v>31189</v>
      </c>
      <c r="T3802" s="29">
        <v>12.38</v>
      </c>
    </row>
    <row r="3803" spans="19:20" x14ac:dyDescent="0.25">
      <c r="S3803" s="78">
        <v>31190</v>
      </c>
      <c r="T3803" s="29">
        <v>12.38</v>
      </c>
    </row>
    <row r="3804" spans="19:20" x14ac:dyDescent="0.25">
      <c r="S3804" s="78">
        <v>31191</v>
      </c>
      <c r="T3804" s="29">
        <v>12.38</v>
      </c>
    </row>
    <row r="3805" spans="19:20" x14ac:dyDescent="0.25">
      <c r="S3805" s="78">
        <v>31192</v>
      </c>
      <c r="T3805" s="29">
        <v>12.38</v>
      </c>
    </row>
    <row r="3806" spans="19:20" x14ac:dyDescent="0.25">
      <c r="S3806" s="78">
        <v>31193</v>
      </c>
      <c r="T3806" s="29">
        <v>12.38</v>
      </c>
    </row>
    <row r="3807" spans="19:20" x14ac:dyDescent="0.25">
      <c r="S3807" s="78">
        <v>31194</v>
      </c>
      <c r="T3807" s="29">
        <v>12.38</v>
      </c>
    </row>
    <row r="3808" spans="19:20" x14ac:dyDescent="0.25">
      <c r="S3808" s="78">
        <v>31195</v>
      </c>
      <c r="T3808" s="29">
        <v>12.38</v>
      </c>
    </row>
    <row r="3809" spans="19:20" x14ac:dyDescent="0.25">
      <c r="S3809" s="78">
        <v>31196</v>
      </c>
      <c r="T3809" s="29">
        <v>12.38</v>
      </c>
    </row>
    <row r="3810" spans="19:20" x14ac:dyDescent="0.25">
      <c r="S3810" s="78">
        <v>31197</v>
      </c>
      <c r="T3810" s="29">
        <v>12.38</v>
      </c>
    </row>
    <row r="3811" spans="19:20" x14ac:dyDescent="0.25">
      <c r="S3811" s="78">
        <v>31198</v>
      </c>
      <c r="T3811" s="29">
        <v>12.38</v>
      </c>
    </row>
    <row r="3812" spans="19:20" x14ac:dyDescent="0.25">
      <c r="S3812" s="78">
        <v>31199</v>
      </c>
      <c r="T3812" s="29">
        <v>12.38</v>
      </c>
    </row>
    <row r="3813" spans="19:20" x14ac:dyDescent="0.25">
      <c r="S3813" s="78">
        <v>31200</v>
      </c>
      <c r="T3813" s="29">
        <v>12.38</v>
      </c>
    </row>
    <row r="3814" spans="19:20" x14ac:dyDescent="0.25">
      <c r="S3814" s="78">
        <v>31201</v>
      </c>
      <c r="T3814" s="29">
        <v>12.38</v>
      </c>
    </row>
    <row r="3815" spans="19:20" x14ac:dyDescent="0.25">
      <c r="S3815" s="78">
        <v>31202</v>
      </c>
      <c r="T3815" s="29">
        <v>12.38</v>
      </c>
    </row>
    <row r="3816" spans="19:20" x14ac:dyDescent="0.25">
      <c r="S3816" s="78">
        <v>31203</v>
      </c>
      <c r="T3816" s="29">
        <v>12.38</v>
      </c>
    </row>
    <row r="3817" spans="19:20" x14ac:dyDescent="0.25">
      <c r="S3817" s="78">
        <v>31204</v>
      </c>
      <c r="T3817" s="29">
        <v>12.38</v>
      </c>
    </row>
    <row r="3818" spans="19:20" x14ac:dyDescent="0.25">
      <c r="S3818" s="78">
        <v>31205</v>
      </c>
      <c r="T3818" s="29">
        <v>12.38</v>
      </c>
    </row>
    <row r="3819" spans="19:20" x14ac:dyDescent="0.25">
      <c r="S3819" s="78">
        <v>31206</v>
      </c>
      <c r="T3819" s="29">
        <v>12.38</v>
      </c>
    </row>
    <row r="3820" spans="19:20" x14ac:dyDescent="0.25">
      <c r="S3820" s="78">
        <v>31207</v>
      </c>
      <c r="T3820" s="29">
        <v>12.38</v>
      </c>
    </row>
    <row r="3821" spans="19:20" x14ac:dyDescent="0.25">
      <c r="S3821" s="78">
        <v>31208</v>
      </c>
      <c r="T3821" s="29">
        <v>12.38</v>
      </c>
    </row>
    <row r="3822" spans="19:20" x14ac:dyDescent="0.25">
      <c r="S3822" s="78">
        <v>31209</v>
      </c>
      <c r="T3822" s="29">
        <v>12.38</v>
      </c>
    </row>
    <row r="3823" spans="19:20" x14ac:dyDescent="0.25">
      <c r="S3823" s="78">
        <v>31210</v>
      </c>
      <c r="T3823" s="29">
        <v>12.38</v>
      </c>
    </row>
    <row r="3824" spans="19:20" x14ac:dyDescent="0.25">
      <c r="S3824" s="78">
        <v>31211</v>
      </c>
      <c r="T3824" s="29">
        <v>12.38</v>
      </c>
    </row>
    <row r="3825" spans="19:20" x14ac:dyDescent="0.25">
      <c r="S3825" s="78">
        <v>31212</v>
      </c>
      <c r="T3825" s="29">
        <v>12.38</v>
      </c>
    </row>
    <row r="3826" spans="19:20" x14ac:dyDescent="0.25">
      <c r="S3826" s="78">
        <v>31213</v>
      </c>
      <c r="T3826" s="29">
        <v>12.38</v>
      </c>
    </row>
    <row r="3827" spans="19:20" x14ac:dyDescent="0.25">
      <c r="S3827" s="78">
        <v>31214</v>
      </c>
      <c r="T3827" s="29">
        <v>12.38</v>
      </c>
    </row>
    <row r="3828" spans="19:20" x14ac:dyDescent="0.25">
      <c r="S3828" s="78">
        <v>31215</v>
      </c>
      <c r="T3828" s="29">
        <v>12.38</v>
      </c>
    </row>
    <row r="3829" spans="19:20" x14ac:dyDescent="0.25">
      <c r="S3829" s="78">
        <v>31216</v>
      </c>
      <c r="T3829" s="29">
        <v>12.38</v>
      </c>
    </row>
    <row r="3830" spans="19:20" x14ac:dyDescent="0.25">
      <c r="S3830" s="78">
        <v>31217</v>
      </c>
      <c r="T3830" s="29">
        <v>12.38</v>
      </c>
    </row>
    <row r="3831" spans="19:20" x14ac:dyDescent="0.25">
      <c r="S3831" s="78">
        <v>31218</v>
      </c>
      <c r="T3831" s="29">
        <v>12.38</v>
      </c>
    </row>
    <row r="3832" spans="19:20" x14ac:dyDescent="0.25">
      <c r="S3832" s="78">
        <v>31219</v>
      </c>
      <c r="T3832" s="29">
        <v>12.38</v>
      </c>
    </row>
    <row r="3833" spans="19:20" x14ac:dyDescent="0.25">
      <c r="S3833" s="78">
        <v>31220</v>
      </c>
      <c r="T3833" s="29">
        <v>12.38</v>
      </c>
    </row>
    <row r="3834" spans="19:20" x14ac:dyDescent="0.25">
      <c r="S3834" s="78">
        <v>31221</v>
      </c>
      <c r="T3834" s="29">
        <v>12.38</v>
      </c>
    </row>
    <row r="3835" spans="19:20" x14ac:dyDescent="0.25">
      <c r="S3835" s="78">
        <v>31222</v>
      </c>
      <c r="T3835" s="29">
        <v>12.38</v>
      </c>
    </row>
    <row r="3836" spans="19:20" x14ac:dyDescent="0.25">
      <c r="S3836" s="78">
        <v>31223</v>
      </c>
      <c r="T3836" s="29">
        <v>12.38</v>
      </c>
    </row>
    <row r="3837" spans="19:20" x14ac:dyDescent="0.25">
      <c r="S3837" s="78">
        <v>31224</v>
      </c>
      <c r="T3837" s="29">
        <v>12.38</v>
      </c>
    </row>
    <row r="3838" spans="19:20" x14ac:dyDescent="0.25">
      <c r="S3838" s="78">
        <v>31225</v>
      </c>
      <c r="T3838" s="29">
        <v>12.38</v>
      </c>
    </row>
    <row r="3839" spans="19:20" x14ac:dyDescent="0.25">
      <c r="S3839" s="78">
        <v>31226</v>
      </c>
      <c r="T3839" s="29">
        <v>12.38</v>
      </c>
    </row>
    <row r="3840" spans="19:20" x14ac:dyDescent="0.25">
      <c r="S3840" s="78">
        <v>31227</v>
      </c>
      <c r="T3840" s="29">
        <v>12.38</v>
      </c>
    </row>
    <row r="3841" spans="19:21" x14ac:dyDescent="0.25">
      <c r="S3841" s="78">
        <v>31228</v>
      </c>
      <c r="T3841" s="29">
        <v>12.38</v>
      </c>
      <c r="U3841" s="40">
        <f>AVERAGE(T3751:T3841)</f>
        <v>12.478901098901108</v>
      </c>
    </row>
    <row r="3842" spans="19:21" x14ac:dyDescent="0.25">
      <c r="S3842" s="78">
        <v>31229</v>
      </c>
      <c r="T3842" s="29">
        <v>12.38</v>
      </c>
    </row>
    <row r="3843" spans="19:21" x14ac:dyDescent="0.25">
      <c r="S3843" s="78">
        <v>31230</v>
      </c>
      <c r="T3843" s="29">
        <v>12.38</v>
      </c>
    </row>
    <row r="3844" spans="19:21" x14ac:dyDescent="0.25">
      <c r="S3844" s="78">
        <v>31231</v>
      </c>
      <c r="T3844" s="29">
        <v>12.38</v>
      </c>
    </row>
    <row r="3845" spans="19:21" x14ac:dyDescent="0.25">
      <c r="S3845" s="78">
        <v>31232</v>
      </c>
      <c r="T3845" s="29">
        <v>12.38</v>
      </c>
    </row>
    <row r="3846" spans="19:21" x14ac:dyDescent="0.25">
      <c r="S3846" s="78">
        <v>31233</v>
      </c>
      <c r="T3846" s="29">
        <v>12.38</v>
      </c>
    </row>
    <row r="3847" spans="19:21" x14ac:dyDescent="0.25">
      <c r="S3847" s="78">
        <v>31234</v>
      </c>
      <c r="T3847" s="29">
        <v>12.38</v>
      </c>
    </row>
    <row r="3848" spans="19:21" x14ac:dyDescent="0.25">
      <c r="S3848" s="78">
        <v>31235</v>
      </c>
      <c r="T3848" s="29">
        <v>12.38</v>
      </c>
    </row>
    <row r="3849" spans="19:21" x14ac:dyDescent="0.25">
      <c r="S3849" s="78">
        <v>31236</v>
      </c>
      <c r="T3849" s="29">
        <v>12.38</v>
      </c>
    </row>
    <row r="3850" spans="19:21" x14ac:dyDescent="0.25">
      <c r="S3850" s="78">
        <v>31237</v>
      </c>
      <c r="T3850" s="29">
        <v>12.38</v>
      </c>
    </row>
    <row r="3851" spans="19:21" x14ac:dyDescent="0.25">
      <c r="S3851" s="78">
        <v>31238</v>
      </c>
      <c r="T3851" s="29">
        <v>12.38</v>
      </c>
    </row>
    <row r="3852" spans="19:21" x14ac:dyDescent="0.25">
      <c r="S3852" s="78">
        <v>31239</v>
      </c>
      <c r="T3852" s="29">
        <v>11.88</v>
      </c>
    </row>
    <row r="3853" spans="19:21" x14ac:dyDescent="0.25">
      <c r="S3853" s="78">
        <v>31240</v>
      </c>
      <c r="T3853" s="29">
        <v>11.88</v>
      </c>
    </row>
    <row r="3854" spans="19:21" x14ac:dyDescent="0.25">
      <c r="S3854" s="78">
        <v>31241</v>
      </c>
      <c r="T3854" s="29">
        <v>11.88</v>
      </c>
    </row>
    <row r="3855" spans="19:21" x14ac:dyDescent="0.25">
      <c r="S3855" s="78">
        <v>31242</v>
      </c>
      <c r="T3855" s="29">
        <v>11.88</v>
      </c>
    </row>
    <row r="3856" spans="19:21" x14ac:dyDescent="0.25">
      <c r="S3856" s="78">
        <v>31243</v>
      </c>
      <c r="T3856" s="29">
        <v>11.88</v>
      </c>
    </row>
    <row r="3857" spans="19:20" x14ac:dyDescent="0.25">
      <c r="S3857" s="78">
        <v>31244</v>
      </c>
      <c r="T3857" s="29">
        <v>11.88</v>
      </c>
    </row>
    <row r="3858" spans="19:20" x14ac:dyDescent="0.25">
      <c r="S3858" s="78">
        <v>31245</v>
      </c>
      <c r="T3858" s="29">
        <v>11.88</v>
      </c>
    </row>
    <row r="3859" spans="19:20" x14ac:dyDescent="0.25">
      <c r="S3859" s="78">
        <v>31246</v>
      </c>
      <c r="T3859" s="29">
        <v>11.88</v>
      </c>
    </row>
    <row r="3860" spans="19:20" x14ac:dyDescent="0.25">
      <c r="S3860" s="78">
        <v>31247</v>
      </c>
      <c r="T3860" s="29">
        <v>11.88</v>
      </c>
    </row>
    <row r="3861" spans="19:20" x14ac:dyDescent="0.25">
      <c r="S3861" s="78">
        <v>31248</v>
      </c>
      <c r="T3861" s="29">
        <v>11.88</v>
      </c>
    </row>
    <row r="3862" spans="19:20" x14ac:dyDescent="0.25">
      <c r="S3862" s="78">
        <v>31249</v>
      </c>
      <c r="T3862" s="29">
        <v>11.88</v>
      </c>
    </row>
    <row r="3863" spans="19:20" x14ac:dyDescent="0.25">
      <c r="S3863" s="78">
        <v>31250</v>
      </c>
      <c r="T3863" s="29">
        <v>11.88</v>
      </c>
    </row>
    <row r="3864" spans="19:20" x14ac:dyDescent="0.25">
      <c r="S3864" s="78">
        <v>31251</v>
      </c>
      <c r="T3864" s="29">
        <v>11.88</v>
      </c>
    </row>
    <row r="3865" spans="19:20" x14ac:dyDescent="0.25">
      <c r="S3865" s="78">
        <v>31252</v>
      </c>
      <c r="T3865" s="29">
        <v>11.88</v>
      </c>
    </row>
    <row r="3866" spans="19:20" x14ac:dyDescent="0.25">
      <c r="S3866" s="78">
        <v>31253</v>
      </c>
      <c r="T3866" s="29">
        <v>11.88</v>
      </c>
    </row>
    <row r="3867" spans="19:20" x14ac:dyDescent="0.25">
      <c r="S3867" s="78">
        <v>31254</v>
      </c>
      <c r="T3867" s="29">
        <v>11.38</v>
      </c>
    </row>
    <row r="3868" spans="19:20" x14ac:dyDescent="0.25">
      <c r="S3868" s="78">
        <v>31255</v>
      </c>
      <c r="T3868" s="29">
        <v>11.38</v>
      </c>
    </row>
    <row r="3869" spans="19:20" x14ac:dyDescent="0.25">
      <c r="S3869" s="78">
        <v>31256</v>
      </c>
      <c r="T3869" s="29">
        <v>11.38</v>
      </c>
    </row>
    <row r="3870" spans="19:20" x14ac:dyDescent="0.25">
      <c r="S3870" s="78">
        <v>31257</v>
      </c>
      <c r="T3870" s="29">
        <v>11.38</v>
      </c>
    </row>
    <row r="3871" spans="19:20" x14ac:dyDescent="0.25">
      <c r="S3871" s="78">
        <v>31258</v>
      </c>
      <c r="T3871" s="29">
        <v>11.38</v>
      </c>
    </row>
    <row r="3872" spans="19:20" x14ac:dyDescent="0.25">
      <c r="S3872" s="78">
        <v>31259</v>
      </c>
      <c r="T3872" s="29">
        <v>11.38</v>
      </c>
    </row>
    <row r="3873" spans="19:20" x14ac:dyDescent="0.25">
      <c r="S3873" s="78">
        <v>31260</v>
      </c>
      <c r="T3873" s="29">
        <v>11.38</v>
      </c>
    </row>
    <row r="3874" spans="19:20" x14ac:dyDescent="0.25">
      <c r="S3874" s="78">
        <v>31261</v>
      </c>
      <c r="T3874" s="29">
        <v>11.38</v>
      </c>
    </row>
    <row r="3875" spans="19:20" x14ac:dyDescent="0.25">
      <c r="S3875" s="78">
        <v>31262</v>
      </c>
      <c r="T3875" s="29">
        <v>11.38</v>
      </c>
    </row>
    <row r="3876" spans="19:20" x14ac:dyDescent="0.25">
      <c r="S3876" s="78">
        <v>31263</v>
      </c>
      <c r="T3876" s="29">
        <v>11.38</v>
      </c>
    </row>
    <row r="3877" spans="19:20" x14ac:dyDescent="0.25">
      <c r="S3877" s="78">
        <v>31264</v>
      </c>
      <c r="T3877" s="29">
        <v>11.38</v>
      </c>
    </row>
    <row r="3878" spans="19:20" x14ac:dyDescent="0.25">
      <c r="S3878" s="78">
        <v>31265</v>
      </c>
      <c r="T3878" s="29">
        <v>11.38</v>
      </c>
    </row>
    <row r="3879" spans="19:20" x14ac:dyDescent="0.25">
      <c r="S3879" s="78">
        <v>31266</v>
      </c>
      <c r="T3879" s="29">
        <v>11.38</v>
      </c>
    </row>
    <row r="3880" spans="19:20" x14ac:dyDescent="0.25">
      <c r="S3880" s="78">
        <v>31267</v>
      </c>
      <c r="T3880" s="29">
        <v>11.38</v>
      </c>
    </row>
    <row r="3881" spans="19:20" x14ac:dyDescent="0.25">
      <c r="S3881" s="78">
        <v>31268</v>
      </c>
      <c r="T3881" s="29">
        <v>11.38</v>
      </c>
    </row>
    <row r="3882" spans="19:20" x14ac:dyDescent="0.25">
      <c r="S3882" s="78">
        <v>31269</v>
      </c>
      <c r="T3882" s="29">
        <v>11.38</v>
      </c>
    </row>
    <row r="3883" spans="19:20" x14ac:dyDescent="0.25">
      <c r="S3883" s="78">
        <v>31270</v>
      </c>
      <c r="T3883" s="29">
        <v>11.38</v>
      </c>
    </row>
    <row r="3884" spans="19:20" x14ac:dyDescent="0.25">
      <c r="S3884" s="78">
        <v>31271</v>
      </c>
      <c r="T3884" s="29">
        <v>11.38</v>
      </c>
    </row>
    <row r="3885" spans="19:20" x14ac:dyDescent="0.25">
      <c r="S3885" s="78">
        <v>31272</v>
      </c>
      <c r="T3885" s="29">
        <v>11.38</v>
      </c>
    </row>
    <row r="3886" spans="19:20" x14ac:dyDescent="0.25">
      <c r="S3886" s="78">
        <v>31273</v>
      </c>
      <c r="T3886" s="29">
        <v>11.38</v>
      </c>
    </row>
    <row r="3887" spans="19:20" x14ac:dyDescent="0.25">
      <c r="S3887" s="78">
        <v>31274</v>
      </c>
      <c r="T3887" s="29">
        <v>11.38</v>
      </c>
    </row>
    <row r="3888" spans="19:20" x14ac:dyDescent="0.25">
      <c r="S3888" s="78">
        <v>31275</v>
      </c>
      <c r="T3888" s="29">
        <v>11.38</v>
      </c>
    </row>
    <row r="3889" spans="19:20" x14ac:dyDescent="0.25">
      <c r="S3889" s="78">
        <v>31276</v>
      </c>
      <c r="T3889" s="29">
        <v>11.38</v>
      </c>
    </row>
    <row r="3890" spans="19:20" x14ac:dyDescent="0.25">
      <c r="S3890" s="78">
        <v>31277</v>
      </c>
      <c r="T3890" s="29">
        <v>11.38</v>
      </c>
    </row>
    <row r="3891" spans="19:20" x14ac:dyDescent="0.25">
      <c r="S3891" s="78">
        <v>31278</v>
      </c>
      <c r="T3891" s="29">
        <v>11.38</v>
      </c>
    </row>
    <row r="3892" spans="19:20" x14ac:dyDescent="0.25">
      <c r="S3892" s="78">
        <v>31279</v>
      </c>
      <c r="T3892" s="29">
        <v>11.38</v>
      </c>
    </row>
    <row r="3893" spans="19:20" x14ac:dyDescent="0.25">
      <c r="S3893" s="78">
        <v>31280</v>
      </c>
      <c r="T3893" s="29">
        <v>11.38</v>
      </c>
    </row>
    <row r="3894" spans="19:20" x14ac:dyDescent="0.25">
      <c r="S3894" s="78">
        <v>31281</v>
      </c>
      <c r="T3894" s="29">
        <v>11.38</v>
      </c>
    </row>
    <row r="3895" spans="19:20" x14ac:dyDescent="0.25">
      <c r="S3895" s="78">
        <v>31282</v>
      </c>
      <c r="T3895" s="29">
        <v>11.38</v>
      </c>
    </row>
    <row r="3896" spans="19:20" x14ac:dyDescent="0.25">
      <c r="S3896" s="78">
        <v>31283</v>
      </c>
      <c r="T3896" s="29">
        <v>11.38</v>
      </c>
    </row>
    <row r="3897" spans="19:20" x14ac:dyDescent="0.25">
      <c r="S3897" s="78">
        <v>31284</v>
      </c>
      <c r="T3897" s="29">
        <v>11.38</v>
      </c>
    </row>
    <row r="3898" spans="19:20" x14ac:dyDescent="0.25">
      <c r="S3898" s="78">
        <v>31285</v>
      </c>
      <c r="T3898" s="29">
        <v>11.38</v>
      </c>
    </row>
    <row r="3899" spans="19:20" x14ac:dyDescent="0.25">
      <c r="S3899" s="78">
        <v>31286</v>
      </c>
      <c r="T3899" s="29">
        <v>11.38</v>
      </c>
    </row>
    <row r="3900" spans="19:20" x14ac:dyDescent="0.25">
      <c r="S3900" s="78">
        <v>31287</v>
      </c>
      <c r="T3900" s="29">
        <v>11.38</v>
      </c>
    </row>
    <row r="3901" spans="19:20" x14ac:dyDescent="0.25">
      <c r="S3901" s="78">
        <v>31288</v>
      </c>
      <c r="T3901" s="29">
        <v>11.38</v>
      </c>
    </row>
    <row r="3902" spans="19:20" x14ac:dyDescent="0.25">
      <c r="S3902" s="78">
        <v>31289</v>
      </c>
      <c r="T3902" s="29">
        <v>11.38</v>
      </c>
    </row>
    <row r="3903" spans="19:20" x14ac:dyDescent="0.25">
      <c r="S3903" s="78">
        <v>31290</v>
      </c>
      <c r="T3903" s="29">
        <v>11.38</v>
      </c>
    </row>
    <row r="3904" spans="19:20" x14ac:dyDescent="0.25">
      <c r="S3904" s="78">
        <v>31291</v>
      </c>
      <c r="T3904" s="29">
        <v>11.38</v>
      </c>
    </row>
    <row r="3905" spans="19:20" x14ac:dyDescent="0.25">
      <c r="S3905" s="78">
        <v>31292</v>
      </c>
      <c r="T3905" s="29">
        <v>11.38</v>
      </c>
    </row>
    <row r="3906" spans="19:20" x14ac:dyDescent="0.25">
      <c r="S3906" s="78">
        <v>31293</v>
      </c>
      <c r="T3906" s="29">
        <v>11.38</v>
      </c>
    </row>
    <row r="3907" spans="19:20" x14ac:dyDescent="0.25">
      <c r="S3907" s="78">
        <v>31294</v>
      </c>
      <c r="T3907" s="29">
        <v>11.38</v>
      </c>
    </row>
    <row r="3908" spans="19:20" x14ac:dyDescent="0.25">
      <c r="S3908" s="78">
        <v>31295</v>
      </c>
      <c r="T3908" s="29">
        <v>11.38</v>
      </c>
    </row>
    <row r="3909" spans="19:20" x14ac:dyDescent="0.25">
      <c r="S3909" s="78">
        <v>31296</v>
      </c>
      <c r="T3909" s="29">
        <v>11.38</v>
      </c>
    </row>
    <row r="3910" spans="19:20" x14ac:dyDescent="0.25">
      <c r="S3910" s="78">
        <v>31297</v>
      </c>
      <c r="T3910" s="29">
        <v>11.38</v>
      </c>
    </row>
    <row r="3911" spans="19:20" x14ac:dyDescent="0.25">
      <c r="S3911" s="78">
        <v>31298</v>
      </c>
      <c r="T3911" s="29">
        <v>11.38</v>
      </c>
    </row>
    <row r="3912" spans="19:20" x14ac:dyDescent="0.25">
      <c r="S3912" s="78">
        <v>31299</v>
      </c>
      <c r="T3912" s="29">
        <v>11.38</v>
      </c>
    </row>
    <row r="3913" spans="19:20" x14ac:dyDescent="0.25">
      <c r="S3913" s="78">
        <v>31300</v>
      </c>
      <c r="T3913" s="29">
        <v>11.38</v>
      </c>
    </row>
    <row r="3914" spans="19:20" x14ac:dyDescent="0.25">
      <c r="S3914" s="78">
        <v>31301</v>
      </c>
      <c r="T3914" s="29">
        <v>11.38</v>
      </c>
    </row>
    <row r="3915" spans="19:20" x14ac:dyDescent="0.25">
      <c r="S3915" s="78">
        <v>31302</v>
      </c>
      <c r="T3915" s="29">
        <v>11.38</v>
      </c>
    </row>
    <row r="3916" spans="19:20" x14ac:dyDescent="0.25">
      <c r="S3916" s="78">
        <v>31303</v>
      </c>
      <c r="T3916" s="29">
        <v>11.38</v>
      </c>
    </row>
    <row r="3917" spans="19:20" x14ac:dyDescent="0.25">
      <c r="S3917" s="78">
        <v>31304</v>
      </c>
      <c r="T3917" s="29">
        <v>11.38</v>
      </c>
    </row>
    <row r="3918" spans="19:20" x14ac:dyDescent="0.25">
      <c r="S3918" s="78">
        <v>31305</v>
      </c>
      <c r="T3918" s="29">
        <v>11.38</v>
      </c>
    </row>
    <row r="3919" spans="19:20" x14ac:dyDescent="0.25">
      <c r="S3919" s="78">
        <v>31306</v>
      </c>
      <c r="T3919" s="29">
        <v>11.38</v>
      </c>
    </row>
    <row r="3920" spans="19:20" x14ac:dyDescent="0.25">
      <c r="S3920" s="78">
        <v>31307</v>
      </c>
      <c r="T3920" s="29">
        <v>11.38</v>
      </c>
    </row>
    <row r="3921" spans="19:21" x14ac:dyDescent="0.25">
      <c r="S3921" s="78">
        <v>31308</v>
      </c>
      <c r="T3921" s="29">
        <v>11.38</v>
      </c>
    </row>
    <row r="3922" spans="19:21" x14ac:dyDescent="0.25">
      <c r="S3922" s="78">
        <v>31309</v>
      </c>
      <c r="T3922" s="29">
        <v>11.38</v>
      </c>
    </row>
    <row r="3923" spans="19:21" x14ac:dyDescent="0.25">
      <c r="S3923" s="78">
        <v>31310</v>
      </c>
      <c r="T3923" s="29">
        <v>11.38</v>
      </c>
    </row>
    <row r="3924" spans="19:21" x14ac:dyDescent="0.25">
      <c r="S3924" s="78">
        <v>31311</v>
      </c>
      <c r="T3924" s="29">
        <v>11.38</v>
      </c>
    </row>
    <row r="3925" spans="19:21" x14ac:dyDescent="0.25">
      <c r="S3925" s="78">
        <v>31312</v>
      </c>
      <c r="T3925" s="29">
        <v>11.38</v>
      </c>
    </row>
    <row r="3926" spans="19:21" x14ac:dyDescent="0.25">
      <c r="S3926" s="78">
        <v>31313</v>
      </c>
      <c r="T3926" s="29">
        <v>11.38</v>
      </c>
    </row>
    <row r="3927" spans="19:21" x14ac:dyDescent="0.25">
      <c r="S3927" s="78">
        <v>31314</v>
      </c>
      <c r="T3927" s="29">
        <v>11.38</v>
      </c>
    </row>
    <row r="3928" spans="19:21" x14ac:dyDescent="0.25">
      <c r="S3928" s="78">
        <v>31315</v>
      </c>
      <c r="T3928" s="29">
        <v>11.38</v>
      </c>
    </row>
    <row r="3929" spans="19:21" x14ac:dyDescent="0.25">
      <c r="S3929" s="78">
        <v>31316</v>
      </c>
      <c r="T3929" s="29">
        <v>11.38</v>
      </c>
    </row>
    <row r="3930" spans="19:21" x14ac:dyDescent="0.25">
      <c r="S3930" s="78">
        <v>31317</v>
      </c>
      <c r="T3930" s="29">
        <v>11.38</v>
      </c>
    </row>
    <row r="3931" spans="19:21" x14ac:dyDescent="0.25">
      <c r="S3931" s="78">
        <v>31318</v>
      </c>
      <c r="T3931" s="29">
        <v>11.38</v>
      </c>
    </row>
    <row r="3932" spans="19:21" x14ac:dyDescent="0.25">
      <c r="S3932" s="78">
        <v>31319</v>
      </c>
      <c r="T3932" s="29">
        <v>11.38</v>
      </c>
    </row>
    <row r="3933" spans="19:21" x14ac:dyDescent="0.25">
      <c r="S3933" s="78">
        <v>31320</v>
      </c>
      <c r="T3933" s="29">
        <v>11.38</v>
      </c>
      <c r="U3933" s="40">
        <f>AVERAGE(T3842:T3933)</f>
        <v>11.570217391304348</v>
      </c>
    </row>
    <row r="3934" spans="19:21" x14ac:dyDescent="0.25">
      <c r="S3934" s="78">
        <v>31321</v>
      </c>
      <c r="T3934" s="29">
        <v>11.38</v>
      </c>
    </row>
    <row r="3935" spans="19:21" x14ac:dyDescent="0.25">
      <c r="S3935" s="78">
        <v>31322</v>
      </c>
      <c r="T3935" s="29">
        <v>11.38</v>
      </c>
    </row>
    <row r="3936" spans="19:21" x14ac:dyDescent="0.25">
      <c r="S3936" s="78">
        <v>31323</v>
      </c>
      <c r="T3936" s="29">
        <v>11.38</v>
      </c>
    </row>
    <row r="3937" spans="19:20" x14ac:dyDescent="0.25">
      <c r="S3937" s="78">
        <v>31324</v>
      </c>
      <c r="T3937" s="29">
        <v>11.38</v>
      </c>
    </row>
    <row r="3938" spans="19:20" x14ac:dyDescent="0.25">
      <c r="S3938" s="78">
        <v>31325</v>
      </c>
      <c r="T3938" s="29">
        <v>11.38</v>
      </c>
    </row>
    <row r="3939" spans="19:20" x14ac:dyDescent="0.25">
      <c r="S3939" s="78">
        <v>31326</v>
      </c>
      <c r="T3939" s="29">
        <v>11.38</v>
      </c>
    </row>
    <row r="3940" spans="19:20" x14ac:dyDescent="0.25">
      <c r="S3940" s="78">
        <v>31327</v>
      </c>
      <c r="T3940" s="29">
        <v>11.38</v>
      </c>
    </row>
    <row r="3941" spans="19:20" x14ac:dyDescent="0.25">
      <c r="S3941" s="78">
        <v>31328</v>
      </c>
      <c r="T3941" s="29">
        <v>11.38</v>
      </c>
    </row>
    <row r="3942" spans="19:20" x14ac:dyDescent="0.25">
      <c r="S3942" s="78">
        <v>31329</v>
      </c>
      <c r="T3942" s="29">
        <v>11.38</v>
      </c>
    </row>
    <row r="3943" spans="19:20" x14ac:dyDescent="0.25">
      <c r="S3943" s="78">
        <v>31330</v>
      </c>
      <c r="T3943" s="29">
        <v>11.38</v>
      </c>
    </row>
    <row r="3944" spans="19:20" x14ac:dyDescent="0.25">
      <c r="S3944" s="78">
        <v>31331</v>
      </c>
      <c r="T3944" s="29">
        <v>11.38</v>
      </c>
    </row>
    <row r="3945" spans="19:20" x14ac:dyDescent="0.25">
      <c r="S3945" s="78">
        <v>31332</v>
      </c>
      <c r="T3945" s="29">
        <v>11.38</v>
      </c>
    </row>
    <row r="3946" spans="19:20" x14ac:dyDescent="0.25">
      <c r="S3946" s="78">
        <v>31333</v>
      </c>
      <c r="T3946" s="29">
        <v>11.38</v>
      </c>
    </row>
    <row r="3947" spans="19:20" x14ac:dyDescent="0.25">
      <c r="S3947" s="78">
        <v>31334</v>
      </c>
      <c r="T3947" s="29">
        <v>11.38</v>
      </c>
    </row>
    <row r="3948" spans="19:20" x14ac:dyDescent="0.25">
      <c r="S3948" s="78">
        <v>31335</v>
      </c>
      <c r="T3948" s="29">
        <v>11.38</v>
      </c>
    </row>
    <row r="3949" spans="19:20" x14ac:dyDescent="0.25">
      <c r="S3949" s="78">
        <v>31336</v>
      </c>
      <c r="T3949" s="29">
        <v>11.38</v>
      </c>
    </row>
    <row r="3950" spans="19:20" x14ac:dyDescent="0.25">
      <c r="S3950" s="78">
        <v>31337</v>
      </c>
      <c r="T3950" s="29">
        <v>11.38</v>
      </c>
    </row>
    <row r="3951" spans="19:20" x14ac:dyDescent="0.25">
      <c r="S3951" s="78">
        <v>31338</v>
      </c>
      <c r="T3951" s="29">
        <v>11.38</v>
      </c>
    </row>
    <row r="3952" spans="19:20" x14ac:dyDescent="0.25">
      <c r="S3952" s="78">
        <v>31339</v>
      </c>
      <c r="T3952" s="29">
        <v>11.38</v>
      </c>
    </row>
    <row r="3953" spans="19:20" x14ac:dyDescent="0.25">
      <c r="S3953" s="78">
        <v>31340</v>
      </c>
      <c r="T3953" s="29">
        <v>11.38</v>
      </c>
    </row>
    <row r="3954" spans="19:20" x14ac:dyDescent="0.25">
      <c r="S3954" s="78">
        <v>31341</v>
      </c>
      <c r="T3954" s="29">
        <v>11.38</v>
      </c>
    </row>
    <row r="3955" spans="19:20" x14ac:dyDescent="0.25">
      <c r="S3955" s="78">
        <v>31342</v>
      </c>
      <c r="T3955" s="29">
        <v>11.38</v>
      </c>
    </row>
    <row r="3956" spans="19:20" x14ac:dyDescent="0.25">
      <c r="S3956" s="78">
        <v>31343</v>
      </c>
      <c r="T3956" s="29">
        <v>11.38</v>
      </c>
    </row>
    <row r="3957" spans="19:20" x14ac:dyDescent="0.25">
      <c r="S3957" s="78">
        <v>31344</v>
      </c>
      <c r="T3957" s="29">
        <v>11.38</v>
      </c>
    </row>
    <row r="3958" spans="19:20" x14ac:dyDescent="0.25">
      <c r="S3958" s="78">
        <v>31345</v>
      </c>
      <c r="T3958" s="29">
        <v>11.38</v>
      </c>
    </row>
    <row r="3959" spans="19:20" x14ac:dyDescent="0.25">
      <c r="S3959" s="78">
        <v>31346</v>
      </c>
      <c r="T3959" s="29">
        <v>11.38</v>
      </c>
    </row>
    <row r="3960" spans="19:20" x14ac:dyDescent="0.25">
      <c r="S3960" s="78">
        <v>31347</v>
      </c>
      <c r="T3960" s="29">
        <v>11.38</v>
      </c>
    </row>
    <row r="3961" spans="19:20" x14ac:dyDescent="0.25">
      <c r="S3961" s="78">
        <v>31348</v>
      </c>
      <c r="T3961" s="29">
        <v>11.38</v>
      </c>
    </row>
    <row r="3962" spans="19:20" x14ac:dyDescent="0.25">
      <c r="S3962" s="78">
        <v>31349</v>
      </c>
      <c r="T3962" s="29">
        <v>11.38</v>
      </c>
    </row>
    <row r="3963" spans="19:20" x14ac:dyDescent="0.25">
      <c r="S3963" s="78">
        <v>31350</v>
      </c>
      <c r="T3963" s="29">
        <v>11.38</v>
      </c>
    </row>
    <row r="3964" spans="19:20" x14ac:dyDescent="0.25">
      <c r="S3964" s="78">
        <v>31351</v>
      </c>
      <c r="T3964" s="29">
        <v>11.38</v>
      </c>
    </row>
    <row r="3965" spans="19:20" x14ac:dyDescent="0.25">
      <c r="S3965" s="78">
        <v>31352</v>
      </c>
      <c r="T3965" s="29">
        <v>11.38</v>
      </c>
    </row>
    <row r="3966" spans="19:20" x14ac:dyDescent="0.25">
      <c r="S3966" s="78">
        <v>31353</v>
      </c>
      <c r="T3966" s="29">
        <v>11.38</v>
      </c>
    </row>
    <row r="3967" spans="19:20" x14ac:dyDescent="0.25">
      <c r="S3967" s="78">
        <v>31354</v>
      </c>
      <c r="T3967" s="29">
        <v>11.38</v>
      </c>
    </row>
    <row r="3968" spans="19:20" x14ac:dyDescent="0.25">
      <c r="S3968" s="78">
        <v>31355</v>
      </c>
      <c r="T3968" s="29">
        <v>11.38</v>
      </c>
    </row>
    <row r="3969" spans="19:20" x14ac:dyDescent="0.25">
      <c r="S3969" s="78">
        <v>31356</v>
      </c>
      <c r="T3969" s="29">
        <v>11.38</v>
      </c>
    </row>
    <row r="3970" spans="19:20" x14ac:dyDescent="0.25">
      <c r="S3970" s="78">
        <v>31357</v>
      </c>
      <c r="T3970" s="29">
        <v>11.38</v>
      </c>
    </row>
    <row r="3971" spans="19:20" x14ac:dyDescent="0.25">
      <c r="S3971" s="78">
        <v>31358</v>
      </c>
      <c r="T3971" s="29">
        <v>11.38</v>
      </c>
    </row>
    <row r="3972" spans="19:20" x14ac:dyDescent="0.25">
      <c r="S3972" s="78">
        <v>31359</v>
      </c>
      <c r="T3972" s="29">
        <v>11.38</v>
      </c>
    </row>
    <row r="3973" spans="19:20" x14ac:dyDescent="0.25">
      <c r="S3973" s="78">
        <v>31360</v>
      </c>
      <c r="T3973" s="29">
        <v>11.38</v>
      </c>
    </row>
    <row r="3974" spans="19:20" x14ac:dyDescent="0.25">
      <c r="S3974" s="78">
        <v>31361</v>
      </c>
      <c r="T3974" s="29">
        <v>11.38</v>
      </c>
    </row>
    <row r="3975" spans="19:20" x14ac:dyDescent="0.25">
      <c r="S3975" s="78">
        <v>31362</v>
      </c>
      <c r="T3975" s="29">
        <v>11.38</v>
      </c>
    </row>
    <row r="3976" spans="19:20" x14ac:dyDescent="0.25">
      <c r="S3976" s="78">
        <v>31363</v>
      </c>
      <c r="T3976" s="29">
        <v>11.38</v>
      </c>
    </row>
    <row r="3977" spans="19:20" x14ac:dyDescent="0.25">
      <c r="S3977" s="78">
        <v>31364</v>
      </c>
      <c r="T3977" s="29">
        <v>11.38</v>
      </c>
    </row>
    <row r="3978" spans="19:20" x14ac:dyDescent="0.25">
      <c r="S3978" s="78">
        <v>31365</v>
      </c>
      <c r="T3978" s="29">
        <v>11.38</v>
      </c>
    </row>
    <row r="3979" spans="19:20" x14ac:dyDescent="0.25">
      <c r="S3979" s="78">
        <v>31366</v>
      </c>
      <c r="T3979" s="29">
        <v>11.38</v>
      </c>
    </row>
    <row r="3980" spans="19:20" x14ac:dyDescent="0.25">
      <c r="S3980" s="78">
        <v>31367</v>
      </c>
      <c r="T3980" s="29">
        <v>11.38</v>
      </c>
    </row>
    <row r="3981" spans="19:20" x14ac:dyDescent="0.25">
      <c r="S3981" s="78">
        <v>31368</v>
      </c>
      <c r="T3981" s="29">
        <v>11.38</v>
      </c>
    </row>
    <row r="3982" spans="19:20" x14ac:dyDescent="0.25">
      <c r="S3982" s="78">
        <v>31369</v>
      </c>
      <c r="T3982" s="29">
        <v>11.38</v>
      </c>
    </row>
    <row r="3983" spans="19:20" x14ac:dyDescent="0.25">
      <c r="S3983" s="78">
        <v>31370</v>
      </c>
      <c r="T3983" s="29">
        <v>11.38</v>
      </c>
    </row>
    <row r="3984" spans="19:20" x14ac:dyDescent="0.25">
      <c r="S3984" s="78">
        <v>31371</v>
      </c>
      <c r="T3984" s="29">
        <v>11.38</v>
      </c>
    </row>
    <row r="3985" spans="19:20" x14ac:dyDescent="0.25">
      <c r="S3985" s="78">
        <v>31372</v>
      </c>
      <c r="T3985" s="29">
        <v>11.38</v>
      </c>
    </row>
    <row r="3986" spans="19:20" x14ac:dyDescent="0.25">
      <c r="S3986" s="78">
        <v>31373</v>
      </c>
      <c r="T3986" s="29">
        <v>11.38</v>
      </c>
    </row>
    <row r="3987" spans="19:20" x14ac:dyDescent="0.25">
      <c r="S3987" s="78">
        <v>31374</v>
      </c>
      <c r="T3987" s="29">
        <v>11.38</v>
      </c>
    </row>
    <row r="3988" spans="19:20" x14ac:dyDescent="0.25">
      <c r="S3988" s="78">
        <v>31375</v>
      </c>
      <c r="T3988" s="29">
        <v>11.38</v>
      </c>
    </row>
    <row r="3989" spans="19:20" x14ac:dyDescent="0.25">
      <c r="S3989" s="78">
        <v>31376</v>
      </c>
      <c r="T3989" s="29">
        <v>11.38</v>
      </c>
    </row>
    <row r="3990" spans="19:20" x14ac:dyDescent="0.25">
      <c r="S3990" s="78">
        <v>31377</v>
      </c>
      <c r="T3990" s="29">
        <v>11.38</v>
      </c>
    </row>
    <row r="3991" spans="19:20" x14ac:dyDescent="0.25">
      <c r="S3991" s="78">
        <v>31378</v>
      </c>
      <c r="T3991" s="29">
        <v>11.38</v>
      </c>
    </row>
    <row r="3992" spans="19:20" x14ac:dyDescent="0.25">
      <c r="S3992" s="78">
        <v>31379</v>
      </c>
      <c r="T3992" s="29">
        <v>11.38</v>
      </c>
    </row>
    <row r="3993" spans="19:20" x14ac:dyDescent="0.25">
      <c r="S3993" s="78">
        <v>31380</v>
      </c>
      <c r="T3993" s="29">
        <v>11.38</v>
      </c>
    </row>
    <row r="3994" spans="19:20" x14ac:dyDescent="0.25">
      <c r="S3994" s="78">
        <v>31381</v>
      </c>
      <c r="T3994" s="29">
        <v>11.38</v>
      </c>
    </row>
    <row r="3995" spans="19:20" x14ac:dyDescent="0.25">
      <c r="S3995" s="78">
        <v>31382</v>
      </c>
      <c r="T3995" s="29">
        <v>11.38</v>
      </c>
    </row>
    <row r="3996" spans="19:20" x14ac:dyDescent="0.25">
      <c r="S3996" s="78">
        <v>31383</v>
      </c>
      <c r="T3996" s="29">
        <v>11.38</v>
      </c>
    </row>
    <row r="3997" spans="19:20" x14ac:dyDescent="0.25">
      <c r="S3997" s="78">
        <v>31384</v>
      </c>
      <c r="T3997" s="29">
        <v>11.38</v>
      </c>
    </row>
    <row r="3998" spans="19:20" x14ac:dyDescent="0.25">
      <c r="S3998" s="78">
        <v>31385</v>
      </c>
      <c r="T3998" s="29">
        <v>11.38</v>
      </c>
    </row>
    <row r="3999" spans="19:20" x14ac:dyDescent="0.25">
      <c r="S3999" s="78">
        <v>31386</v>
      </c>
      <c r="T3999" s="29">
        <v>11.38</v>
      </c>
    </row>
    <row r="4000" spans="19:20" x14ac:dyDescent="0.25">
      <c r="S4000" s="78">
        <v>31387</v>
      </c>
      <c r="T4000" s="29">
        <v>11.38</v>
      </c>
    </row>
    <row r="4001" spans="19:20" x14ac:dyDescent="0.25">
      <c r="S4001" s="78">
        <v>31388</v>
      </c>
      <c r="T4001" s="29">
        <v>11.38</v>
      </c>
    </row>
    <row r="4002" spans="19:20" x14ac:dyDescent="0.25">
      <c r="S4002" s="78">
        <v>31389</v>
      </c>
      <c r="T4002" s="29">
        <v>11.38</v>
      </c>
    </row>
    <row r="4003" spans="19:20" x14ac:dyDescent="0.25">
      <c r="S4003" s="78">
        <v>31390</v>
      </c>
      <c r="T4003" s="29">
        <v>11.38</v>
      </c>
    </row>
    <row r="4004" spans="19:20" x14ac:dyDescent="0.25">
      <c r="S4004" s="78">
        <v>31391</v>
      </c>
      <c r="T4004" s="29">
        <v>11.38</v>
      </c>
    </row>
    <row r="4005" spans="19:20" x14ac:dyDescent="0.25">
      <c r="S4005" s="78">
        <v>31392</v>
      </c>
      <c r="T4005" s="29">
        <v>11.38</v>
      </c>
    </row>
    <row r="4006" spans="19:20" x14ac:dyDescent="0.25">
      <c r="S4006" s="78">
        <v>31393</v>
      </c>
      <c r="T4006" s="29">
        <v>11.38</v>
      </c>
    </row>
    <row r="4007" spans="19:20" x14ac:dyDescent="0.25">
      <c r="S4007" s="78">
        <v>31394</v>
      </c>
      <c r="T4007" s="29">
        <v>11.38</v>
      </c>
    </row>
    <row r="4008" spans="19:20" x14ac:dyDescent="0.25">
      <c r="S4008" s="78">
        <v>31395</v>
      </c>
      <c r="T4008" s="29">
        <v>11.38</v>
      </c>
    </row>
    <row r="4009" spans="19:20" x14ac:dyDescent="0.25">
      <c r="S4009" s="78">
        <v>31396</v>
      </c>
      <c r="T4009" s="29">
        <v>11.38</v>
      </c>
    </row>
    <row r="4010" spans="19:20" x14ac:dyDescent="0.25">
      <c r="S4010" s="78">
        <v>31397</v>
      </c>
      <c r="T4010" s="29">
        <v>11.38</v>
      </c>
    </row>
    <row r="4011" spans="19:20" x14ac:dyDescent="0.25">
      <c r="S4011" s="78">
        <v>31398</v>
      </c>
      <c r="T4011" s="29">
        <v>11.38</v>
      </c>
    </row>
    <row r="4012" spans="19:20" x14ac:dyDescent="0.25">
      <c r="S4012" s="78">
        <v>31399</v>
      </c>
      <c r="T4012" s="29">
        <v>11.38</v>
      </c>
    </row>
    <row r="4013" spans="19:20" x14ac:dyDescent="0.25">
      <c r="S4013" s="78">
        <v>31400</v>
      </c>
      <c r="T4013" s="29">
        <v>11.38</v>
      </c>
    </row>
    <row r="4014" spans="19:20" x14ac:dyDescent="0.25">
      <c r="S4014" s="78">
        <v>31401</v>
      </c>
      <c r="T4014" s="29">
        <v>11.38</v>
      </c>
    </row>
    <row r="4015" spans="19:20" x14ac:dyDescent="0.25">
      <c r="S4015" s="78">
        <v>31402</v>
      </c>
      <c r="T4015" s="29">
        <v>11.38</v>
      </c>
    </row>
    <row r="4016" spans="19:20" x14ac:dyDescent="0.25">
      <c r="S4016" s="78">
        <v>31403</v>
      </c>
      <c r="T4016" s="29">
        <v>11.38</v>
      </c>
    </row>
    <row r="4017" spans="19:21" x14ac:dyDescent="0.25">
      <c r="S4017" s="78">
        <v>31404</v>
      </c>
      <c r="T4017" s="29">
        <v>11.38</v>
      </c>
    </row>
    <row r="4018" spans="19:21" x14ac:dyDescent="0.25">
      <c r="S4018" s="78">
        <v>31405</v>
      </c>
      <c r="T4018" s="29">
        <v>11.38</v>
      </c>
    </row>
    <row r="4019" spans="19:21" x14ac:dyDescent="0.25">
      <c r="S4019" s="78">
        <v>31406</v>
      </c>
      <c r="T4019" s="29">
        <v>11.38</v>
      </c>
    </row>
    <row r="4020" spans="19:21" x14ac:dyDescent="0.25">
      <c r="S4020" s="78">
        <v>31407</v>
      </c>
      <c r="T4020" s="29">
        <v>11.38</v>
      </c>
    </row>
    <row r="4021" spans="19:21" x14ac:dyDescent="0.25">
      <c r="S4021" s="78">
        <v>31408</v>
      </c>
      <c r="T4021" s="29">
        <v>11.38</v>
      </c>
    </row>
    <row r="4022" spans="19:21" x14ac:dyDescent="0.25">
      <c r="S4022" s="78">
        <v>31409</v>
      </c>
      <c r="T4022" s="29">
        <v>11.38</v>
      </c>
    </row>
    <row r="4023" spans="19:21" x14ac:dyDescent="0.25">
      <c r="S4023" s="78">
        <v>31410</v>
      </c>
      <c r="T4023" s="29">
        <v>11.38</v>
      </c>
    </row>
    <row r="4024" spans="19:21" x14ac:dyDescent="0.25">
      <c r="S4024" s="78">
        <v>31411</v>
      </c>
      <c r="T4024" s="29">
        <v>11.38</v>
      </c>
    </row>
    <row r="4025" spans="19:21" x14ac:dyDescent="0.25">
      <c r="S4025" s="78">
        <v>31412</v>
      </c>
      <c r="T4025" s="29">
        <v>11.38</v>
      </c>
      <c r="U4025" s="40">
        <f>AVERAGE(T3934:T4025)</f>
        <v>11.38</v>
      </c>
    </row>
    <row r="4026" spans="19:21" x14ac:dyDescent="0.25">
      <c r="S4026" s="78">
        <v>31413</v>
      </c>
      <c r="T4026" s="29">
        <v>11.38</v>
      </c>
    </row>
    <row r="4027" spans="19:21" x14ac:dyDescent="0.25">
      <c r="S4027" s="78">
        <v>31414</v>
      </c>
      <c r="T4027" s="29">
        <v>11.38</v>
      </c>
    </row>
    <row r="4028" spans="19:21" x14ac:dyDescent="0.25">
      <c r="S4028" s="78">
        <v>31415</v>
      </c>
      <c r="T4028" s="29">
        <v>11.38</v>
      </c>
    </row>
    <row r="4029" spans="19:21" x14ac:dyDescent="0.25">
      <c r="S4029" s="78">
        <v>31416</v>
      </c>
      <c r="T4029" s="29">
        <v>11.38</v>
      </c>
    </row>
    <row r="4030" spans="19:21" x14ac:dyDescent="0.25">
      <c r="S4030" s="78">
        <v>31417</v>
      </c>
      <c r="T4030" s="29">
        <v>11.38</v>
      </c>
    </row>
    <row r="4031" spans="19:21" x14ac:dyDescent="0.25">
      <c r="S4031" s="78">
        <v>31418</v>
      </c>
      <c r="T4031" s="29">
        <v>11.38</v>
      </c>
    </row>
    <row r="4032" spans="19:21" x14ac:dyDescent="0.25">
      <c r="S4032" s="78">
        <v>31419</v>
      </c>
      <c r="T4032" s="29">
        <v>11.38</v>
      </c>
    </row>
    <row r="4033" spans="19:20" x14ac:dyDescent="0.25">
      <c r="S4033" s="78">
        <v>31420</v>
      </c>
      <c r="T4033" s="29">
        <v>11.38</v>
      </c>
    </row>
    <row r="4034" spans="19:20" x14ac:dyDescent="0.25">
      <c r="S4034" s="78">
        <v>31421</v>
      </c>
      <c r="T4034" s="29">
        <v>11.38</v>
      </c>
    </row>
    <row r="4035" spans="19:20" x14ac:dyDescent="0.25">
      <c r="S4035" s="78">
        <v>31422</v>
      </c>
      <c r="T4035" s="29">
        <v>11.38</v>
      </c>
    </row>
    <row r="4036" spans="19:20" x14ac:dyDescent="0.25">
      <c r="S4036" s="78">
        <v>31423</v>
      </c>
      <c r="T4036" s="29">
        <v>11.38</v>
      </c>
    </row>
    <row r="4037" spans="19:20" x14ac:dyDescent="0.25">
      <c r="S4037" s="78">
        <v>31424</v>
      </c>
      <c r="T4037" s="29">
        <v>11.38</v>
      </c>
    </row>
    <row r="4038" spans="19:20" x14ac:dyDescent="0.25">
      <c r="S4038" s="78">
        <v>31425</v>
      </c>
      <c r="T4038" s="29">
        <v>11.38</v>
      </c>
    </row>
    <row r="4039" spans="19:20" x14ac:dyDescent="0.25">
      <c r="S4039" s="78">
        <v>31426</v>
      </c>
      <c r="T4039" s="29">
        <v>11.38</v>
      </c>
    </row>
    <row r="4040" spans="19:20" x14ac:dyDescent="0.25">
      <c r="S4040" s="78">
        <v>31427</v>
      </c>
      <c r="T4040" s="29">
        <v>12.38</v>
      </c>
    </row>
    <row r="4041" spans="19:20" x14ac:dyDescent="0.25">
      <c r="S4041" s="78">
        <v>31428</v>
      </c>
      <c r="T4041" s="29">
        <v>12.38</v>
      </c>
    </row>
    <row r="4042" spans="19:20" x14ac:dyDescent="0.25">
      <c r="S4042" s="78">
        <v>31429</v>
      </c>
      <c r="T4042" s="29">
        <v>12.38</v>
      </c>
    </row>
    <row r="4043" spans="19:20" x14ac:dyDescent="0.25">
      <c r="S4043" s="78">
        <v>31430</v>
      </c>
      <c r="T4043" s="29">
        <v>12.38</v>
      </c>
    </row>
    <row r="4044" spans="19:20" x14ac:dyDescent="0.25">
      <c r="S4044" s="78">
        <v>31431</v>
      </c>
      <c r="T4044" s="29">
        <v>12.38</v>
      </c>
    </row>
    <row r="4045" spans="19:20" x14ac:dyDescent="0.25">
      <c r="S4045" s="78">
        <v>31432</v>
      </c>
      <c r="T4045" s="29">
        <v>12.38</v>
      </c>
    </row>
    <row r="4046" spans="19:20" x14ac:dyDescent="0.25">
      <c r="S4046" s="78">
        <v>31433</v>
      </c>
      <c r="T4046" s="29">
        <v>12.38</v>
      </c>
    </row>
    <row r="4047" spans="19:20" x14ac:dyDescent="0.25">
      <c r="S4047" s="78">
        <v>31434</v>
      </c>
      <c r="T4047" s="29">
        <v>12.38</v>
      </c>
    </row>
    <row r="4048" spans="19:20" x14ac:dyDescent="0.25">
      <c r="S4048" s="78">
        <v>31435</v>
      </c>
      <c r="T4048" s="29">
        <v>12.38</v>
      </c>
    </row>
    <row r="4049" spans="19:20" x14ac:dyDescent="0.25">
      <c r="S4049" s="78">
        <v>31436</v>
      </c>
      <c r="T4049" s="29">
        <v>12.38</v>
      </c>
    </row>
    <row r="4050" spans="19:20" x14ac:dyDescent="0.25">
      <c r="S4050" s="78">
        <v>31437</v>
      </c>
      <c r="T4050" s="29">
        <v>12.38</v>
      </c>
    </row>
    <row r="4051" spans="19:20" x14ac:dyDescent="0.25">
      <c r="S4051" s="78">
        <v>31438</v>
      </c>
      <c r="T4051" s="29">
        <v>12.38</v>
      </c>
    </row>
    <row r="4052" spans="19:20" x14ac:dyDescent="0.25">
      <c r="S4052" s="78">
        <v>31439</v>
      </c>
      <c r="T4052" s="29">
        <v>12.38</v>
      </c>
    </row>
    <row r="4053" spans="19:20" x14ac:dyDescent="0.25">
      <c r="S4053" s="78">
        <v>31440</v>
      </c>
      <c r="T4053" s="29">
        <v>12.38</v>
      </c>
    </row>
    <row r="4054" spans="19:20" x14ac:dyDescent="0.25">
      <c r="S4054" s="78">
        <v>31441</v>
      </c>
      <c r="T4054" s="29">
        <v>12.38</v>
      </c>
    </row>
    <row r="4055" spans="19:20" x14ac:dyDescent="0.25">
      <c r="S4055" s="78">
        <v>31442</v>
      </c>
      <c r="T4055" s="29">
        <v>12.38</v>
      </c>
    </row>
    <row r="4056" spans="19:20" x14ac:dyDescent="0.25">
      <c r="S4056" s="78">
        <v>31443</v>
      </c>
      <c r="T4056" s="29">
        <v>12.38</v>
      </c>
    </row>
    <row r="4057" spans="19:20" x14ac:dyDescent="0.25">
      <c r="S4057" s="78">
        <v>31444</v>
      </c>
      <c r="T4057" s="29">
        <v>12.38</v>
      </c>
    </row>
    <row r="4058" spans="19:20" x14ac:dyDescent="0.25">
      <c r="S4058" s="78">
        <v>31445</v>
      </c>
      <c r="T4058" s="29">
        <v>12.38</v>
      </c>
    </row>
    <row r="4059" spans="19:20" x14ac:dyDescent="0.25">
      <c r="S4059" s="78">
        <v>31446</v>
      </c>
      <c r="T4059" s="29">
        <v>12.38</v>
      </c>
    </row>
    <row r="4060" spans="19:20" x14ac:dyDescent="0.25">
      <c r="S4060" s="78">
        <v>31447</v>
      </c>
      <c r="T4060" s="29">
        <v>12.38</v>
      </c>
    </row>
    <row r="4061" spans="19:20" x14ac:dyDescent="0.25">
      <c r="S4061" s="78">
        <v>31448</v>
      </c>
      <c r="T4061" s="29">
        <v>12.38</v>
      </c>
    </row>
    <row r="4062" spans="19:20" x14ac:dyDescent="0.25">
      <c r="S4062" s="78">
        <v>31449</v>
      </c>
      <c r="T4062" s="29">
        <v>12.38</v>
      </c>
    </row>
    <row r="4063" spans="19:20" x14ac:dyDescent="0.25">
      <c r="S4063" s="78">
        <v>31450</v>
      </c>
      <c r="T4063" s="29">
        <v>12.38</v>
      </c>
    </row>
    <row r="4064" spans="19:20" x14ac:dyDescent="0.25">
      <c r="S4064" s="78">
        <v>31451</v>
      </c>
      <c r="T4064" s="29">
        <v>12.38</v>
      </c>
    </row>
    <row r="4065" spans="19:20" x14ac:dyDescent="0.25">
      <c r="S4065" s="78">
        <v>31452</v>
      </c>
      <c r="T4065" s="29">
        <v>12.38</v>
      </c>
    </row>
    <row r="4066" spans="19:20" x14ac:dyDescent="0.25">
      <c r="S4066" s="78">
        <v>31453</v>
      </c>
      <c r="T4066" s="29">
        <v>12.38</v>
      </c>
    </row>
    <row r="4067" spans="19:20" x14ac:dyDescent="0.25">
      <c r="S4067" s="78">
        <v>31454</v>
      </c>
      <c r="T4067" s="29">
        <v>12.38</v>
      </c>
    </row>
    <row r="4068" spans="19:20" x14ac:dyDescent="0.25">
      <c r="S4068" s="78">
        <v>31455</v>
      </c>
      <c r="T4068" s="29">
        <v>12.38</v>
      </c>
    </row>
    <row r="4069" spans="19:20" x14ac:dyDescent="0.25">
      <c r="S4069" s="78">
        <v>31456</v>
      </c>
      <c r="T4069" s="29">
        <v>12.38</v>
      </c>
    </row>
    <row r="4070" spans="19:20" x14ac:dyDescent="0.25">
      <c r="S4070" s="78">
        <v>31457</v>
      </c>
      <c r="T4070" s="29">
        <v>12.38</v>
      </c>
    </row>
    <row r="4071" spans="19:20" x14ac:dyDescent="0.25">
      <c r="S4071" s="78">
        <v>31458</v>
      </c>
      <c r="T4071" s="29">
        <v>12.38</v>
      </c>
    </row>
    <row r="4072" spans="19:20" x14ac:dyDescent="0.25">
      <c r="S4072" s="78">
        <v>31459</v>
      </c>
      <c r="T4072" s="29">
        <v>12.38</v>
      </c>
    </row>
    <row r="4073" spans="19:20" x14ac:dyDescent="0.25">
      <c r="S4073" s="78">
        <v>31460</v>
      </c>
      <c r="T4073" s="29">
        <v>12.38</v>
      </c>
    </row>
    <row r="4074" spans="19:20" x14ac:dyDescent="0.25">
      <c r="S4074" s="78">
        <v>31461</v>
      </c>
      <c r="T4074" s="29">
        <v>12.38</v>
      </c>
    </row>
    <row r="4075" spans="19:20" x14ac:dyDescent="0.25">
      <c r="S4075" s="78">
        <v>31462</v>
      </c>
      <c r="T4075" s="29">
        <v>12.38</v>
      </c>
    </row>
    <row r="4076" spans="19:20" x14ac:dyDescent="0.25">
      <c r="S4076" s="78">
        <v>31463</v>
      </c>
      <c r="T4076" s="29">
        <v>12.38</v>
      </c>
    </row>
    <row r="4077" spans="19:20" x14ac:dyDescent="0.25">
      <c r="S4077" s="78">
        <v>31464</v>
      </c>
      <c r="T4077" s="29">
        <v>12.38</v>
      </c>
    </row>
    <row r="4078" spans="19:20" x14ac:dyDescent="0.25">
      <c r="S4078" s="78">
        <v>31465</v>
      </c>
      <c r="T4078" s="29">
        <v>12.38</v>
      </c>
    </row>
    <row r="4079" spans="19:20" x14ac:dyDescent="0.25">
      <c r="S4079" s="78">
        <v>31466</v>
      </c>
      <c r="T4079" s="29">
        <v>12.38</v>
      </c>
    </row>
    <row r="4080" spans="19:20" x14ac:dyDescent="0.25">
      <c r="S4080" s="78">
        <v>31467</v>
      </c>
      <c r="T4080" s="29">
        <v>12.38</v>
      </c>
    </row>
    <row r="4081" spans="19:20" x14ac:dyDescent="0.25">
      <c r="S4081" s="78">
        <v>31468</v>
      </c>
      <c r="T4081" s="29">
        <v>12.38</v>
      </c>
    </row>
    <row r="4082" spans="19:20" x14ac:dyDescent="0.25">
      <c r="S4082" s="78">
        <v>31469</v>
      </c>
      <c r="T4082" s="29">
        <v>12.38</v>
      </c>
    </row>
    <row r="4083" spans="19:20" x14ac:dyDescent="0.25">
      <c r="S4083" s="78">
        <v>31470</v>
      </c>
      <c r="T4083" s="29">
        <v>12.38</v>
      </c>
    </row>
    <row r="4084" spans="19:20" x14ac:dyDescent="0.25">
      <c r="S4084" s="78">
        <v>31471</v>
      </c>
      <c r="T4084" s="29">
        <v>12.38</v>
      </c>
    </row>
    <row r="4085" spans="19:20" x14ac:dyDescent="0.25">
      <c r="S4085" s="78">
        <v>31472</v>
      </c>
      <c r="T4085" s="29">
        <v>12.38</v>
      </c>
    </row>
    <row r="4086" spans="19:20" x14ac:dyDescent="0.25">
      <c r="S4086" s="78">
        <v>31473</v>
      </c>
      <c r="T4086" s="29">
        <v>12.38</v>
      </c>
    </row>
    <row r="4087" spans="19:20" x14ac:dyDescent="0.25">
      <c r="S4087" s="78">
        <v>31474</v>
      </c>
      <c r="T4087" s="29">
        <v>12.38</v>
      </c>
    </row>
    <row r="4088" spans="19:20" x14ac:dyDescent="0.25">
      <c r="S4088" s="78">
        <v>31475</v>
      </c>
      <c r="T4088" s="29">
        <v>12.38</v>
      </c>
    </row>
    <row r="4089" spans="19:20" x14ac:dyDescent="0.25">
      <c r="S4089" s="78">
        <v>31476</v>
      </c>
      <c r="T4089" s="29">
        <v>12.38</v>
      </c>
    </row>
    <row r="4090" spans="19:20" x14ac:dyDescent="0.25">
      <c r="S4090" s="78">
        <v>31477</v>
      </c>
      <c r="T4090" s="29">
        <v>12.38</v>
      </c>
    </row>
    <row r="4091" spans="19:20" x14ac:dyDescent="0.25">
      <c r="S4091" s="78">
        <v>31478</v>
      </c>
      <c r="T4091" s="29">
        <v>12.38</v>
      </c>
    </row>
    <row r="4092" spans="19:20" x14ac:dyDescent="0.25">
      <c r="S4092" s="78">
        <v>31479</v>
      </c>
      <c r="T4092" s="29">
        <v>12.38</v>
      </c>
    </row>
    <row r="4093" spans="19:20" x14ac:dyDescent="0.25">
      <c r="S4093" s="78">
        <v>31480</v>
      </c>
      <c r="T4093" s="29">
        <v>12.38</v>
      </c>
    </row>
    <row r="4094" spans="19:20" x14ac:dyDescent="0.25">
      <c r="S4094" s="78">
        <v>31481</v>
      </c>
      <c r="T4094" s="29">
        <v>12.38</v>
      </c>
    </row>
    <row r="4095" spans="19:20" x14ac:dyDescent="0.25">
      <c r="S4095" s="78">
        <v>31482</v>
      </c>
      <c r="T4095" s="29">
        <v>12.38</v>
      </c>
    </row>
    <row r="4096" spans="19:20" x14ac:dyDescent="0.25">
      <c r="S4096" s="78">
        <v>31483</v>
      </c>
      <c r="T4096" s="29">
        <v>12.38</v>
      </c>
    </row>
    <row r="4097" spans="19:20" x14ac:dyDescent="0.25">
      <c r="S4097" s="78">
        <v>31484</v>
      </c>
      <c r="T4097" s="29">
        <v>12.38</v>
      </c>
    </row>
    <row r="4098" spans="19:20" x14ac:dyDescent="0.25">
      <c r="S4098" s="78">
        <v>31485</v>
      </c>
      <c r="T4098" s="29">
        <v>12.38</v>
      </c>
    </row>
    <row r="4099" spans="19:20" x14ac:dyDescent="0.25">
      <c r="S4099" s="78">
        <v>31486</v>
      </c>
      <c r="T4099" s="29">
        <v>12.38</v>
      </c>
    </row>
    <row r="4100" spans="19:20" x14ac:dyDescent="0.25">
      <c r="S4100" s="78">
        <v>31487</v>
      </c>
      <c r="T4100" s="29">
        <v>12.38</v>
      </c>
    </row>
    <row r="4101" spans="19:20" x14ac:dyDescent="0.25">
      <c r="S4101" s="78">
        <v>31488</v>
      </c>
      <c r="T4101" s="29">
        <v>12.38</v>
      </c>
    </row>
    <row r="4102" spans="19:20" x14ac:dyDescent="0.25">
      <c r="S4102" s="78">
        <v>31489</v>
      </c>
      <c r="T4102" s="29">
        <v>12.38</v>
      </c>
    </row>
    <row r="4103" spans="19:20" x14ac:dyDescent="0.25">
      <c r="S4103" s="78">
        <v>31490</v>
      </c>
      <c r="T4103" s="29">
        <v>11.38</v>
      </c>
    </row>
    <row r="4104" spans="19:20" x14ac:dyDescent="0.25">
      <c r="S4104" s="78">
        <v>31491</v>
      </c>
      <c r="T4104" s="29">
        <v>11.38</v>
      </c>
    </row>
    <row r="4105" spans="19:20" x14ac:dyDescent="0.25">
      <c r="S4105" s="78">
        <v>31492</v>
      </c>
      <c r="T4105" s="29">
        <v>11.38</v>
      </c>
    </row>
    <row r="4106" spans="19:20" x14ac:dyDescent="0.25">
      <c r="S4106" s="78">
        <v>31493</v>
      </c>
      <c r="T4106" s="29">
        <v>11.38</v>
      </c>
    </row>
    <row r="4107" spans="19:20" x14ac:dyDescent="0.25">
      <c r="S4107" s="78">
        <v>31494</v>
      </c>
      <c r="T4107" s="29">
        <v>11.38</v>
      </c>
    </row>
    <row r="4108" spans="19:20" x14ac:dyDescent="0.25">
      <c r="S4108" s="78">
        <v>31495</v>
      </c>
      <c r="T4108" s="29">
        <v>11.38</v>
      </c>
    </row>
    <row r="4109" spans="19:20" x14ac:dyDescent="0.25">
      <c r="S4109" s="78">
        <v>31496</v>
      </c>
      <c r="T4109" s="29">
        <v>11.38</v>
      </c>
    </row>
    <row r="4110" spans="19:20" x14ac:dyDescent="0.25">
      <c r="S4110" s="78">
        <v>31497</v>
      </c>
      <c r="T4110" s="29">
        <v>11.38</v>
      </c>
    </row>
    <row r="4111" spans="19:20" x14ac:dyDescent="0.25">
      <c r="S4111" s="78">
        <v>31498</v>
      </c>
      <c r="T4111" s="29">
        <v>11.38</v>
      </c>
    </row>
    <row r="4112" spans="19:20" x14ac:dyDescent="0.25">
      <c r="S4112" s="78">
        <v>31499</v>
      </c>
      <c r="T4112" s="29">
        <v>11.38</v>
      </c>
    </row>
    <row r="4113" spans="19:21" x14ac:dyDescent="0.25">
      <c r="S4113" s="78">
        <v>31500</v>
      </c>
      <c r="T4113" s="29">
        <v>11.38</v>
      </c>
    </row>
    <row r="4114" spans="19:21" x14ac:dyDescent="0.25">
      <c r="S4114" s="78">
        <v>31501</v>
      </c>
      <c r="T4114" s="29">
        <v>11.38</v>
      </c>
    </row>
    <row r="4115" spans="19:21" x14ac:dyDescent="0.25">
      <c r="S4115" s="78">
        <v>31502</v>
      </c>
      <c r="T4115" s="29">
        <v>11.38</v>
      </c>
      <c r="U4115" s="39">
        <f>AVERAGE(T4026:T4115)</f>
        <v>12.080000000000004</v>
      </c>
    </row>
    <row r="4116" spans="19:21" x14ac:dyDescent="0.25">
      <c r="S4116" s="78">
        <v>31503</v>
      </c>
      <c r="T4116" s="29">
        <v>11.38</v>
      </c>
    </row>
    <row r="4117" spans="19:21" x14ac:dyDescent="0.25">
      <c r="S4117" s="78">
        <v>31504</v>
      </c>
      <c r="T4117" s="29">
        <v>11.38</v>
      </c>
    </row>
    <row r="4118" spans="19:21" x14ac:dyDescent="0.25">
      <c r="S4118" s="78">
        <v>31505</v>
      </c>
      <c r="T4118" s="29">
        <v>11.38</v>
      </c>
    </row>
    <row r="4119" spans="19:21" x14ac:dyDescent="0.25">
      <c r="S4119" s="78">
        <v>31506</v>
      </c>
      <c r="T4119" s="29">
        <v>11.38</v>
      </c>
    </row>
    <row r="4120" spans="19:21" x14ac:dyDescent="0.25">
      <c r="S4120" s="78">
        <v>31507</v>
      </c>
      <c r="T4120" s="29">
        <v>11.38</v>
      </c>
    </row>
    <row r="4121" spans="19:21" x14ac:dyDescent="0.25">
      <c r="S4121" s="78">
        <v>31508</v>
      </c>
      <c r="T4121" s="29">
        <v>11.38</v>
      </c>
    </row>
    <row r="4122" spans="19:21" x14ac:dyDescent="0.25">
      <c r="S4122" s="78">
        <v>31509</v>
      </c>
      <c r="T4122" s="29">
        <v>11.38</v>
      </c>
    </row>
    <row r="4123" spans="19:21" x14ac:dyDescent="0.25">
      <c r="S4123" s="78">
        <v>31510</v>
      </c>
      <c r="T4123" s="29">
        <v>11.38</v>
      </c>
    </row>
    <row r="4124" spans="19:21" x14ac:dyDescent="0.25">
      <c r="S4124" s="78">
        <v>31511</v>
      </c>
      <c r="T4124" s="29">
        <v>11.38</v>
      </c>
    </row>
    <row r="4125" spans="19:21" x14ac:dyDescent="0.25">
      <c r="S4125" s="78">
        <v>31512</v>
      </c>
      <c r="T4125" s="29">
        <v>11.38</v>
      </c>
    </row>
    <row r="4126" spans="19:21" x14ac:dyDescent="0.25">
      <c r="S4126" s="78">
        <v>31513</v>
      </c>
      <c r="T4126" s="29">
        <v>10.88</v>
      </c>
    </row>
    <row r="4127" spans="19:21" x14ac:dyDescent="0.25">
      <c r="S4127" s="78">
        <v>31514</v>
      </c>
      <c r="T4127" s="29">
        <v>10.88</v>
      </c>
    </row>
    <row r="4128" spans="19:21" x14ac:dyDescent="0.25">
      <c r="S4128" s="78">
        <v>31515</v>
      </c>
      <c r="T4128" s="29">
        <v>10.88</v>
      </c>
    </row>
    <row r="4129" spans="19:20" x14ac:dyDescent="0.25">
      <c r="S4129" s="78">
        <v>31516</v>
      </c>
      <c r="T4129" s="29">
        <v>10.88</v>
      </c>
    </row>
    <row r="4130" spans="19:20" x14ac:dyDescent="0.25">
      <c r="S4130" s="78">
        <v>31517</v>
      </c>
      <c r="T4130" s="29">
        <v>10.88</v>
      </c>
    </row>
    <row r="4131" spans="19:20" x14ac:dyDescent="0.25">
      <c r="S4131" s="78">
        <v>31518</v>
      </c>
      <c r="T4131" s="29">
        <v>10.88</v>
      </c>
    </row>
    <row r="4132" spans="19:20" x14ac:dyDescent="0.25">
      <c r="S4132" s="78">
        <v>31519</v>
      </c>
      <c r="T4132" s="29">
        <v>10.88</v>
      </c>
    </row>
    <row r="4133" spans="19:20" x14ac:dyDescent="0.25">
      <c r="S4133" s="78">
        <v>31520</v>
      </c>
      <c r="T4133" s="29">
        <v>10.38</v>
      </c>
    </row>
    <row r="4134" spans="19:20" x14ac:dyDescent="0.25">
      <c r="S4134" s="78">
        <v>31521</v>
      </c>
      <c r="T4134" s="29">
        <v>10.38</v>
      </c>
    </row>
    <row r="4135" spans="19:20" x14ac:dyDescent="0.25">
      <c r="S4135" s="78">
        <v>31522</v>
      </c>
      <c r="T4135" s="29">
        <v>10.38</v>
      </c>
    </row>
    <row r="4136" spans="19:20" x14ac:dyDescent="0.25">
      <c r="S4136" s="78">
        <v>31523</v>
      </c>
      <c r="T4136" s="29">
        <v>10.38</v>
      </c>
    </row>
    <row r="4137" spans="19:20" x14ac:dyDescent="0.25">
      <c r="S4137" s="78">
        <v>31524</v>
      </c>
      <c r="T4137" s="29">
        <v>10.38</v>
      </c>
    </row>
    <row r="4138" spans="19:20" x14ac:dyDescent="0.25">
      <c r="S4138" s="78">
        <v>31525</v>
      </c>
      <c r="T4138" s="29">
        <v>10.38</v>
      </c>
    </row>
    <row r="4139" spans="19:20" x14ac:dyDescent="0.25">
      <c r="S4139" s="78">
        <v>31526</v>
      </c>
      <c r="T4139" s="29">
        <v>10.38</v>
      </c>
    </row>
    <row r="4140" spans="19:20" x14ac:dyDescent="0.25">
      <c r="S4140" s="78">
        <v>31527</v>
      </c>
      <c r="T4140" s="29">
        <v>10.38</v>
      </c>
    </row>
    <row r="4141" spans="19:20" x14ac:dyDescent="0.25">
      <c r="S4141" s="78">
        <v>31528</v>
      </c>
      <c r="T4141" s="29">
        <v>10.38</v>
      </c>
    </row>
    <row r="4142" spans="19:20" x14ac:dyDescent="0.25">
      <c r="S4142" s="78">
        <v>31529</v>
      </c>
      <c r="T4142" s="29">
        <v>10.38</v>
      </c>
    </row>
    <row r="4143" spans="19:20" x14ac:dyDescent="0.25">
      <c r="S4143" s="78">
        <v>31530</v>
      </c>
      <c r="T4143" s="29">
        <v>10.38</v>
      </c>
    </row>
    <row r="4144" spans="19:20" x14ac:dyDescent="0.25">
      <c r="S4144" s="78">
        <v>31531</v>
      </c>
      <c r="T4144" s="29">
        <v>10.38</v>
      </c>
    </row>
    <row r="4145" spans="19:20" x14ac:dyDescent="0.25">
      <c r="S4145" s="78">
        <v>31532</v>
      </c>
      <c r="T4145" s="29">
        <v>10.38</v>
      </c>
    </row>
    <row r="4146" spans="19:20" x14ac:dyDescent="0.25">
      <c r="S4146" s="78">
        <v>31533</v>
      </c>
      <c r="T4146" s="29">
        <v>10.38</v>
      </c>
    </row>
    <row r="4147" spans="19:20" x14ac:dyDescent="0.25">
      <c r="S4147" s="78">
        <v>31534</v>
      </c>
      <c r="T4147" s="29">
        <v>10.38</v>
      </c>
    </row>
    <row r="4148" spans="19:20" x14ac:dyDescent="0.25">
      <c r="S4148" s="78">
        <v>31535</v>
      </c>
      <c r="T4148" s="29">
        <v>10.38</v>
      </c>
    </row>
    <row r="4149" spans="19:20" x14ac:dyDescent="0.25">
      <c r="S4149" s="78">
        <v>31536</v>
      </c>
      <c r="T4149" s="29">
        <v>10.38</v>
      </c>
    </row>
    <row r="4150" spans="19:20" x14ac:dyDescent="0.25">
      <c r="S4150" s="78">
        <v>31537</v>
      </c>
      <c r="T4150" s="29">
        <v>10.38</v>
      </c>
    </row>
    <row r="4151" spans="19:20" x14ac:dyDescent="0.25">
      <c r="S4151" s="78">
        <v>31538</v>
      </c>
      <c r="T4151" s="29">
        <v>10.38</v>
      </c>
    </row>
    <row r="4152" spans="19:20" x14ac:dyDescent="0.25">
      <c r="S4152" s="78">
        <v>31539</v>
      </c>
      <c r="T4152" s="29">
        <v>10.38</v>
      </c>
    </row>
    <row r="4153" spans="19:20" x14ac:dyDescent="0.25">
      <c r="S4153" s="78">
        <v>31540</v>
      </c>
      <c r="T4153" s="29">
        <v>10.38</v>
      </c>
    </row>
    <row r="4154" spans="19:20" x14ac:dyDescent="0.25">
      <c r="S4154" s="78">
        <v>31541</v>
      </c>
      <c r="T4154" s="29">
        <v>10.38</v>
      </c>
    </row>
    <row r="4155" spans="19:20" x14ac:dyDescent="0.25">
      <c r="S4155" s="78">
        <v>31542</v>
      </c>
      <c r="T4155" s="29">
        <v>10.38</v>
      </c>
    </row>
    <row r="4156" spans="19:20" x14ac:dyDescent="0.25">
      <c r="S4156" s="78">
        <v>31543</v>
      </c>
      <c r="T4156" s="29">
        <v>10.38</v>
      </c>
    </row>
    <row r="4157" spans="19:20" x14ac:dyDescent="0.25">
      <c r="S4157" s="78">
        <v>31544</v>
      </c>
      <c r="T4157" s="29">
        <v>10.38</v>
      </c>
    </row>
    <row r="4158" spans="19:20" x14ac:dyDescent="0.25">
      <c r="S4158" s="78">
        <v>31545</v>
      </c>
      <c r="T4158" s="29">
        <v>10.38</v>
      </c>
    </row>
    <row r="4159" spans="19:20" x14ac:dyDescent="0.25">
      <c r="S4159" s="78">
        <v>31546</v>
      </c>
      <c r="T4159" s="29">
        <v>10.38</v>
      </c>
    </row>
    <row r="4160" spans="19:20" x14ac:dyDescent="0.25">
      <c r="S4160" s="78">
        <v>31547</v>
      </c>
      <c r="T4160" s="29">
        <v>10.38</v>
      </c>
    </row>
    <row r="4161" spans="19:20" x14ac:dyDescent="0.25">
      <c r="S4161" s="78">
        <v>31548</v>
      </c>
      <c r="T4161" s="29">
        <v>10.38</v>
      </c>
    </row>
    <row r="4162" spans="19:20" x14ac:dyDescent="0.25">
      <c r="S4162" s="78">
        <v>31549</v>
      </c>
      <c r="T4162" s="29">
        <v>10.38</v>
      </c>
    </row>
    <row r="4163" spans="19:20" x14ac:dyDescent="0.25">
      <c r="S4163" s="78">
        <v>31550</v>
      </c>
      <c r="T4163" s="29">
        <v>10.38</v>
      </c>
    </row>
    <row r="4164" spans="19:20" x14ac:dyDescent="0.25">
      <c r="S4164" s="78">
        <v>31551</v>
      </c>
      <c r="T4164" s="29">
        <v>10.38</v>
      </c>
    </row>
    <row r="4165" spans="19:20" x14ac:dyDescent="0.25">
      <c r="S4165" s="78">
        <v>31552</v>
      </c>
      <c r="T4165" s="29">
        <v>10.38</v>
      </c>
    </row>
    <row r="4166" spans="19:20" x14ac:dyDescent="0.25">
      <c r="S4166" s="78">
        <v>31553</v>
      </c>
      <c r="T4166" s="29">
        <v>10.38</v>
      </c>
    </row>
    <row r="4167" spans="19:20" x14ac:dyDescent="0.25">
      <c r="S4167" s="78">
        <v>31554</v>
      </c>
      <c r="T4167" s="29">
        <v>10.38</v>
      </c>
    </row>
    <row r="4168" spans="19:20" x14ac:dyDescent="0.25">
      <c r="S4168" s="78">
        <v>31555</v>
      </c>
      <c r="T4168" s="29">
        <v>9.8800000000000008</v>
      </c>
    </row>
    <row r="4169" spans="19:20" x14ac:dyDescent="0.25">
      <c r="S4169" s="78">
        <v>31556</v>
      </c>
      <c r="T4169" s="29">
        <v>9.8800000000000008</v>
      </c>
    </row>
    <row r="4170" spans="19:20" x14ac:dyDescent="0.25">
      <c r="S4170" s="78">
        <v>31557</v>
      </c>
      <c r="T4170" s="29">
        <v>9.8800000000000008</v>
      </c>
    </row>
    <row r="4171" spans="19:20" x14ac:dyDescent="0.25">
      <c r="S4171" s="78">
        <v>31558</v>
      </c>
      <c r="T4171" s="29">
        <v>9.8800000000000008</v>
      </c>
    </row>
    <row r="4172" spans="19:20" x14ac:dyDescent="0.25">
      <c r="S4172" s="78">
        <v>31559</v>
      </c>
      <c r="T4172" s="29">
        <v>9.8800000000000008</v>
      </c>
    </row>
    <row r="4173" spans="19:20" x14ac:dyDescent="0.25">
      <c r="S4173" s="78">
        <v>31560</v>
      </c>
      <c r="T4173" s="29">
        <v>9.8800000000000008</v>
      </c>
    </row>
    <row r="4174" spans="19:20" x14ac:dyDescent="0.25">
      <c r="S4174" s="78">
        <v>31561</v>
      </c>
      <c r="T4174" s="29">
        <v>9.8800000000000008</v>
      </c>
    </row>
    <row r="4175" spans="19:20" x14ac:dyDescent="0.25">
      <c r="S4175" s="78">
        <v>31562</v>
      </c>
      <c r="T4175" s="29">
        <v>9.8800000000000008</v>
      </c>
    </row>
    <row r="4176" spans="19:20" x14ac:dyDescent="0.25">
      <c r="S4176" s="78">
        <v>31563</v>
      </c>
      <c r="T4176" s="29">
        <v>9.8800000000000008</v>
      </c>
    </row>
    <row r="4177" spans="19:20" x14ac:dyDescent="0.25">
      <c r="S4177" s="78">
        <v>31564</v>
      </c>
      <c r="T4177" s="29">
        <v>9.8800000000000008</v>
      </c>
    </row>
    <row r="4178" spans="19:20" x14ac:dyDescent="0.25">
      <c r="S4178" s="78">
        <v>31565</v>
      </c>
      <c r="T4178" s="29">
        <v>9.8800000000000008</v>
      </c>
    </row>
    <row r="4179" spans="19:20" x14ac:dyDescent="0.25">
      <c r="S4179" s="78">
        <v>31566</v>
      </c>
      <c r="T4179" s="29">
        <v>9.8800000000000008</v>
      </c>
    </row>
    <row r="4180" spans="19:20" x14ac:dyDescent="0.25">
      <c r="S4180" s="78">
        <v>31567</v>
      </c>
      <c r="T4180" s="29">
        <v>9.8800000000000008</v>
      </c>
    </row>
    <row r="4181" spans="19:20" x14ac:dyDescent="0.25">
      <c r="S4181" s="78">
        <v>31568</v>
      </c>
      <c r="T4181" s="29">
        <v>9.8800000000000008</v>
      </c>
    </row>
    <row r="4182" spans="19:20" x14ac:dyDescent="0.25">
      <c r="S4182" s="78">
        <v>31569</v>
      </c>
      <c r="T4182" s="29">
        <v>9.8800000000000008</v>
      </c>
    </row>
    <row r="4183" spans="19:20" x14ac:dyDescent="0.25">
      <c r="S4183" s="78">
        <v>31570</v>
      </c>
      <c r="T4183" s="29">
        <v>9.8800000000000008</v>
      </c>
    </row>
    <row r="4184" spans="19:20" x14ac:dyDescent="0.25">
      <c r="S4184" s="78">
        <v>31571</v>
      </c>
      <c r="T4184" s="29">
        <v>9.8800000000000008</v>
      </c>
    </row>
    <row r="4185" spans="19:20" x14ac:dyDescent="0.25">
      <c r="S4185" s="78">
        <v>31572</v>
      </c>
      <c r="T4185" s="29">
        <v>9.8800000000000008</v>
      </c>
    </row>
    <row r="4186" spans="19:20" x14ac:dyDescent="0.25">
      <c r="S4186" s="78">
        <v>31573</v>
      </c>
      <c r="T4186" s="29">
        <v>9.8800000000000008</v>
      </c>
    </row>
    <row r="4187" spans="19:20" x14ac:dyDescent="0.25">
      <c r="S4187" s="78">
        <v>31574</v>
      </c>
      <c r="T4187" s="29">
        <v>9.8800000000000008</v>
      </c>
    </row>
    <row r="4188" spans="19:20" x14ac:dyDescent="0.25">
      <c r="S4188" s="78">
        <v>31575</v>
      </c>
      <c r="T4188" s="29">
        <v>9.8800000000000008</v>
      </c>
    </row>
    <row r="4189" spans="19:20" x14ac:dyDescent="0.25">
      <c r="S4189" s="78">
        <v>31576</v>
      </c>
      <c r="T4189" s="29">
        <v>9.8800000000000008</v>
      </c>
    </row>
    <row r="4190" spans="19:20" x14ac:dyDescent="0.25">
      <c r="S4190" s="78">
        <v>31577</v>
      </c>
      <c r="T4190" s="29">
        <v>9.8800000000000008</v>
      </c>
    </row>
    <row r="4191" spans="19:20" x14ac:dyDescent="0.25">
      <c r="S4191" s="78">
        <v>31578</v>
      </c>
      <c r="T4191" s="29">
        <v>9.8800000000000008</v>
      </c>
    </row>
    <row r="4192" spans="19:20" x14ac:dyDescent="0.25">
      <c r="S4192" s="78">
        <v>31579</v>
      </c>
      <c r="T4192" s="29">
        <v>9.8800000000000008</v>
      </c>
    </row>
    <row r="4193" spans="19:21" x14ac:dyDescent="0.25">
      <c r="S4193" s="78">
        <v>31580</v>
      </c>
      <c r="T4193" s="29">
        <v>9.8800000000000008</v>
      </c>
    </row>
    <row r="4194" spans="19:21" x14ac:dyDescent="0.25">
      <c r="S4194" s="78">
        <v>31581</v>
      </c>
      <c r="T4194" s="29">
        <v>9.8800000000000008</v>
      </c>
    </row>
    <row r="4195" spans="19:21" x14ac:dyDescent="0.25">
      <c r="S4195" s="78">
        <v>31582</v>
      </c>
      <c r="T4195" s="29">
        <v>9.8800000000000008</v>
      </c>
    </row>
    <row r="4196" spans="19:21" x14ac:dyDescent="0.25">
      <c r="S4196" s="78">
        <v>31583</v>
      </c>
      <c r="T4196" s="29">
        <v>9.8800000000000008</v>
      </c>
    </row>
    <row r="4197" spans="19:21" x14ac:dyDescent="0.25">
      <c r="S4197" s="78">
        <v>31584</v>
      </c>
      <c r="T4197" s="29">
        <v>9.8800000000000008</v>
      </c>
    </row>
    <row r="4198" spans="19:21" x14ac:dyDescent="0.25">
      <c r="S4198" s="78">
        <v>31585</v>
      </c>
      <c r="T4198" s="29">
        <v>9.8800000000000008</v>
      </c>
    </row>
    <row r="4199" spans="19:21" x14ac:dyDescent="0.25">
      <c r="S4199" s="78">
        <v>31586</v>
      </c>
      <c r="T4199" s="29">
        <v>9.8800000000000008</v>
      </c>
    </row>
    <row r="4200" spans="19:21" x14ac:dyDescent="0.25">
      <c r="S4200" s="78">
        <v>31587</v>
      </c>
      <c r="T4200" s="29">
        <v>9.8800000000000008</v>
      </c>
    </row>
    <row r="4201" spans="19:21" x14ac:dyDescent="0.25">
      <c r="S4201" s="78">
        <v>31588</v>
      </c>
      <c r="T4201" s="29">
        <v>9.8800000000000008</v>
      </c>
    </row>
    <row r="4202" spans="19:21" x14ac:dyDescent="0.25">
      <c r="S4202" s="78">
        <v>31589</v>
      </c>
      <c r="T4202" s="29">
        <v>9.8800000000000008</v>
      </c>
    </row>
    <row r="4203" spans="19:21" x14ac:dyDescent="0.25">
      <c r="S4203" s="78">
        <v>31590</v>
      </c>
      <c r="T4203" s="29">
        <v>9.8800000000000008</v>
      </c>
    </row>
    <row r="4204" spans="19:21" x14ac:dyDescent="0.25">
      <c r="S4204" s="78">
        <v>31591</v>
      </c>
      <c r="T4204" s="29">
        <v>9.8800000000000008</v>
      </c>
    </row>
    <row r="4205" spans="19:21" x14ac:dyDescent="0.25">
      <c r="S4205" s="78">
        <v>31592</v>
      </c>
      <c r="T4205" s="29">
        <v>9.8800000000000008</v>
      </c>
    </row>
    <row r="4206" spans="19:21" x14ac:dyDescent="0.25">
      <c r="S4206" s="78">
        <v>31593</v>
      </c>
      <c r="T4206" s="29">
        <v>9.8800000000000008</v>
      </c>
      <c r="U4206" s="40">
        <f>AVERAGE(T4116:T4206)</f>
        <v>10.314065934065932</v>
      </c>
    </row>
    <row r="4207" spans="19:21" x14ac:dyDescent="0.25">
      <c r="S4207" s="78">
        <v>31594</v>
      </c>
      <c r="T4207" s="29">
        <v>9.8800000000000008</v>
      </c>
    </row>
    <row r="4208" spans="19:21" x14ac:dyDescent="0.25">
      <c r="S4208" s="78">
        <v>31595</v>
      </c>
      <c r="T4208" s="29">
        <v>9.8800000000000008</v>
      </c>
    </row>
    <row r="4209" spans="19:20" x14ac:dyDescent="0.25">
      <c r="S4209" s="78">
        <v>31596</v>
      </c>
      <c r="T4209" s="29">
        <v>9.8800000000000008</v>
      </c>
    </row>
    <row r="4210" spans="19:20" x14ac:dyDescent="0.25">
      <c r="S4210" s="78">
        <v>31597</v>
      </c>
      <c r="T4210" s="29">
        <v>9.8800000000000008</v>
      </c>
    </row>
    <row r="4211" spans="19:20" x14ac:dyDescent="0.25">
      <c r="S4211" s="78">
        <v>31598</v>
      </c>
      <c r="T4211" s="29">
        <v>9.8800000000000008</v>
      </c>
    </row>
    <row r="4212" spans="19:20" x14ac:dyDescent="0.25">
      <c r="S4212" s="78">
        <v>31599</v>
      </c>
      <c r="T4212" s="29">
        <v>9.8800000000000008</v>
      </c>
    </row>
    <row r="4213" spans="19:20" x14ac:dyDescent="0.25">
      <c r="S4213" s="78">
        <v>31600</v>
      </c>
      <c r="T4213" s="29">
        <v>9.8800000000000008</v>
      </c>
    </row>
    <row r="4214" spans="19:20" x14ac:dyDescent="0.25">
      <c r="S4214" s="78">
        <v>31601</v>
      </c>
      <c r="T4214" s="29">
        <v>9.8800000000000008</v>
      </c>
    </row>
    <row r="4215" spans="19:20" x14ac:dyDescent="0.25">
      <c r="S4215" s="78">
        <v>31602</v>
      </c>
      <c r="T4215" s="29">
        <v>9.8800000000000008</v>
      </c>
    </row>
    <row r="4216" spans="19:20" x14ac:dyDescent="0.25">
      <c r="S4216" s="78">
        <v>31603</v>
      </c>
      <c r="T4216" s="29">
        <v>9.8800000000000008</v>
      </c>
    </row>
    <row r="4217" spans="19:20" x14ac:dyDescent="0.25">
      <c r="S4217" s="78">
        <v>31604</v>
      </c>
      <c r="T4217" s="29">
        <v>9.8800000000000008</v>
      </c>
    </row>
    <row r="4218" spans="19:20" x14ac:dyDescent="0.25">
      <c r="S4218" s="78">
        <v>31605</v>
      </c>
      <c r="T4218" s="29">
        <v>9.8800000000000008</v>
      </c>
    </row>
    <row r="4219" spans="19:20" x14ac:dyDescent="0.25">
      <c r="S4219" s="78">
        <v>31606</v>
      </c>
      <c r="T4219" s="29">
        <v>9.8800000000000008</v>
      </c>
    </row>
    <row r="4220" spans="19:20" x14ac:dyDescent="0.25">
      <c r="S4220" s="78">
        <v>31607</v>
      </c>
      <c r="T4220" s="29">
        <v>9.8800000000000008</v>
      </c>
    </row>
    <row r="4221" spans="19:20" x14ac:dyDescent="0.25">
      <c r="S4221" s="78">
        <v>31608</v>
      </c>
      <c r="T4221" s="29">
        <v>9.8800000000000008</v>
      </c>
    </row>
    <row r="4222" spans="19:20" x14ac:dyDescent="0.25">
      <c r="S4222" s="78">
        <v>31609</v>
      </c>
      <c r="T4222" s="29">
        <v>9.8800000000000008</v>
      </c>
    </row>
    <row r="4223" spans="19:20" x14ac:dyDescent="0.25">
      <c r="S4223" s="78">
        <v>31610</v>
      </c>
      <c r="T4223" s="29">
        <v>9.8800000000000008</v>
      </c>
    </row>
    <row r="4224" spans="19:20" x14ac:dyDescent="0.25">
      <c r="S4224" s="78">
        <v>31611</v>
      </c>
      <c r="T4224" s="29">
        <v>9.8800000000000008</v>
      </c>
    </row>
    <row r="4225" spans="19:20" x14ac:dyDescent="0.25">
      <c r="S4225" s="78">
        <v>31612</v>
      </c>
      <c r="T4225" s="29">
        <v>9.8800000000000008</v>
      </c>
    </row>
    <row r="4226" spans="19:20" x14ac:dyDescent="0.25">
      <c r="S4226" s="78">
        <v>31613</v>
      </c>
      <c r="T4226" s="29">
        <v>9.8800000000000008</v>
      </c>
    </row>
    <row r="4227" spans="19:20" x14ac:dyDescent="0.25">
      <c r="S4227" s="78">
        <v>31614</v>
      </c>
      <c r="T4227" s="29">
        <v>9.8800000000000008</v>
      </c>
    </row>
    <row r="4228" spans="19:20" x14ac:dyDescent="0.25">
      <c r="S4228" s="78">
        <v>31615</v>
      </c>
      <c r="T4228" s="29">
        <v>9.8800000000000008</v>
      </c>
    </row>
    <row r="4229" spans="19:20" x14ac:dyDescent="0.25">
      <c r="S4229" s="78">
        <v>31616</v>
      </c>
      <c r="T4229" s="29">
        <v>9.8800000000000008</v>
      </c>
    </row>
    <row r="4230" spans="19:20" x14ac:dyDescent="0.25">
      <c r="S4230" s="78">
        <v>31617</v>
      </c>
      <c r="T4230" s="29">
        <v>9.8800000000000008</v>
      </c>
    </row>
    <row r="4231" spans="19:20" x14ac:dyDescent="0.25">
      <c r="S4231" s="78">
        <v>31618</v>
      </c>
      <c r="T4231" s="29">
        <v>9.8800000000000008</v>
      </c>
    </row>
    <row r="4232" spans="19:20" x14ac:dyDescent="0.25">
      <c r="S4232" s="78">
        <v>31619</v>
      </c>
      <c r="T4232" s="29">
        <v>9.8800000000000008</v>
      </c>
    </row>
    <row r="4233" spans="19:20" x14ac:dyDescent="0.25">
      <c r="S4233" s="78">
        <v>31620</v>
      </c>
      <c r="T4233" s="29">
        <v>9.8800000000000008</v>
      </c>
    </row>
    <row r="4234" spans="19:20" x14ac:dyDescent="0.25">
      <c r="S4234" s="78">
        <v>31621</v>
      </c>
      <c r="T4234" s="29">
        <v>9.8800000000000008</v>
      </c>
    </row>
    <row r="4235" spans="19:20" x14ac:dyDescent="0.25">
      <c r="S4235" s="78">
        <v>31622</v>
      </c>
      <c r="T4235" s="29">
        <v>9.8800000000000008</v>
      </c>
    </row>
    <row r="4236" spans="19:20" x14ac:dyDescent="0.25">
      <c r="S4236" s="78">
        <v>31623</v>
      </c>
      <c r="T4236" s="29">
        <v>9.8800000000000008</v>
      </c>
    </row>
    <row r="4237" spans="19:20" x14ac:dyDescent="0.25">
      <c r="S4237" s="78">
        <v>31624</v>
      </c>
      <c r="T4237" s="29">
        <v>9.8800000000000008</v>
      </c>
    </row>
    <row r="4238" spans="19:20" x14ac:dyDescent="0.25">
      <c r="S4238" s="78">
        <v>31625</v>
      </c>
      <c r="T4238" s="29">
        <v>9.8800000000000008</v>
      </c>
    </row>
    <row r="4239" spans="19:20" x14ac:dyDescent="0.25">
      <c r="S4239" s="78">
        <v>31626</v>
      </c>
      <c r="T4239" s="29">
        <v>9.8800000000000008</v>
      </c>
    </row>
    <row r="4240" spans="19:20" x14ac:dyDescent="0.25">
      <c r="S4240" s="78">
        <v>31627</v>
      </c>
      <c r="T4240" s="29">
        <v>9.8800000000000008</v>
      </c>
    </row>
    <row r="4241" spans="19:20" x14ac:dyDescent="0.25">
      <c r="S4241" s="78">
        <v>31628</v>
      </c>
      <c r="T4241" s="29">
        <v>9.8800000000000008</v>
      </c>
    </row>
    <row r="4242" spans="19:20" x14ac:dyDescent="0.25">
      <c r="S4242" s="78">
        <v>31629</v>
      </c>
      <c r="T4242" s="29">
        <v>9.8800000000000008</v>
      </c>
    </row>
    <row r="4243" spans="19:20" x14ac:dyDescent="0.25">
      <c r="S4243" s="78">
        <v>31630</v>
      </c>
      <c r="T4243" s="29">
        <v>9.8800000000000008</v>
      </c>
    </row>
    <row r="4244" spans="19:20" x14ac:dyDescent="0.25">
      <c r="S4244" s="78">
        <v>31631</v>
      </c>
      <c r="T4244" s="29">
        <v>9.8800000000000008</v>
      </c>
    </row>
    <row r="4245" spans="19:20" x14ac:dyDescent="0.25">
      <c r="S4245" s="78">
        <v>31632</v>
      </c>
      <c r="T4245" s="29">
        <v>9.8800000000000008</v>
      </c>
    </row>
    <row r="4246" spans="19:20" x14ac:dyDescent="0.25">
      <c r="S4246" s="78">
        <v>31633</v>
      </c>
      <c r="T4246" s="29">
        <v>9.8800000000000008</v>
      </c>
    </row>
    <row r="4247" spans="19:20" x14ac:dyDescent="0.25">
      <c r="S4247" s="78">
        <v>31634</v>
      </c>
      <c r="T4247" s="29">
        <v>9.8800000000000008</v>
      </c>
    </row>
    <row r="4248" spans="19:20" x14ac:dyDescent="0.25">
      <c r="S4248" s="78">
        <v>31635</v>
      </c>
      <c r="T4248" s="29">
        <v>9.8800000000000008</v>
      </c>
    </row>
    <row r="4249" spans="19:20" x14ac:dyDescent="0.25">
      <c r="S4249" s="78">
        <v>31636</v>
      </c>
      <c r="T4249" s="29">
        <v>9.8800000000000008</v>
      </c>
    </row>
    <row r="4250" spans="19:20" x14ac:dyDescent="0.25">
      <c r="S4250" s="78">
        <v>31637</v>
      </c>
      <c r="T4250" s="29">
        <v>9.8800000000000008</v>
      </c>
    </row>
    <row r="4251" spans="19:20" x14ac:dyDescent="0.25">
      <c r="S4251" s="78">
        <v>31638</v>
      </c>
      <c r="T4251" s="29">
        <v>9.8800000000000008</v>
      </c>
    </row>
    <row r="4252" spans="19:20" x14ac:dyDescent="0.25">
      <c r="S4252" s="78">
        <v>31639</v>
      </c>
      <c r="T4252" s="29">
        <v>9.8800000000000008</v>
      </c>
    </row>
    <row r="4253" spans="19:20" x14ac:dyDescent="0.25">
      <c r="S4253" s="78">
        <v>31640</v>
      </c>
      <c r="T4253" s="29">
        <v>9.8800000000000008</v>
      </c>
    </row>
    <row r="4254" spans="19:20" x14ac:dyDescent="0.25">
      <c r="S4254" s="78">
        <v>31641</v>
      </c>
      <c r="T4254" s="29">
        <v>9.8800000000000008</v>
      </c>
    </row>
    <row r="4255" spans="19:20" x14ac:dyDescent="0.25">
      <c r="S4255" s="78">
        <v>31642</v>
      </c>
      <c r="T4255" s="29">
        <v>9.8800000000000008</v>
      </c>
    </row>
    <row r="4256" spans="19:20" x14ac:dyDescent="0.25">
      <c r="S4256" s="78">
        <v>31643</v>
      </c>
      <c r="T4256" s="29">
        <v>9.8800000000000008</v>
      </c>
    </row>
    <row r="4257" spans="19:20" x14ac:dyDescent="0.25">
      <c r="S4257" s="78">
        <v>31644</v>
      </c>
      <c r="T4257" s="29">
        <v>9.8800000000000008</v>
      </c>
    </row>
    <row r="4258" spans="19:20" x14ac:dyDescent="0.25">
      <c r="S4258" s="78">
        <v>31645</v>
      </c>
      <c r="T4258" s="29">
        <v>9.8800000000000008</v>
      </c>
    </row>
    <row r="4259" spans="19:20" x14ac:dyDescent="0.25">
      <c r="S4259" s="78">
        <v>31646</v>
      </c>
      <c r="T4259" s="29">
        <v>9.8800000000000008</v>
      </c>
    </row>
    <row r="4260" spans="19:20" x14ac:dyDescent="0.25">
      <c r="S4260" s="78">
        <v>31647</v>
      </c>
      <c r="T4260" s="29">
        <v>9.8800000000000008</v>
      </c>
    </row>
    <row r="4261" spans="19:20" x14ac:dyDescent="0.25">
      <c r="S4261" s="78">
        <v>31648</v>
      </c>
      <c r="T4261" s="29">
        <v>9.8800000000000008</v>
      </c>
    </row>
    <row r="4262" spans="19:20" x14ac:dyDescent="0.25">
      <c r="S4262" s="78">
        <v>31649</v>
      </c>
      <c r="T4262" s="29">
        <v>9.8800000000000008</v>
      </c>
    </row>
    <row r="4263" spans="19:20" x14ac:dyDescent="0.25">
      <c r="S4263" s="78">
        <v>31650</v>
      </c>
      <c r="T4263" s="29">
        <v>9.8800000000000008</v>
      </c>
    </row>
    <row r="4264" spans="19:20" x14ac:dyDescent="0.25">
      <c r="S4264" s="78">
        <v>31651</v>
      </c>
      <c r="T4264" s="29">
        <v>9.8800000000000008</v>
      </c>
    </row>
    <row r="4265" spans="19:20" x14ac:dyDescent="0.25">
      <c r="S4265" s="78">
        <v>31652</v>
      </c>
      <c r="T4265" s="29">
        <v>9.8800000000000008</v>
      </c>
    </row>
    <row r="4266" spans="19:20" x14ac:dyDescent="0.25">
      <c r="S4266" s="78">
        <v>31653</v>
      </c>
      <c r="T4266" s="29">
        <v>9.8800000000000008</v>
      </c>
    </row>
    <row r="4267" spans="19:20" x14ac:dyDescent="0.25">
      <c r="S4267" s="78">
        <v>31654</v>
      </c>
      <c r="T4267" s="29">
        <v>9.8800000000000008</v>
      </c>
    </row>
    <row r="4268" spans="19:20" x14ac:dyDescent="0.25">
      <c r="S4268" s="78">
        <v>31655</v>
      </c>
      <c r="T4268" s="29">
        <v>9.8800000000000008</v>
      </c>
    </row>
    <row r="4269" spans="19:20" x14ac:dyDescent="0.25">
      <c r="S4269" s="78">
        <v>31656</v>
      </c>
      <c r="T4269" s="29">
        <v>9.8800000000000008</v>
      </c>
    </row>
    <row r="4270" spans="19:20" x14ac:dyDescent="0.25">
      <c r="S4270" s="78">
        <v>31657</v>
      </c>
      <c r="T4270" s="29">
        <v>9.8800000000000008</v>
      </c>
    </row>
    <row r="4271" spans="19:20" x14ac:dyDescent="0.25">
      <c r="S4271" s="78">
        <v>31658</v>
      </c>
      <c r="T4271" s="29">
        <v>9.8800000000000008</v>
      </c>
    </row>
    <row r="4272" spans="19:20" x14ac:dyDescent="0.25">
      <c r="S4272" s="78">
        <v>31659</v>
      </c>
      <c r="T4272" s="29">
        <v>9.8800000000000008</v>
      </c>
    </row>
    <row r="4273" spans="19:20" x14ac:dyDescent="0.25">
      <c r="S4273" s="78">
        <v>31660</v>
      </c>
      <c r="T4273" s="29">
        <v>9.8800000000000008</v>
      </c>
    </row>
    <row r="4274" spans="19:20" x14ac:dyDescent="0.25">
      <c r="S4274" s="78">
        <v>31661</v>
      </c>
      <c r="T4274" s="29">
        <v>9.8800000000000008</v>
      </c>
    </row>
    <row r="4275" spans="19:20" x14ac:dyDescent="0.25">
      <c r="S4275" s="78">
        <v>31662</v>
      </c>
      <c r="T4275" s="29">
        <v>9.8800000000000008</v>
      </c>
    </row>
    <row r="4276" spans="19:20" x14ac:dyDescent="0.25">
      <c r="S4276" s="78">
        <v>31663</v>
      </c>
      <c r="T4276" s="29">
        <v>9.8800000000000008</v>
      </c>
    </row>
    <row r="4277" spans="19:20" x14ac:dyDescent="0.25">
      <c r="S4277" s="78">
        <v>31664</v>
      </c>
      <c r="T4277" s="29">
        <v>9.8800000000000008</v>
      </c>
    </row>
    <row r="4278" spans="19:20" x14ac:dyDescent="0.25">
      <c r="S4278" s="78">
        <v>31665</v>
      </c>
      <c r="T4278" s="29">
        <v>9.8800000000000008</v>
      </c>
    </row>
    <row r="4279" spans="19:20" x14ac:dyDescent="0.25">
      <c r="S4279" s="78">
        <v>31666</v>
      </c>
      <c r="T4279" s="29">
        <v>9.8800000000000008</v>
      </c>
    </row>
    <row r="4280" spans="19:20" x14ac:dyDescent="0.25">
      <c r="S4280" s="78">
        <v>31667</v>
      </c>
      <c r="T4280" s="29">
        <v>9.8800000000000008</v>
      </c>
    </row>
    <row r="4281" spans="19:20" x14ac:dyDescent="0.25">
      <c r="S4281" s="78">
        <v>31668</v>
      </c>
      <c r="T4281" s="29">
        <v>9.8800000000000008</v>
      </c>
    </row>
    <row r="4282" spans="19:20" x14ac:dyDescent="0.25">
      <c r="S4282" s="78">
        <v>31669</v>
      </c>
      <c r="T4282" s="29">
        <v>9.8800000000000008</v>
      </c>
    </row>
    <row r="4283" spans="19:20" x14ac:dyDescent="0.25">
      <c r="S4283" s="78">
        <v>31670</v>
      </c>
      <c r="T4283" s="29">
        <v>9.8800000000000008</v>
      </c>
    </row>
    <row r="4284" spans="19:20" x14ac:dyDescent="0.25">
      <c r="S4284" s="78">
        <v>31671</v>
      </c>
      <c r="T4284" s="29">
        <v>9.8800000000000008</v>
      </c>
    </row>
    <row r="4285" spans="19:20" x14ac:dyDescent="0.25">
      <c r="S4285" s="78">
        <v>31672</v>
      </c>
      <c r="T4285" s="29">
        <v>9.8800000000000008</v>
      </c>
    </row>
    <row r="4286" spans="19:20" x14ac:dyDescent="0.25">
      <c r="S4286" s="78">
        <v>31673</v>
      </c>
      <c r="T4286" s="29">
        <v>9.8800000000000008</v>
      </c>
    </row>
    <row r="4287" spans="19:20" x14ac:dyDescent="0.25">
      <c r="S4287" s="78">
        <v>31674</v>
      </c>
      <c r="T4287" s="29">
        <v>9.8800000000000008</v>
      </c>
    </row>
    <row r="4288" spans="19:20" x14ac:dyDescent="0.25">
      <c r="S4288" s="78">
        <v>31675</v>
      </c>
      <c r="T4288" s="29">
        <v>9.8800000000000008</v>
      </c>
    </row>
    <row r="4289" spans="19:21" x14ac:dyDescent="0.25">
      <c r="S4289" s="78">
        <v>31676</v>
      </c>
      <c r="T4289" s="29">
        <v>9.8800000000000008</v>
      </c>
    </row>
    <row r="4290" spans="19:21" x14ac:dyDescent="0.25">
      <c r="S4290" s="78">
        <v>31677</v>
      </c>
      <c r="T4290" s="29">
        <v>9.8800000000000008</v>
      </c>
    </row>
    <row r="4291" spans="19:21" x14ac:dyDescent="0.25">
      <c r="S4291" s="78">
        <v>31678</v>
      </c>
      <c r="T4291" s="29">
        <v>9.8800000000000008</v>
      </c>
    </row>
    <row r="4292" spans="19:21" x14ac:dyDescent="0.25">
      <c r="S4292" s="78">
        <v>31679</v>
      </c>
      <c r="T4292" s="29">
        <v>9.8800000000000008</v>
      </c>
    </row>
    <row r="4293" spans="19:21" x14ac:dyDescent="0.25">
      <c r="S4293" s="78">
        <v>31680</v>
      </c>
      <c r="T4293" s="29">
        <v>9.8800000000000008</v>
      </c>
    </row>
    <row r="4294" spans="19:21" x14ac:dyDescent="0.25">
      <c r="S4294" s="78">
        <v>31681</v>
      </c>
      <c r="T4294" s="29">
        <v>9.8800000000000008</v>
      </c>
    </row>
    <row r="4295" spans="19:21" x14ac:dyDescent="0.25">
      <c r="S4295" s="78">
        <v>31682</v>
      </c>
      <c r="T4295" s="29">
        <v>9.8800000000000008</v>
      </c>
    </row>
    <row r="4296" spans="19:21" x14ac:dyDescent="0.25">
      <c r="S4296" s="78">
        <v>31683</v>
      </c>
      <c r="T4296" s="29">
        <v>9.8800000000000008</v>
      </c>
    </row>
    <row r="4297" spans="19:21" x14ac:dyDescent="0.25">
      <c r="S4297" s="78">
        <v>31684</v>
      </c>
      <c r="T4297" s="29">
        <v>9.8800000000000008</v>
      </c>
    </row>
    <row r="4298" spans="19:21" x14ac:dyDescent="0.25">
      <c r="S4298" s="78">
        <v>31685</v>
      </c>
      <c r="T4298" s="29">
        <v>9.8800000000000008</v>
      </c>
      <c r="U4298" s="40">
        <f>AVERAGE(T4207:T4298)</f>
        <v>9.8799999999999972</v>
      </c>
    </row>
    <row r="4299" spans="19:21" x14ac:dyDescent="0.25">
      <c r="S4299" s="78">
        <v>31686</v>
      </c>
      <c r="T4299" s="29">
        <v>9.8800000000000008</v>
      </c>
    </row>
    <row r="4300" spans="19:21" x14ac:dyDescent="0.25">
      <c r="S4300" s="78">
        <v>31687</v>
      </c>
      <c r="T4300" s="29">
        <v>9.8800000000000008</v>
      </c>
    </row>
    <row r="4301" spans="19:21" x14ac:dyDescent="0.25">
      <c r="S4301" s="78">
        <v>31688</v>
      </c>
      <c r="T4301" s="29">
        <v>9.8800000000000008</v>
      </c>
    </row>
    <row r="4302" spans="19:21" x14ac:dyDescent="0.25">
      <c r="S4302" s="78">
        <v>31689</v>
      </c>
      <c r="T4302" s="29">
        <v>9.8800000000000008</v>
      </c>
    </row>
    <row r="4303" spans="19:21" x14ac:dyDescent="0.25">
      <c r="S4303" s="78">
        <v>31690</v>
      </c>
      <c r="T4303" s="29">
        <v>9.8800000000000008</v>
      </c>
    </row>
    <row r="4304" spans="19:21" x14ac:dyDescent="0.25">
      <c r="S4304" s="78">
        <v>31691</v>
      </c>
      <c r="T4304" s="29">
        <v>9.8800000000000008</v>
      </c>
    </row>
    <row r="4305" spans="19:20" x14ac:dyDescent="0.25">
      <c r="S4305" s="78">
        <v>31692</v>
      </c>
      <c r="T4305" s="29">
        <v>9.8800000000000008</v>
      </c>
    </row>
    <row r="4306" spans="19:20" x14ac:dyDescent="0.25">
      <c r="S4306" s="78">
        <v>31693</v>
      </c>
      <c r="T4306" s="29">
        <v>9.8800000000000008</v>
      </c>
    </row>
    <row r="4307" spans="19:20" x14ac:dyDescent="0.25">
      <c r="S4307" s="78">
        <v>31694</v>
      </c>
      <c r="T4307" s="29">
        <v>9.8800000000000008</v>
      </c>
    </row>
    <row r="4308" spans="19:20" x14ac:dyDescent="0.25">
      <c r="S4308" s="78">
        <v>31695</v>
      </c>
      <c r="T4308" s="29">
        <v>9.8800000000000008</v>
      </c>
    </row>
    <row r="4309" spans="19:20" x14ac:dyDescent="0.25">
      <c r="S4309" s="78">
        <v>31696</v>
      </c>
      <c r="T4309" s="29">
        <v>9.8800000000000008</v>
      </c>
    </row>
    <row r="4310" spans="19:20" x14ac:dyDescent="0.25">
      <c r="S4310" s="78">
        <v>31697</v>
      </c>
      <c r="T4310" s="29">
        <v>9.8800000000000008</v>
      </c>
    </row>
    <row r="4311" spans="19:20" x14ac:dyDescent="0.25">
      <c r="S4311" s="78">
        <v>31698</v>
      </c>
      <c r="T4311" s="29">
        <v>9.8800000000000008</v>
      </c>
    </row>
    <row r="4312" spans="19:20" x14ac:dyDescent="0.25">
      <c r="S4312" s="78">
        <v>31699</v>
      </c>
      <c r="T4312" s="29">
        <v>9.8800000000000008</v>
      </c>
    </row>
    <row r="4313" spans="19:20" x14ac:dyDescent="0.25">
      <c r="S4313" s="78">
        <v>31700</v>
      </c>
      <c r="T4313" s="29">
        <v>10.88</v>
      </c>
    </row>
    <row r="4314" spans="19:20" x14ac:dyDescent="0.25">
      <c r="S4314" s="78">
        <v>31701</v>
      </c>
      <c r="T4314" s="29">
        <v>10.88</v>
      </c>
    </row>
    <row r="4315" spans="19:20" x14ac:dyDescent="0.25">
      <c r="S4315" s="78">
        <v>31702</v>
      </c>
      <c r="T4315" s="29">
        <v>10.88</v>
      </c>
    </row>
    <row r="4316" spans="19:20" x14ac:dyDescent="0.25">
      <c r="S4316" s="78">
        <v>31703</v>
      </c>
      <c r="T4316" s="29">
        <v>10.88</v>
      </c>
    </row>
    <row r="4317" spans="19:20" x14ac:dyDescent="0.25">
      <c r="S4317" s="78">
        <v>31704</v>
      </c>
      <c r="T4317" s="29">
        <v>10.88</v>
      </c>
    </row>
    <row r="4318" spans="19:20" x14ac:dyDescent="0.25">
      <c r="S4318" s="78">
        <v>31705</v>
      </c>
      <c r="T4318" s="29">
        <v>10.88</v>
      </c>
    </row>
    <row r="4319" spans="19:20" x14ac:dyDescent="0.25">
      <c r="S4319" s="78">
        <v>31706</v>
      </c>
      <c r="T4319" s="29">
        <v>10.88</v>
      </c>
    </row>
    <row r="4320" spans="19:20" x14ac:dyDescent="0.25">
      <c r="S4320" s="78">
        <v>31707</v>
      </c>
      <c r="T4320" s="29">
        <v>10.88</v>
      </c>
    </row>
    <row r="4321" spans="19:20" x14ac:dyDescent="0.25">
      <c r="S4321" s="78">
        <v>31708</v>
      </c>
      <c r="T4321" s="29">
        <v>10.88</v>
      </c>
    </row>
    <row r="4322" spans="19:20" x14ac:dyDescent="0.25">
      <c r="S4322" s="78">
        <v>31709</v>
      </c>
      <c r="T4322" s="29">
        <v>10.88</v>
      </c>
    </row>
    <row r="4323" spans="19:20" x14ac:dyDescent="0.25">
      <c r="S4323" s="78">
        <v>31710</v>
      </c>
      <c r="T4323" s="29">
        <v>10.88</v>
      </c>
    </row>
    <row r="4324" spans="19:20" x14ac:dyDescent="0.25">
      <c r="S4324" s="78">
        <v>31711</v>
      </c>
      <c r="T4324" s="29">
        <v>10.88</v>
      </c>
    </row>
    <row r="4325" spans="19:20" x14ac:dyDescent="0.25">
      <c r="S4325" s="78">
        <v>31712</v>
      </c>
      <c r="T4325" s="29">
        <v>10.88</v>
      </c>
    </row>
    <row r="4326" spans="19:20" x14ac:dyDescent="0.25">
      <c r="S4326" s="78">
        <v>31713</v>
      </c>
      <c r="T4326" s="29">
        <v>10.88</v>
      </c>
    </row>
    <row r="4327" spans="19:20" x14ac:dyDescent="0.25">
      <c r="S4327" s="78">
        <v>31714</v>
      </c>
      <c r="T4327" s="29">
        <v>10.88</v>
      </c>
    </row>
    <row r="4328" spans="19:20" x14ac:dyDescent="0.25">
      <c r="S4328" s="78">
        <v>31715</v>
      </c>
      <c r="T4328" s="29">
        <v>10.88</v>
      </c>
    </row>
    <row r="4329" spans="19:20" x14ac:dyDescent="0.25">
      <c r="S4329" s="78">
        <v>31716</v>
      </c>
      <c r="T4329" s="29">
        <v>10.88</v>
      </c>
    </row>
    <row r="4330" spans="19:20" x14ac:dyDescent="0.25">
      <c r="S4330" s="78">
        <v>31717</v>
      </c>
      <c r="T4330" s="29">
        <v>10.88</v>
      </c>
    </row>
    <row r="4331" spans="19:20" x14ac:dyDescent="0.25">
      <c r="S4331" s="78">
        <v>31718</v>
      </c>
      <c r="T4331" s="29">
        <v>10.88</v>
      </c>
    </row>
    <row r="4332" spans="19:20" x14ac:dyDescent="0.25">
      <c r="S4332" s="78">
        <v>31719</v>
      </c>
      <c r="T4332" s="29">
        <v>10.88</v>
      </c>
    </row>
    <row r="4333" spans="19:20" x14ac:dyDescent="0.25">
      <c r="S4333" s="78">
        <v>31720</v>
      </c>
      <c r="T4333" s="29">
        <v>10.88</v>
      </c>
    </row>
    <row r="4334" spans="19:20" x14ac:dyDescent="0.25">
      <c r="S4334" s="78">
        <v>31721</v>
      </c>
      <c r="T4334" s="29">
        <v>10.88</v>
      </c>
    </row>
    <row r="4335" spans="19:20" x14ac:dyDescent="0.25">
      <c r="S4335" s="78">
        <v>31722</v>
      </c>
      <c r="T4335" s="29">
        <v>10.88</v>
      </c>
    </row>
    <row r="4336" spans="19:20" x14ac:dyDescent="0.25">
      <c r="S4336" s="78">
        <v>31723</v>
      </c>
      <c r="T4336" s="29">
        <v>10.88</v>
      </c>
    </row>
    <row r="4337" spans="19:20" x14ac:dyDescent="0.25">
      <c r="S4337" s="78">
        <v>31724</v>
      </c>
      <c r="T4337" s="29">
        <v>10.88</v>
      </c>
    </row>
    <row r="4338" spans="19:20" x14ac:dyDescent="0.25">
      <c r="S4338" s="78">
        <v>31725</v>
      </c>
      <c r="T4338" s="29">
        <v>10.88</v>
      </c>
    </row>
    <row r="4339" spans="19:20" x14ac:dyDescent="0.25">
      <c r="S4339" s="78">
        <v>31726</v>
      </c>
      <c r="T4339" s="29">
        <v>10.88</v>
      </c>
    </row>
    <row r="4340" spans="19:20" x14ac:dyDescent="0.25">
      <c r="S4340" s="78">
        <v>31727</v>
      </c>
      <c r="T4340" s="29">
        <v>10.88</v>
      </c>
    </row>
    <row r="4341" spans="19:20" x14ac:dyDescent="0.25">
      <c r="S4341" s="78">
        <v>31728</v>
      </c>
      <c r="T4341" s="29">
        <v>10.88</v>
      </c>
    </row>
    <row r="4342" spans="19:20" x14ac:dyDescent="0.25">
      <c r="S4342" s="78">
        <v>31729</v>
      </c>
      <c r="T4342" s="29">
        <v>10.88</v>
      </c>
    </row>
    <row r="4343" spans="19:20" x14ac:dyDescent="0.25">
      <c r="S4343" s="78">
        <v>31730</v>
      </c>
      <c r="T4343" s="29">
        <v>10.88</v>
      </c>
    </row>
    <row r="4344" spans="19:20" x14ac:dyDescent="0.25">
      <c r="S4344" s="78">
        <v>31731</v>
      </c>
      <c r="T4344" s="29">
        <v>10.88</v>
      </c>
    </row>
    <row r="4345" spans="19:20" x14ac:dyDescent="0.25">
      <c r="S4345" s="78">
        <v>31732</v>
      </c>
      <c r="T4345" s="29">
        <v>10.88</v>
      </c>
    </row>
    <row r="4346" spans="19:20" x14ac:dyDescent="0.25">
      <c r="S4346" s="78">
        <v>31733</v>
      </c>
      <c r="T4346" s="29">
        <v>10.88</v>
      </c>
    </row>
    <row r="4347" spans="19:20" x14ac:dyDescent="0.25">
      <c r="S4347" s="78">
        <v>31734</v>
      </c>
      <c r="T4347" s="29">
        <v>10.88</v>
      </c>
    </row>
    <row r="4348" spans="19:20" x14ac:dyDescent="0.25">
      <c r="S4348" s="78">
        <v>31735</v>
      </c>
      <c r="T4348" s="29">
        <v>10.88</v>
      </c>
    </row>
    <row r="4349" spans="19:20" x14ac:dyDescent="0.25">
      <c r="S4349" s="78">
        <v>31736</v>
      </c>
      <c r="T4349" s="29">
        <v>10.88</v>
      </c>
    </row>
    <row r="4350" spans="19:20" x14ac:dyDescent="0.25">
      <c r="S4350" s="78">
        <v>31737</v>
      </c>
      <c r="T4350" s="29">
        <v>10.88</v>
      </c>
    </row>
    <row r="4351" spans="19:20" x14ac:dyDescent="0.25">
      <c r="S4351" s="78">
        <v>31738</v>
      </c>
      <c r="T4351" s="29">
        <v>10.88</v>
      </c>
    </row>
    <row r="4352" spans="19:20" x14ac:dyDescent="0.25">
      <c r="S4352" s="78">
        <v>31739</v>
      </c>
      <c r="T4352" s="29">
        <v>10.88</v>
      </c>
    </row>
    <row r="4353" spans="19:20" x14ac:dyDescent="0.25">
      <c r="S4353" s="78">
        <v>31740</v>
      </c>
      <c r="T4353" s="29">
        <v>10.88</v>
      </c>
    </row>
    <row r="4354" spans="19:20" x14ac:dyDescent="0.25">
      <c r="S4354" s="78">
        <v>31741</v>
      </c>
      <c r="T4354" s="29">
        <v>10.88</v>
      </c>
    </row>
    <row r="4355" spans="19:20" x14ac:dyDescent="0.25">
      <c r="S4355" s="78">
        <v>31742</v>
      </c>
      <c r="T4355" s="29">
        <v>10.88</v>
      </c>
    </row>
    <row r="4356" spans="19:20" x14ac:dyDescent="0.25">
      <c r="S4356" s="78">
        <v>31743</v>
      </c>
      <c r="T4356" s="29">
        <v>10.88</v>
      </c>
    </row>
    <row r="4357" spans="19:20" x14ac:dyDescent="0.25">
      <c r="S4357" s="78">
        <v>31744</v>
      </c>
      <c r="T4357" s="29">
        <v>10.88</v>
      </c>
    </row>
    <row r="4358" spans="19:20" x14ac:dyDescent="0.25">
      <c r="S4358" s="78">
        <v>31745</v>
      </c>
      <c r="T4358" s="29">
        <v>10.88</v>
      </c>
    </row>
    <row r="4359" spans="19:20" x14ac:dyDescent="0.25">
      <c r="S4359" s="78">
        <v>31746</v>
      </c>
      <c r="T4359" s="29">
        <v>10.88</v>
      </c>
    </row>
    <row r="4360" spans="19:20" x14ac:dyDescent="0.25">
      <c r="S4360" s="78">
        <v>31747</v>
      </c>
      <c r="T4360" s="29">
        <v>10.88</v>
      </c>
    </row>
    <row r="4361" spans="19:20" x14ac:dyDescent="0.25">
      <c r="S4361" s="78">
        <v>31748</v>
      </c>
      <c r="T4361" s="29">
        <v>10.88</v>
      </c>
    </row>
    <row r="4362" spans="19:20" x14ac:dyDescent="0.25">
      <c r="S4362" s="78">
        <v>31749</v>
      </c>
      <c r="T4362" s="29">
        <v>10.88</v>
      </c>
    </row>
    <row r="4363" spans="19:20" x14ac:dyDescent="0.25">
      <c r="S4363" s="78">
        <v>31750</v>
      </c>
      <c r="T4363" s="29">
        <v>10.88</v>
      </c>
    </row>
    <row r="4364" spans="19:20" x14ac:dyDescent="0.25">
      <c r="S4364" s="78">
        <v>31751</v>
      </c>
      <c r="T4364" s="29">
        <v>10.88</v>
      </c>
    </row>
    <row r="4365" spans="19:20" x14ac:dyDescent="0.25">
      <c r="S4365" s="78">
        <v>31752</v>
      </c>
      <c r="T4365" s="29">
        <v>10.88</v>
      </c>
    </row>
    <row r="4366" spans="19:20" x14ac:dyDescent="0.25">
      <c r="S4366" s="78">
        <v>31753</v>
      </c>
      <c r="T4366" s="29">
        <v>10.88</v>
      </c>
    </row>
    <row r="4367" spans="19:20" x14ac:dyDescent="0.25">
      <c r="S4367" s="78">
        <v>31754</v>
      </c>
      <c r="T4367" s="29">
        <v>10.88</v>
      </c>
    </row>
    <row r="4368" spans="19:20" x14ac:dyDescent="0.25">
      <c r="S4368" s="78">
        <v>31755</v>
      </c>
      <c r="T4368" s="29">
        <v>10.88</v>
      </c>
    </row>
    <row r="4369" spans="19:20" x14ac:dyDescent="0.25">
      <c r="S4369" s="78">
        <v>31756</v>
      </c>
      <c r="T4369" s="29">
        <v>10.88</v>
      </c>
    </row>
    <row r="4370" spans="19:20" x14ac:dyDescent="0.25">
      <c r="S4370" s="78">
        <v>31757</v>
      </c>
      <c r="T4370" s="29">
        <v>10.88</v>
      </c>
    </row>
    <row r="4371" spans="19:20" x14ac:dyDescent="0.25">
      <c r="S4371" s="78">
        <v>31758</v>
      </c>
      <c r="T4371" s="29">
        <v>10.88</v>
      </c>
    </row>
    <row r="4372" spans="19:20" x14ac:dyDescent="0.25">
      <c r="S4372" s="78">
        <v>31759</v>
      </c>
      <c r="T4372" s="29">
        <v>10.88</v>
      </c>
    </row>
    <row r="4373" spans="19:20" x14ac:dyDescent="0.25">
      <c r="S4373" s="78">
        <v>31760</v>
      </c>
      <c r="T4373" s="29">
        <v>10.88</v>
      </c>
    </row>
    <row r="4374" spans="19:20" x14ac:dyDescent="0.25">
      <c r="S4374" s="78">
        <v>31761</v>
      </c>
      <c r="T4374" s="29">
        <v>10.88</v>
      </c>
    </row>
    <row r="4375" spans="19:20" x14ac:dyDescent="0.25">
      <c r="S4375" s="78">
        <v>31762</v>
      </c>
      <c r="T4375" s="29">
        <v>10.88</v>
      </c>
    </row>
    <row r="4376" spans="19:20" x14ac:dyDescent="0.25">
      <c r="S4376" s="78">
        <v>31763</v>
      </c>
      <c r="T4376" s="29">
        <v>10.88</v>
      </c>
    </row>
    <row r="4377" spans="19:20" x14ac:dyDescent="0.25">
      <c r="S4377" s="78">
        <v>31764</v>
      </c>
      <c r="T4377" s="29">
        <v>10.88</v>
      </c>
    </row>
    <row r="4378" spans="19:20" x14ac:dyDescent="0.25">
      <c r="S4378" s="78">
        <v>31765</v>
      </c>
      <c r="T4378" s="29">
        <v>10.88</v>
      </c>
    </row>
    <row r="4379" spans="19:20" x14ac:dyDescent="0.25">
      <c r="S4379" s="78">
        <v>31766</v>
      </c>
      <c r="T4379" s="29">
        <v>10.88</v>
      </c>
    </row>
    <row r="4380" spans="19:20" x14ac:dyDescent="0.25">
      <c r="S4380" s="78">
        <v>31767</v>
      </c>
      <c r="T4380" s="29">
        <v>10.88</v>
      </c>
    </row>
    <row r="4381" spans="19:20" x14ac:dyDescent="0.25">
      <c r="S4381" s="78">
        <v>31768</v>
      </c>
      <c r="T4381" s="29">
        <v>10.88</v>
      </c>
    </row>
    <row r="4382" spans="19:20" x14ac:dyDescent="0.25">
      <c r="S4382" s="78">
        <v>31769</v>
      </c>
      <c r="T4382" s="29">
        <v>10.88</v>
      </c>
    </row>
    <row r="4383" spans="19:20" x14ac:dyDescent="0.25">
      <c r="S4383" s="78">
        <v>31770</v>
      </c>
      <c r="T4383" s="29">
        <v>10.88</v>
      </c>
    </row>
    <row r="4384" spans="19:20" x14ac:dyDescent="0.25">
      <c r="S4384" s="78">
        <v>31771</v>
      </c>
      <c r="T4384" s="29">
        <v>10.88</v>
      </c>
    </row>
    <row r="4385" spans="19:21" x14ac:dyDescent="0.25">
      <c r="S4385" s="78">
        <v>31772</v>
      </c>
      <c r="T4385" s="29">
        <v>10.88</v>
      </c>
    </row>
    <row r="4386" spans="19:21" x14ac:dyDescent="0.25">
      <c r="S4386" s="78">
        <v>31773</v>
      </c>
      <c r="T4386" s="29">
        <v>10.88</v>
      </c>
    </row>
    <row r="4387" spans="19:21" x14ac:dyDescent="0.25">
      <c r="S4387" s="78">
        <v>31774</v>
      </c>
      <c r="T4387" s="29">
        <v>10.88</v>
      </c>
    </row>
    <row r="4388" spans="19:21" x14ac:dyDescent="0.25">
      <c r="S4388" s="78">
        <v>31775</v>
      </c>
      <c r="T4388" s="29">
        <v>10.88</v>
      </c>
    </row>
    <row r="4389" spans="19:21" x14ac:dyDescent="0.25">
      <c r="S4389" s="78">
        <v>31776</v>
      </c>
      <c r="T4389" s="29">
        <v>10.88</v>
      </c>
    </row>
    <row r="4390" spans="19:21" x14ac:dyDescent="0.25">
      <c r="S4390" s="78">
        <v>31777</v>
      </c>
      <c r="T4390" s="29">
        <v>10.88</v>
      </c>
      <c r="U4390" s="40">
        <f>AVERAGE(T4299:T4390)</f>
        <v>10.727826086956519</v>
      </c>
    </row>
    <row r="4391" spans="19:21" x14ac:dyDescent="0.25">
      <c r="S4391" s="78">
        <v>31778</v>
      </c>
      <c r="T4391" s="29">
        <v>10.88</v>
      </c>
    </row>
    <row r="4392" spans="19:21" x14ac:dyDescent="0.25">
      <c r="S4392" s="78">
        <v>31779</v>
      </c>
      <c r="T4392" s="29">
        <v>10.88</v>
      </c>
    </row>
    <row r="4393" spans="19:21" x14ac:dyDescent="0.25">
      <c r="S4393" s="78">
        <v>31780</v>
      </c>
      <c r="T4393" s="29">
        <v>10.88</v>
      </c>
    </row>
    <row r="4394" spans="19:21" x14ac:dyDescent="0.25">
      <c r="S4394" s="78">
        <v>31781</v>
      </c>
      <c r="T4394" s="29">
        <v>10.88</v>
      </c>
    </row>
    <row r="4395" spans="19:21" x14ac:dyDescent="0.25">
      <c r="S4395" s="78">
        <v>31782</v>
      </c>
      <c r="T4395" s="29">
        <v>10.88</v>
      </c>
    </row>
    <row r="4396" spans="19:21" x14ac:dyDescent="0.25">
      <c r="S4396" s="78">
        <v>31783</v>
      </c>
      <c r="T4396" s="29">
        <v>10.88</v>
      </c>
    </row>
    <row r="4397" spans="19:21" x14ac:dyDescent="0.25">
      <c r="S4397" s="78">
        <v>31784</v>
      </c>
      <c r="T4397" s="29">
        <v>10.88</v>
      </c>
    </row>
    <row r="4398" spans="19:21" x14ac:dyDescent="0.25">
      <c r="S4398" s="78">
        <v>31785</v>
      </c>
      <c r="T4398" s="29">
        <v>10.88</v>
      </c>
    </row>
    <row r="4399" spans="19:21" x14ac:dyDescent="0.25">
      <c r="S4399" s="78">
        <v>31786</v>
      </c>
      <c r="T4399" s="29">
        <v>10.88</v>
      </c>
    </row>
    <row r="4400" spans="19:21" x14ac:dyDescent="0.25">
      <c r="S4400" s="78">
        <v>31787</v>
      </c>
      <c r="T4400" s="29">
        <v>10.88</v>
      </c>
    </row>
    <row r="4401" spans="19:20" x14ac:dyDescent="0.25">
      <c r="S4401" s="78">
        <v>31788</v>
      </c>
      <c r="T4401" s="29">
        <v>10.88</v>
      </c>
    </row>
    <row r="4402" spans="19:20" x14ac:dyDescent="0.25">
      <c r="S4402" s="78">
        <v>31789</v>
      </c>
      <c r="T4402" s="29">
        <v>10.88</v>
      </c>
    </row>
    <row r="4403" spans="19:20" x14ac:dyDescent="0.25">
      <c r="S4403" s="78">
        <v>31790</v>
      </c>
      <c r="T4403" s="29">
        <v>10.88</v>
      </c>
    </row>
    <row r="4404" spans="19:20" x14ac:dyDescent="0.25">
      <c r="S4404" s="78">
        <v>31791</v>
      </c>
      <c r="T4404" s="29">
        <v>10.88</v>
      </c>
    </row>
    <row r="4405" spans="19:20" x14ac:dyDescent="0.25">
      <c r="S4405" s="78">
        <v>31792</v>
      </c>
      <c r="T4405" s="29">
        <v>10.88</v>
      </c>
    </row>
    <row r="4406" spans="19:20" x14ac:dyDescent="0.25">
      <c r="S4406" s="78">
        <v>31793</v>
      </c>
      <c r="T4406" s="29">
        <v>10.88</v>
      </c>
    </row>
    <row r="4407" spans="19:20" x14ac:dyDescent="0.25">
      <c r="S4407" s="78">
        <v>31794</v>
      </c>
      <c r="T4407" s="29">
        <v>10.88</v>
      </c>
    </row>
    <row r="4408" spans="19:20" x14ac:dyDescent="0.25">
      <c r="S4408" s="78">
        <v>31795</v>
      </c>
      <c r="T4408" s="29">
        <v>10.88</v>
      </c>
    </row>
    <row r="4409" spans="19:20" x14ac:dyDescent="0.25">
      <c r="S4409" s="78">
        <v>31796</v>
      </c>
      <c r="T4409" s="29">
        <v>10.88</v>
      </c>
    </row>
    <row r="4410" spans="19:20" x14ac:dyDescent="0.25">
      <c r="S4410" s="78">
        <v>31797</v>
      </c>
      <c r="T4410" s="29">
        <v>10.88</v>
      </c>
    </row>
    <row r="4411" spans="19:20" x14ac:dyDescent="0.25">
      <c r="S4411" s="78">
        <v>31798</v>
      </c>
      <c r="T4411" s="29">
        <v>10.88</v>
      </c>
    </row>
    <row r="4412" spans="19:20" x14ac:dyDescent="0.25">
      <c r="S4412" s="78">
        <v>31799</v>
      </c>
      <c r="T4412" s="29">
        <v>10.88</v>
      </c>
    </row>
    <row r="4413" spans="19:20" x14ac:dyDescent="0.25">
      <c r="S4413" s="78">
        <v>31800</v>
      </c>
      <c r="T4413" s="29">
        <v>10.88</v>
      </c>
    </row>
    <row r="4414" spans="19:20" x14ac:dyDescent="0.25">
      <c r="S4414" s="78">
        <v>31801</v>
      </c>
      <c r="T4414" s="29">
        <v>10.88</v>
      </c>
    </row>
    <row r="4415" spans="19:20" x14ac:dyDescent="0.25">
      <c r="S4415" s="78">
        <v>31802</v>
      </c>
      <c r="T4415" s="29">
        <v>10.88</v>
      </c>
    </row>
    <row r="4416" spans="19:20" x14ac:dyDescent="0.25">
      <c r="S4416" s="78">
        <v>31803</v>
      </c>
      <c r="T4416" s="29">
        <v>10.88</v>
      </c>
    </row>
    <row r="4417" spans="19:20" x14ac:dyDescent="0.25">
      <c r="S4417" s="78">
        <v>31804</v>
      </c>
      <c r="T4417" s="29">
        <v>10.88</v>
      </c>
    </row>
    <row r="4418" spans="19:20" x14ac:dyDescent="0.25">
      <c r="S4418" s="78">
        <v>31805</v>
      </c>
      <c r="T4418" s="29">
        <v>10.88</v>
      </c>
    </row>
    <row r="4419" spans="19:20" x14ac:dyDescent="0.25">
      <c r="S4419" s="78">
        <v>31806</v>
      </c>
      <c r="T4419" s="29">
        <v>10.88</v>
      </c>
    </row>
    <row r="4420" spans="19:20" x14ac:dyDescent="0.25">
      <c r="S4420" s="78">
        <v>31807</v>
      </c>
      <c r="T4420" s="29">
        <v>10.88</v>
      </c>
    </row>
    <row r="4421" spans="19:20" x14ac:dyDescent="0.25">
      <c r="S4421" s="78">
        <v>31808</v>
      </c>
      <c r="T4421" s="29">
        <v>10.88</v>
      </c>
    </row>
    <row r="4422" spans="19:20" x14ac:dyDescent="0.25">
      <c r="S4422" s="78">
        <v>31809</v>
      </c>
      <c r="T4422" s="29">
        <v>10.88</v>
      </c>
    </row>
    <row r="4423" spans="19:20" x14ac:dyDescent="0.25">
      <c r="S4423" s="78">
        <v>31810</v>
      </c>
      <c r="T4423" s="29">
        <v>10.88</v>
      </c>
    </row>
    <row r="4424" spans="19:20" x14ac:dyDescent="0.25">
      <c r="S4424" s="78">
        <v>31811</v>
      </c>
      <c r="T4424" s="29">
        <v>10.88</v>
      </c>
    </row>
    <row r="4425" spans="19:20" x14ac:dyDescent="0.25">
      <c r="S4425" s="78">
        <v>31812</v>
      </c>
      <c r="T4425" s="29">
        <v>10.88</v>
      </c>
    </row>
    <row r="4426" spans="19:20" x14ac:dyDescent="0.25">
      <c r="S4426" s="78">
        <v>31813</v>
      </c>
      <c r="T4426" s="29">
        <v>10.88</v>
      </c>
    </row>
    <row r="4427" spans="19:20" x14ac:dyDescent="0.25">
      <c r="S4427" s="78">
        <v>31814</v>
      </c>
      <c r="T4427" s="29">
        <v>10.88</v>
      </c>
    </row>
    <row r="4428" spans="19:20" x14ac:dyDescent="0.25">
      <c r="S4428" s="78">
        <v>31815</v>
      </c>
      <c r="T4428" s="29">
        <v>10.88</v>
      </c>
    </row>
    <row r="4429" spans="19:20" x14ac:dyDescent="0.25">
      <c r="S4429" s="78">
        <v>31816</v>
      </c>
      <c r="T4429" s="29">
        <v>10.88</v>
      </c>
    </row>
    <row r="4430" spans="19:20" x14ac:dyDescent="0.25">
      <c r="S4430" s="78">
        <v>31817</v>
      </c>
      <c r="T4430" s="29">
        <v>10.88</v>
      </c>
    </row>
    <row r="4431" spans="19:20" x14ac:dyDescent="0.25">
      <c r="S4431" s="78">
        <v>31818</v>
      </c>
      <c r="T4431" s="29">
        <v>10.88</v>
      </c>
    </row>
    <row r="4432" spans="19:20" x14ac:dyDescent="0.25">
      <c r="S4432" s="78">
        <v>31819</v>
      </c>
      <c r="T4432" s="29">
        <v>10.88</v>
      </c>
    </row>
    <row r="4433" spans="19:20" x14ac:dyDescent="0.25">
      <c r="S4433" s="78">
        <v>31820</v>
      </c>
      <c r="T4433" s="29">
        <v>10.88</v>
      </c>
    </row>
    <row r="4434" spans="19:20" x14ac:dyDescent="0.25">
      <c r="S4434" s="78">
        <v>31821</v>
      </c>
      <c r="T4434" s="29">
        <v>10.88</v>
      </c>
    </row>
    <row r="4435" spans="19:20" x14ac:dyDescent="0.25">
      <c r="S4435" s="78">
        <v>31822</v>
      </c>
      <c r="T4435" s="29">
        <v>10.88</v>
      </c>
    </row>
    <row r="4436" spans="19:20" x14ac:dyDescent="0.25">
      <c r="S4436" s="78">
        <v>31823</v>
      </c>
      <c r="T4436" s="29">
        <v>10.88</v>
      </c>
    </row>
    <row r="4437" spans="19:20" x14ac:dyDescent="0.25">
      <c r="S4437" s="78">
        <v>31824</v>
      </c>
      <c r="T4437" s="29">
        <v>10.88</v>
      </c>
    </row>
    <row r="4438" spans="19:20" x14ac:dyDescent="0.25">
      <c r="S4438" s="78">
        <v>31825</v>
      </c>
      <c r="T4438" s="29">
        <v>10.88</v>
      </c>
    </row>
    <row r="4439" spans="19:20" x14ac:dyDescent="0.25">
      <c r="S4439" s="78">
        <v>31826</v>
      </c>
      <c r="T4439" s="29">
        <v>10.88</v>
      </c>
    </row>
    <row r="4440" spans="19:20" x14ac:dyDescent="0.25">
      <c r="S4440" s="78">
        <v>31827</v>
      </c>
      <c r="T4440" s="29">
        <v>10.88</v>
      </c>
    </row>
    <row r="4441" spans="19:20" x14ac:dyDescent="0.25">
      <c r="S4441" s="78">
        <v>31828</v>
      </c>
      <c r="T4441" s="29">
        <v>10.88</v>
      </c>
    </row>
    <row r="4442" spans="19:20" x14ac:dyDescent="0.25">
      <c r="S4442" s="78">
        <v>31829</v>
      </c>
      <c r="T4442" s="29">
        <v>10.88</v>
      </c>
    </row>
    <row r="4443" spans="19:20" x14ac:dyDescent="0.25">
      <c r="S4443" s="78">
        <v>31830</v>
      </c>
      <c r="T4443" s="29">
        <v>10.88</v>
      </c>
    </row>
    <row r="4444" spans="19:20" x14ac:dyDescent="0.25">
      <c r="S4444" s="78">
        <v>31831</v>
      </c>
      <c r="T4444" s="29">
        <v>10.88</v>
      </c>
    </row>
    <row r="4445" spans="19:20" x14ac:dyDescent="0.25">
      <c r="S4445" s="78">
        <v>31832</v>
      </c>
      <c r="T4445" s="29">
        <v>10.88</v>
      </c>
    </row>
    <row r="4446" spans="19:20" x14ac:dyDescent="0.25">
      <c r="S4446" s="78">
        <v>31833</v>
      </c>
      <c r="T4446" s="29">
        <v>10.88</v>
      </c>
    </row>
    <row r="4447" spans="19:20" x14ac:dyDescent="0.25">
      <c r="S4447" s="78">
        <v>31834</v>
      </c>
      <c r="T4447" s="29">
        <v>10.88</v>
      </c>
    </row>
    <row r="4448" spans="19:20" x14ac:dyDescent="0.25">
      <c r="S4448" s="78">
        <v>31835</v>
      </c>
      <c r="T4448" s="29">
        <v>10.88</v>
      </c>
    </row>
    <row r="4449" spans="19:20" x14ac:dyDescent="0.25">
      <c r="S4449" s="78">
        <v>31836</v>
      </c>
      <c r="T4449" s="29">
        <v>10.88</v>
      </c>
    </row>
    <row r="4450" spans="19:20" x14ac:dyDescent="0.25">
      <c r="S4450" s="78">
        <v>31837</v>
      </c>
      <c r="T4450" s="29">
        <v>10.88</v>
      </c>
    </row>
    <row r="4451" spans="19:20" x14ac:dyDescent="0.25">
      <c r="S4451" s="78">
        <v>31838</v>
      </c>
      <c r="T4451" s="29">
        <v>10.88</v>
      </c>
    </row>
    <row r="4452" spans="19:20" x14ac:dyDescent="0.25">
      <c r="S4452" s="78">
        <v>31839</v>
      </c>
      <c r="T4452" s="29">
        <v>10.88</v>
      </c>
    </row>
    <row r="4453" spans="19:20" x14ac:dyDescent="0.25">
      <c r="S4453" s="78">
        <v>31840</v>
      </c>
      <c r="T4453" s="29">
        <v>10.88</v>
      </c>
    </row>
    <row r="4454" spans="19:20" x14ac:dyDescent="0.25">
      <c r="S4454" s="78">
        <v>31841</v>
      </c>
      <c r="T4454" s="29">
        <v>10.88</v>
      </c>
    </row>
    <row r="4455" spans="19:20" x14ac:dyDescent="0.25">
      <c r="S4455" s="78">
        <v>31842</v>
      </c>
      <c r="T4455" s="29">
        <v>10.88</v>
      </c>
    </row>
    <row r="4456" spans="19:20" x14ac:dyDescent="0.25">
      <c r="S4456" s="78">
        <v>31843</v>
      </c>
      <c r="T4456" s="29">
        <v>10.88</v>
      </c>
    </row>
    <row r="4457" spans="19:20" x14ac:dyDescent="0.25">
      <c r="S4457" s="78">
        <v>31844</v>
      </c>
      <c r="T4457" s="29">
        <v>10.88</v>
      </c>
    </row>
    <row r="4458" spans="19:20" x14ac:dyDescent="0.25">
      <c r="S4458" s="78">
        <v>31845</v>
      </c>
      <c r="T4458" s="29">
        <v>10.38</v>
      </c>
    </row>
    <row r="4459" spans="19:20" x14ac:dyDescent="0.25">
      <c r="S4459" s="78">
        <v>31846</v>
      </c>
      <c r="T4459" s="29">
        <v>10.38</v>
      </c>
    </row>
    <row r="4460" spans="19:20" x14ac:dyDescent="0.25">
      <c r="S4460" s="78">
        <v>31847</v>
      </c>
      <c r="T4460" s="29">
        <v>10.38</v>
      </c>
    </row>
    <row r="4461" spans="19:20" x14ac:dyDescent="0.25">
      <c r="S4461" s="78">
        <v>31848</v>
      </c>
      <c r="T4461" s="29">
        <v>10.38</v>
      </c>
    </row>
    <row r="4462" spans="19:20" x14ac:dyDescent="0.25">
      <c r="S4462" s="78">
        <v>31849</v>
      </c>
      <c r="T4462" s="29">
        <v>10.38</v>
      </c>
    </row>
    <row r="4463" spans="19:20" x14ac:dyDescent="0.25">
      <c r="S4463" s="78">
        <v>31850</v>
      </c>
      <c r="T4463" s="29">
        <v>10.38</v>
      </c>
    </row>
    <row r="4464" spans="19:20" x14ac:dyDescent="0.25">
      <c r="S4464" s="78">
        <v>31851</v>
      </c>
      <c r="T4464" s="29">
        <v>10.38</v>
      </c>
    </row>
    <row r="4465" spans="19:21" x14ac:dyDescent="0.25">
      <c r="S4465" s="78">
        <v>31852</v>
      </c>
      <c r="T4465" s="29">
        <v>10.38</v>
      </c>
    </row>
    <row r="4466" spans="19:21" x14ac:dyDescent="0.25">
      <c r="S4466" s="78">
        <v>31853</v>
      </c>
      <c r="T4466" s="29">
        <v>10.38</v>
      </c>
    </row>
    <row r="4467" spans="19:21" x14ac:dyDescent="0.25">
      <c r="S4467" s="78">
        <v>31854</v>
      </c>
      <c r="T4467" s="29">
        <v>9.8800000000000008</v>
      </c>
    </row>
    <row r="4468" spans="19:21" x14ac:dyDescent="0.25">
      <c r="S4468" s="78">
        <v>31855</v>
      </c>
      <c r="T4468" s="29">
        <v>9.8800000000000008</v>
      </c>
    </row>
    <row r="4469" spans="19:21" x14ac:dyDescent="0.25">
      <c r="S4469" s="78">
        <v>31856</v>
      </c>
      <c r="T4469" s="29">
        <v>9.8800000000000008</v>
      </c>
    </row>
    <row r="4470" spans="19:21" x14ac:dyDescent="0.25">
      <c r="S4470" s="78">
        <v>31857</v>
      </c>
      <c r="T4470" s="29">
        <v>9.8800000000000008</v>
      </c>
    </row>
    <row r="4471" spans="19:21" x14ac:dyDescent="0.25">
      <c r="S4471" s="78">
        <v>31858</v>
      </c>
      <c r="T4471" s="29">
        <v>9.8800000000000008</v>
      </c>
    </row>
    <row r="4472" spans="19:21" x14ac:dyDescent="0.25">
      <c r="S4472" s="78">
        <v>31859</v>
      </c>
      <c r="T4472" s="29">
        <v>9.8800000000000008</v>
      </c>
    </row>
    <row r="4473" spans="19:21" x14ac:dyDescent="0.25">
      <c r="S4473" s="78">
        <v>31860</v>
      </c>
      <c r="T4473" s="29">
        <v>9.8800000000000008</v>
      </c>
    </row>
    <row r="4474" spans="19:21" x14ac:dyDescent="0.25">
      <c r="S4474" s="78">
        <v>31861</v>
      </c>
      <c r="T4474" s="29">
        <v>9.8800000000000008</v>
      </c>
    </row>
    <row r="4475" spans="19:21" x14ac:dyDescent="0.25">
      <c r="S4475" s="78">
        <v>31862</v>
      </c>
      <c r="T4475" s="29">
        <v>9.8800000000000008</v>
      </c>
    </row>
    <row r="4476" spans="19:21" x14ac:dyDescent="0.25">
      <c r="S4476" s="78">
        <v>31863</v>
      </c>
      <c r="T4476" s="29">
        <v>9.8800000000000008</v>
      </c>
    </row>
    <row r="4477" spans="19:21" x14ac:dyDescent="0.25">
      <c r="S4477" s="78">
        <v>31864</v>
      </c>
      <c r="T4477" s="29">
        <v>9.8800000000000008</v>
      </c>
    </row>
    <row r="4478" spans="19:21" x14ac:dyDescent="0.25">
      <c r="S4478" s="78">
        <v>31865</v>
      </c>
      <c r="T4478" s="29">
        <v>9.8800000000000008</v>
      </c>
    </row>
    <row r="4479" spans="19:21" x14ac:dyDescent="0.25">
      <c r="S4479" s="78">
        <v>31866</v>
      </c>
      <c r="T4479" s="29">
        <v>9.8800000000000008</v>
      </c>
    </row>
    <row r="4480" spans="19:21" x14ac:dyDescent="0.25">
      <c r="S4480" s="78">
        <v>31867</v>
      </c>
      <c r="T4480" s="29">
        <v>9.8800000000000008</v>
      </c>
      <c r="U4480" s="39">
        <f>AVERAGE(T4391:T4480)</f>
        <v>10.674444444444442</v>
      </c>
    </row>
    <row r="4481" spans="19:20" x14ac:dyDescent="0.25">
      <c r="S4481" s="78">
        <v>31868</v>
      </c>
      <c r="T4481" s="29">
        <v>9.8800000000000008</v>
      </c>
    </row>
    <row r="4482" spans="19:20" x14ac:dyDescent="0.25">
      <c r="S4482" s="78">
        <v>31869</v>
      </c>
      <c r="T4482" s="29">
        <v>9.8800000000000008</v>
      </c>
    </row>
    <row r="4483" spans="19:20" x14ac:dyDescent="0.25">
      <c r="S4483" s="78">
        <v>31870</v>
      </c>
      <c r="T4483" s="29">
        <v>9.8800000000000008</v>
      </c>
    </row>
    <row r="4484" spans="19:20" x14ac:dyDescent="0.25">
      <c r="S4484" s="78">
        <v>31871</v>
      </c>
      <c r="T4484" s="29">
        <v>9.8800000000000008</v>
      </c>
    </row>
    <row r="4485" spans="19:20" x14ac:dyDescent="0.25">
      <c r="S4485" s="78">
        <v>31872</v>
      </c>
      <c r="T4485" s="29">
        <v>9.8800000000000008</v>
      </c>
    </row>
    <row r="4486" spans="19:20" x14ac:dyDescent="0.25">
      <c r="S4486" s="78">
        <v>31873</v>
      </c>
      <c r="T4486" s="29">
        <v>9.8800000000000008</v>
      </c>
    </row>
    <row r="4487" spans="19:20" x14ac:dyDescent="0.25">
      <c r="S4487" s="78">
        <v>31874</v>
      </c>
      <c r="T4487" s="29">
        <v>9.8800000000000008</v>
      </c>
    </row>
    <row r="4488" spans="19:20" x14ac:dyDescent="0.25">
      <c r="S4488" s="78">
        <v>31875</v>
      </c>
      <c r="T4488" s="29">
        <v>9.8800000000000008</v>
      </c>
    </row>
    <row r="4489" spans="19:20" x14ac:dyDescent="0.25">
      <c r="S4489" s="78">
        <v>31876</v>
      </c>
      <c r="T4489" s="29">
        <v>9.8800000000000008</v>
      </c>
    </row>
    <row r="4490" spans="19:20" x14ac:dyDescent="0.25">
      <c r="S4490" s="78">
        <v>31877</v>
      </c>
      <c r="T4490" s="29">
        <v>9.8800000000000008</v>
      </c>
    </row>
    <row r="4491" spans="19:20" x14ac:dyDescent="0.25">
      <c r="S4491" s="78">
        <v>31878</v>
      </c>
      <c r="T4491" s="29">
        <v>9.8800000000000008</v>
      </c>
    </row>
    <row r="4492" spans="19:20" x14ac:dyDescent="0.25">
      <c r="S4492" s="78">
        <v>31879</v>
      </c>
      <c r="T4492" s="29">
        <v>9.8800000000000008</v>
      </c>
    </row>
    <row r="4493" spans="19:20" x14ac:dyDescent="0.25">
      <c r="S4493" s="78">
        <v>31880</v>
      </c>
      <c r="T4493" s="29">
        <v>9.8800000000000008</v>
      </c>
    </row>
    <row r="4494" spans="19:20" x14ac:dyDescent="0.25">
      <c r="S4494" s="78">
        <v>31881</v>
      </c>
      <c r="T4494" s="29">
        <v>9.8800000000000008</v>
      </c>
    </row>
    <row r="4495" spans="19:20" x14ac:dyDescent="0.25">
      <c r="S4495" s="78">
        <v>31882</v>
      </c>
      <c r="T4495" s="29">
        <v>9.8800000000000008</v>
      </c>
    </row>
    <row r="4496" spans="19:20" x14ac:dyDescent="0.25">
      <c r="S4496" s="78">
        <v>31883</v>
      </c>
      <c r="T4496" s="29">
        <v>9.8800000000000008</v>
      </c>
    </row>
    <row r="4497" spans="19:20" x14ac:dyDescent="0.25">
      <c r="S4497" s="78">
        <v>31884</v>
      </c>
      <c r="T4497" s="29">
        <v>9.8800000000000008</v>
      </c>
    </row>
    <row r="4498" spans="19:20" x14ac:dyDescent="0.25">
      <c r="S4498" s="78">
        <v>31885</v>
      </c>
      <c r="T4498" s="29">
        <v>9.8800000000000008</v>
      </c>
    </row>
    <row r="4499" spans="19:20" x14ac:dyDescent="0.25">
      <c r="S4499" s="78">
        <v>31886</v>
      </c>
      <c r="T4499" s="29">
        <v>9.8800000000000008</v>
      </c>
    </row>
    <row r="4500" spans="19:20" x14ac:dyDescent="0.25">
      <c r="S4500" s="78">
        <v>31887</v>
      </c>
      <c r="T4500" s="29">
        <v>9.8800000000000008</v>
      </c>
    </row>
    <row r="4501" spans="19:20" x14ac:dyDescent="0.25">
      <c r="S4501" s="78">
        <v>31888</v>
      </c>
      <c r="T4501" s="29">
        <v>9.8800000000000008</v>
      </c>
    </row>
    <row r="4502" spans="19:20" x14ac:dyDescent="0.25">
      <c r="S4502" s="78">
        <v>31889</v>
      </c>
      <c r="T4502" s="29">
        <v>9.8800000000000008</v>
      </c>
    </row>
    <row r="4503" spans="19:20" x14ac:dyDescent="0.25">
      <c r="S4503" s="78">
        <v>31890</v>
      </c>
      <c r="T4503" s="29">
        <v>9.8800000000000008</v>
      </c>
    </row>
    <row r="4504" spans="19:20" x14ac:dyDescent="0.25">
      <c r="S4504" s="78">
        <v>31891</v>
      </c>
      <c r="T4504" s="29">
        <v>9.8800000000000008</v>
      </c>
    </row>
    <row r="4505" spans="19:20" x14ac:dyDescent="0.25">
      <c r="S4505" s="78">
        <v>31892</v>
      </c>
      <c r="T4505" s="29">
        <v>9.8800000000000008</v>
      </c>
    </row>
    <row r="4506" spans="19:20" x14ac:dyDescent="0.25">
      <c r="S4506" s="78">
        <v>31893</v>
      </c>
      <c r="T4506" s="29">
        <v>9.8800000000000008</v>
      </c>
    </row>
    <row r="4507" spans="19:20" x14ac:dyDescent="0.25">
      <c r="S4507" s="78">
        <v>31894</v>
      </c>
      <c r="T4507" s="29">
        <v>9.8800000000000008</v>
      </c>
    </row>
    <row r="4508" spans="19:20" x14ac:dyDescent="0.25">
      <c r="S4508" s="78">
        <v>31895</v>
      </c>
      <c r="T4508" s="29">
        <v>9.3800000000000008</v>
      </c>
    </row>
    <row r="4509" spans="19:20" x14ac:dyDescent="0.25">
      <c r="S4509" s="78">
        <v>31896</v>
      </c>
      <c r="T4509" s="29">
        <v>9.3800000000000008</v>
      </c>
    </row>
    <row r="4510" spans="19:20" x14ac:dyDescent="0.25">
      <c r="S4510" s="78">
        <v>31897</v>
      </c>
      <c r="T4510" s="29">
        <v>9.3800000000000008</v>
      </c>
    </row>
    <row r="4511" spans="19:20" x14ac:dyDescent="0.25">
      <c r="S4511" s="78">
        <v>31898</v>
      </c>
      <c r="T4511" s="29">
        <v>9.3800000000000008</v>
      </c>
    </row>
    <row r="4512" spans="19:20" x14ac:dyDescent="0.25">
      <c r="S4512" s="78">
        <v>31899</v>
      </c>
      <c r="T4512" s="29">
        <v>9.3800000000000008</v>
      </c>
    </row>
    <row r="4513" spans="19:20" x14ac:dyDescent="0.25">
      <c r="S4513" s="78">
        <v>31900</v>
      </c>
      <c r="T4513" s="29">
        <v>9.3800000000000008</v>
      </c>
    </row>
    <row r="4514" spans="19:20" x14ac:dyDescent="0.25">
      <c r="S4514" s="78">
        <v>31901</v>
      </c>
      <c r="T4514" s="29">
        <v>9.3800000000000008</v>
      </c>
    </row>
    <row r="4515" spans="19:20" x14ac:dyDescent="0.25">
      <c r="S4515" s="78">
        <v>31902</v>
      </c>
      <c r="T4515" s="29">
        <v>9.3800000000000008</v>
      </c>
    </row>
    <row r="4516" spans="19:20" x14ac:dyDescent="0.25">
      <c r="S4516" s="78">
        <v>31903</v>
      </c>
      <c r="T4516" s="29">
        <v>9.3800000000000008</v>
      </c>
    </row>
    <row r="4517" spans="19:20" x14ac:dyDescent="0.25">
      <c r="S4517" s="78">
        <v>31904</v>
      </c>
      <c r="T4517" s="29">
        <v>9.3800000000000008</v>
      </c>
    </row>
    <row r="4518" spans="19:20" x14ac:dyDescent="0.25">
      <c r="S4518" s="78">
        <v>31905</v>
      </c>
      <c r="T4518" s="29">
        <v>8.8800000000000008</v>
      </c>
    </row>
    <row r="4519" spans="19:20" x14ac:dyDescent="0.25">
      <c r="S4519" s="78">
        <v>31906</v>
      </c>
      <c r="T4519" s="29">
        <v>8.8800000000000008</v>
      </c>
    </row>
    <row r="4520" spans="19:20" x14ac:dyDescent="0.25">
      <c r="S4520" s="78">
        <v>31907</v>
      </c>
      <c r="T4520" s="29">
        <v>8.8800000000000008</v>
      </c>
    </row>
    <row r="4521" spans="19:20" x14ac:dyDescent="0.25">
      <c r="S4521" s="78">
        <v>31908</v>
      </c>
      <c r="T4521" s="29">
        <v>8.8800000000000008</v>
      </c>
    </row>
    <row r="4522" spans="19:20" x14ac:dyDescent="0.25">
      <c r="S4522" s="78">
        <v>31909</v>
      </c>
      <c r="T4522" s="29">
        <v>8.8800000000000008</v>
      </c>
    </row>
    <row r="4523" spans="19:20" x14ac:dyDescent="0.25">
      <c r="S4523" s="78">
        <v>31910</v>
      </c>
      <c r="T4523" s="29">
        <v>8.8800000000000008</v>
      </c>
    </row>
    <row r="4524" spans="19:20" x14ac:dyDescent="0.25">
      <c r="S4524" s="78">
        <v>31911</v>
      </c>
      <c r="T4524" s="29">
        <v>8.8800000000000008</v>
      </c>
    </row>
    <row r="4525" spans="19:20" x14ac:dyDescent="0.25">
      <c r="S4525" s="78">
        <v>31912</v>
      </c>
      <c r="T4525" s="29">
        <v>8.8800000000000008</v>
      </c>
    </row>
    <row r="4526" spans="19:20" x14ac:dyDescent="0.25">
      <c r="S4526" s="78">
        <v>31913</v>
      </c>
      <c r="T4526" s="29">
        <v>8.8800000000000008</v>
      </c>
    </row>
    <row r="4527" spans="19:20" x14ac:dyDescent="0.25">
      <c r="S4527" s="78">
        <v>31914</v>
      </c>
      <c r="T4527" s="29">
        <v>8.8800000000000008</v>
      </c>
    </row>
    <row r="4528" spans="19:20" x14ac:dyDescent="0.25">
      <c r="S4528" s="78">
        <v>31915</v>
      </c>
      <c r="T4528" s="29">
        <v>8.8800000000000008</v>
      </c>
    </row>
    <row r="4529" spans="19:20" x14ac:dyDescent="0.25">
      <c r="S4529" s="78">
        <v>31916</v>
      </c>
      <c r="T4529" s="29">
        <v>8.8800000000000008</v>
      </c>
    </row>
    <row r="4530" spans="19:20" x14ac:dyDescent="0.25">
      <c r="S4530" s="78">
        <v>31917</v>
      </c>
      <c r="T4530" s="29">
        <v>8.8800000000000008</v>
      </c>
    </row>
    <row r="4531" spans="19:20" x14ac:dyDescent="0.25">
      <c r="S4531" s="78">
        <v>31918</v>
      </c>
      <c r="T4531" s="29">
        <v>8.8800000000000008</v>
      </c>
    </row>
    <row r="4532" spans="19:20" x14ac:dyDescent="0.25">
      <c r="S4532" s="78">
        <v>31919</v>
      </c>
      <c r="T4532" s="29">
        <v>8.8800000000000008</v>
      </c>
    </row>
    <row r="4533" spans="19:20" x14ac:dyDescent="0.25">
      <c r="S4533" s="78">
        <v>31920</v>
      </c>
      <c r="T4533" s="29">
        <v>8.8800000000000008</v>
      </c>
    </row>
    <row r="4534" spans="19:20" x14ac:dyDescent="0.25">
      <c r="S4534" s="78">
        <v>31921</v>
      </c>
      <c r="T4534" s="29">
        <v>8.8800000000000008</v>
      </c>
    </row>
    <row r="4535" spans="19:20" x14ac:dyDescent="0.25">
      <c r="S4535" s="78">
        <v>31922</v>
      </c>
      <c r="T4535" s="29">
        <v>8.8800000000000008</v>
      </c>
    </row>
    <row r="4536" spans="19:20" x14ac:dyDescent="0.25">
      <c r="S4536" s="78">
        <v>31923</v>
      </c>
      <c r="T4536" s="29">
        <v>8.8800000000000008</v>
      </c>
    </row>
    <row r="4537" spans="19:20" x14ac:dyDescent="0.25">
      <c r="S4537" s="78">
        <v>31924</v>
      </c>
      <c r="T4537" s="29">
        <v>8.8800000000000008</v>
      </c>
    </row>
    <row r="4538" spans="19:20" x14ac:dyDescent="0.25">
      <c r="S4538" s="78">
        <v>31925</v>
      </c>
      <c r="T4538" s="29">
        <v>8.8800000000000008</v>
      </c>
    </row>
    <row r="4539" spans="19:20" x14ac:dyDescent="0.25">
      <c r="S4539" s="78">
        <v>31926</v>
      </c>
      <c r="T4539" s="29">
        <v>8.8800000000000008</v>
      </c>
    </row>
    <row r="4540" spans="19:20" x14ac:dyDescent="0.25">
      <c r="S4540" s="78">
        <v>31927</v>
      </c>
      <c r="T4540" s="29">
        <v>8.8800000000000008</v>
      </c>
    </row>
    <row r="4541" spans="19:20" x14ac:dyDescent="0.25">
      <c r="S4541" s="78">
        <v>31928</v>
      </c>
      <c r="T4541" s="29">
        <v>8.8800000000000008</v>
      </c>
    </row>
    <row r="4542" spans="19:20" x14ac:dyDescent="0.25">
      <c r="S4542" s="78">
        <v>31929</v>
      </c>
      <c r="T4542" s="29">
        <v>8.8800000000000008</v>
      </c>
    </row>
    <row r="4543" spans="19:20" x14ac:dyDescent="0.25">
      <c r="S4543" s="78">
        <v>31930</v>
      </c>
      <c r="T4543" s="29">
        <v>8.8800000000000008</v>
      </c>
    </row>
    <row r="4544" spans="19:20" x14ac:dyDescent="0.25">
      <c r="S4544" s="78">
        <v>31931</v>
      </c>
      <c r="T4544" s="29">
        <v>8.8800000000000008</v>
      </c>
    </row>
    <row r="4545" spans="19:20" x14ac:dyDescent="0.25">
      <c r="S4545" s="78">
        <v>31932</v>
      </c>
      <c r="T4545" s="29">
        <v>8.8800000000000008</v>
      </c>
    </row>
    <row r="4546" spans="19:20" x14ac:dyDescent="0.25">
      <c r="S4546" s="78">
        <v>31933</v>
      </c>
      <c r="T4546" s="29">
        <v>8.8800000000000008</v>
      </c>
    </row>
    <row r="4547" spans="19:20" x14ac:dyDescent="0.25">
      <c r="S4547" s="78">
        <v>31934</v>
      </c>
      <c r="T4547" s="29">
        <v>8.8800000000000008</v>
      </c>
    </row>
    <row r="4548" spans="19:20" x14ac:dyDescent="0.25">
      <c r="S4548" s="78">
        <v>31935</v>
      </c>
      <c r="T4548" s="29">
        <v>8.8800000000000008</v>
      </c>
    </row>
    <row r="4549" spans="19:20" x14ac:dyDescent="0.25">
      <c r="S4549" s="78">
        <v>31936</v>
      </c>
      <c r="T4549" s="29">
        <v>8.8800000000000008</v>
      </c>
    </row>
    <row r="4550" spans="19:20" x14ac:dyDescent="0.25">
      <c r="S4550" s="78">
        <v>31937</v>
      </c>
      <c r="T4550" s="29">
        <v>8.8800000000000008</v>
      </c>
    </row>
    <row r="4551" spans="19:20" x14ac:dyDescent="0.25">
      <c r="S4551" s="78">
        <v>31938</v>
      </c>
      <c r="T4551" s="29">
        <v>8.8800000000000008</v>
      </c>
    </row>
    <row r="4552" spans="19:20" x14ac:dyDescent="0.25">
      <c r="S4552" s="78">
        <v>31939</v>
      </c>
      <c r="T4552" s="29">
        <v>8.8800000000000008</v>
      </c>
    </row>
    <row r="4553" spans="19:20" x14ac:dyDescent="0.25">
      <c r="S4553" s="78">
        <v>31940</v>
      </c>
      <c r="T4553" s="29">
        <v>8.8800000000000008</v>
      </c>
    </row>
    <row r="4554" spans="19:20" x14ac:dyDescent="0.25">
      <c r="S4554" s="78">
        <v>31941</v>
      </c>
      <c r="T4554" s="29">
        <v>8.8800000000000008</v>
      </c>
    </row>
    <row r="4555" spans="19:20" x14ac:dyDescent="0.25">
      <c r="S4555" s="78">
        <v>31942</v>
      </c>
      <c r="T4555" s="29">
        <v>8.8800000000000008</v>
      </c>
    </row>
    <row r="4556" spans="19:20" x14ac:dyDescent="0.25">
      <c r="S4556" s="78">
        <v>31943</v>
      </c>
      <c r="T4556" s="29">
        <v>8.8800000000000008</v>
      </c>
    </row>
    <row r="4557" spans="19:20" x14ac:dyDescent="0.25">
      <c r="S4557" s="78">
        <v>31944</v>
      </c>
      <c r="T4557" s="29">
        <v>8.8800000000000008</v>
      </c>
    </row>
    <row r="4558" spans="19:20" x14ac:dyDescent="0.25">
      <c r="S4558" s="78">
        <v>31945</v>
      </c>
      <c r="T4558" s="29">
        <v>8.8800000000000008</v>
      </c>
    </row>
    <row r="4559" spans="19:20" x14ac:dyDescent="0.25">
      <c r="S4559" s="78">
        <v>31946</v>
      </c>
      <c r="T4559" s="29">
        <v>8.8800000000000008</v>
      </c>
    </row>
    <row r="4560" spans="19:20" x14ac:dyDescent="0.25">
      <c r="S4560" s="78">
        <v>31947</v>
      </c>
      <c r="T4560" s="29">
        <v>8.8800000000000008</v>
      </c>
    </row>
    <row r="4561" spans="19:21" x14ac:dyDescent="0.25">
      <c r="S4561" s="78">
        <v>31948</v>
      </c>
      <c r="T4561" s="29">
        <v>8.8800000000000008</v>
      </c>
    </row>
    <row r="4562" spans="19:21" x14ac:dyDescent="0.25">
      <c r="S4562" s="78">
        <v>31949</v>
      </c>
      <c r="T4562" s="29">
        <v>8.8800000000000008</v>
      </c>
    </row>
    <row r="4563" spans="19:21" x14ac:dyDescent="0.25">
      <c r="S4563" s="78">
        <v>31950</v>
      </c>
      <c r="T4563" s="29">
        <v>8.8800000000000008</v>
      </c>
    </row>
    <row r="4564" spans="19:21" x14ac:dyDescent="0.25">
      <c r="S4564" s="78">
        <v>31951</v>
      </c>
      <c r="T4564" s="29">
        <v>8.8800000000000008</v>
      </c>
    </row>
    <row r="4565" spans="19:21" x14ac:dyDescent="0.25">
      <c r="S4565" s="78">
        <v>31952</v>
      </c>
      <c r="T4565" s="29">
        <v>8.8800000000000008</v>
      </c>
    </row>
    <row r="4566" spans="19:21" x14ac:dyDescent="0.25">
      <c r="S4566" s="78">
        <v>31953</v>
      </c>
      <c r="T4566" s="29">
        <v>8.8800000000000008</v>
      </c>
    </row>
    <row r="4567" spans="19:21" x14ac:dyDescent="0.25">
      <c r="S4567" s="78">
        <v>31954</v>
      </c>
      <c r="T4567" s="29">
        <v>8.8800000000000008</v>
      </c>
    </row>
    <row r="4568" spans="19:21" x14ac:dyDescent="0.25">
      <c r="S4568" s="78">
        <v>31955</v>
      </c>
      <c r="T4568" s="29">
        <v>8.8800000000000008</v>
      </c>
    </row>
    <row r="4569" spans="19:21" x14ac:dyDescent="0.25">
      <c r="S4569" s="78">
        <v>31956</v>
      </c>
      <c r="T4569" s="29">
        <v>8.8800000000000008</v>
      </c>
    </row>
    <row r="4570" spans="19:21" x14ac:dyDescent="0.25">
      <c r="S4570" s="78">
        <v>31957</v>
      </c>
      <c r="T4570" s="29">
        <v>8.8800000000000008</v>
      </c>
    </row>
    <row r="4571" spans="19:21" x14ac:dyDescent="0.25">
      <c r="S4571" s="78">
        <v>31958</v>
      </c>
      <c r="T4571" s="29">
        <v>8.8800000000000008</v>
      </c>
      <c r="U4571" s="40">
        <f>AVERAGE(T4481:T4571)</f>
        <v>9.2316483516483476</v>
      </c>
    </row>
    <row r="4572" spans="19:21" x14ac:dyDescent="0.25">
      <c r="S4572" s="78">
        <v>31959</v>
      </c>
      <c r="T4572" s="29">
        <v>8.8800000000000008</v>
      </c>
    </row>
    <row r="4573" spans="19:21" x14ac:dyDescent="0.25">
      <c r="S4573" s="78">
        <v>31960</v>
      </c>
      <c r="T4573" s="29">
        <v>8.8800000000000008</v>
      </c>
    </row>
    <row r="4574" spans="19:21" x14ac:dyDescent="0.25">
      <c r="S4574" s="78">
        <v>31961</v>
      </c>
      <c r="T4574" s="29">
        <v>8.8800000000000008</v>
      </c>
    </row>
    <row r="4575" spans="19:21" x14ac:dyDescent="0.25">
      <c r="S4575" s="78">
        <v>31962</v>
      </c>
      <c r="T4575" s="29">
        <v>8.8800000000000008</v>
      </c>
    </row>
    <row r="4576" spans="19:21" x14ac:dyDescent="0.25">
      <c r="S4576" s="78">
        <v>31963</v>
      </c>
      <c r="T4576" s="29">
        <v>8.8800000000000008</v>
      </c>
    </row>
    <row r="4577" spans="19:20" x14ac:dyDescent="0.25">
      <c r="S4577" s="78">
        <v>31964</v>
      </c>
      <c r="T4577" s="29">
        <v>8.8800000000000008</v>
      </c>
    </row>
    <row r="4578" spans="19:20" x14ac:dyDescent="0.25">
      <c r="S4578" s="78">
        <v>31965</v>
      </c>
      <c r="T4578" s="29">
        <v>8.8800000000000008</v>
      </c>
    </row>
    <row r="4579" spans="19:20" x14ac:dyDescent="0.25">
      <c r="S4579" s="78">
        <v>31966</v>
      </c>
      <c r="T4579" s="29">
        <v>8.8800000000000008</v>
      </c>
    </row>
    <row r="4580" spans="19:20" x14ac:dyDescent="0.25">
      <c r="S4580" s="78">
        <v>31967</v>
      </c>
      <c r="T4580" s="29">
        <v>8.8800000000000008</v>
      </c>
    </row>
    <row r="4581" spans="19:20" x14ac:dyDescent="0.25">
      <c r="S4581" s="78">
        <v>31968</v>
      </c>
      <c r="T4581" s="29">
        <v>8.8800000000000008</v>
      </c>
    </row>
    <row r="4582" spans="19:20" x14ac:dyDescent="0.25">
      <c r="S4582" s="78">
        <v>31969</v>
      </c>
      <c r="T4582" s="29">
        <v>8.8800000000000008</v>
      </c>
    </row>
    <row r="4583" spans="19:20" x14ac:dyDescent="0.25">
      <c r="S4583" s="78">
        <v>31970</v>
      </c>
      <c r="T4583" s="29">
        <v>8.8800000000000008</v>
      </c>
    </row>
    <row r="4584" spans="19:20" x14ac:dyDescent="0.25">
      <c r="S4584" s="78">
        <v>31971</v>
      </c>
      <c r="T4584" s="29">
        <v>8.8800000000000008</v>
      </c>
    </row>
    <row r="4585" spans="19:20" x14ac:dyDescent="0.25">
      <c r="S4585" s="78">
        <v>31972</v>
      </c>
      <c r="T4585" s="29">
        <v>8.8800000000000008</v>
      </c>
    </row>
    <row r="4586" spans="19:20" x14ac:dyDescent="0.25">
      <c r="S4586" s="78">
        <v>31973</v>
      </c>
      <c r="T4586" s="29">
        <v>8.8800000000000008</v>
      </c>
    </row>
    <row r="4587" spans="19:20" x14ac:dyDescent="0.25">
      <c r="S4587" s="78">
        <v>31974</v>
      </c>
      <c r="T4587" s="29">
        <v>8.8800000000000008</v>
      </c>
    </row>
    <row r="4588" spans="19:20" x14ac:dyDescent="0.25">
      <c r="S4588" s="78">
        <v>31975</v>
      </c>
      <c r="T4588" s="29">
        <v>8.8800000000000008</v>
      </c>
    </row>
    <row r="4589" spans="19:20" x14ac:dyDescent="0.25">
      <c r="S4589" s="78">
        <v>31976</v>
      </c>
      <c r="T4589" s="29">
        <v>8.8800000000000008</v>
      </c>
    </row>
    <row r="4590" spans="19:20" x14ac:dyDescent="0.25">
      <c r="S4590" s="78">
        <v>31977</v>
      </c>
      <c r="T4590" s="29">
        <v>8.8800000000000008</v>
      </c>
    </row>
    <row r="4591" spans="19:20" x14ac:dyDescent="0.25">
      <c r="S4591" s="78">
        <v>31978</v>
      </c>
      <c r="T4591" s="29">
        <v>8.8800000000000008</v>
      </c>
    </row>
    <row r="4592" spans="19:20" x14ac:dyDescent="0.25">
      <c r="S4592" s="78">
        <v>31979</v>
      </c>
      <c r="T4592" s="29">
        <v>8.8800000000000008</v>
      </c>
    </row>
    <row r="4593" spans="19:20" x14ac:dyDescent="0.25">
      <c r="S4593" s="78">
        <v>31980</v>
      </c>
      <c r="T4593" s="29">
        <v>8.8800000000000008</v>
      </c>
    </row>
    <row r="4594" spans="19:20" x14ac:dyDescent="0.25">
      <c r="S4594" s="78">
        <v>31981</v>
      </c>
      <c r="T4594" s="29">
        <v>8.8800000000000008</v>
      </c>
    </row>
    <row r="4595" spans="19:20" x14ac:dyDescent="0.25">
      <c r="S4595" s="78">
        <v>31982</v>
      </c>
      <c r="T4595" s="29">
        <v>8.8800000000000008</v>
      </c>
    </row>
    <row r="4596" spans="19:20" x14ac:dyDescent="0.25">
      <c r="S4596" s="78">
        <v>31983</v>
      </c>
      <c r="T4596" s="29">
        <v>8.8800000000000008</v>
      </c>
    </row>
    <row r="4597" spans="19:20" x14ac:dyDescent="0.25">
      <c r="S4597" s="78">
        <v>31984</v>
      </c>
      <c r="T4597" s="29">
        <v>8.8800000000000008</v>
      </c>
    </row>
    <row r="4598" spans="19:20" x14ac:dyDescent="0.25">
      <c r="S4598" s="78">
        <v>31985</v>
      </c>
      <c r="T4598" s="29">
        <v>8.8800000000000008</v>
      </c>
    </row>
    <row r="4599" spans="19:20" x14ac:dyDescent="0.25">
      <c r="S4599" s="78">
        <v>31986</v>
      </c>
      <c r="T4599" s="29">
        <v>8.8800000000000008</v>
      </c>
    </row>
    <row r="4600" spans="19:20" x14ac:dyDescent="0.25">
      <c r="S4600" s="78">
        <v>31987</v>
      </c>
      <c r="T4600" s="29">
        <v>8.8800000000000008</v>
      </c>
    </row>
    <row r="4601" spans="19:20" x14ac:dyDescent="0.25">
      <c r="S4601" s="78">
        <v>31988</v>
      </c>
      <c r="T4601" s="29">
        <v>8.8800000000000008</v>
      </c>
    </row>
    <row r="4602" spans="19:20" x14ac:dyDescent="0.25">
      <c r="S4602" s="78">
        <v>31989</v>
      </c>
      <c r="T4602" s="29">
        <v>8.8800000000000008</v>
      </c>
    </row>
    <row r="4603" spans="19:20" x14ac:dyDescent="0.25">
      <c r="S4603" s="78">
        <v>31990</v>
      </c>
      <c r="T4603" s="29">
        <v>8.8800000000000008</v>
      </c>
    </row>
    <row r="4604" spans="19:20" x14ac:dyDescent="0.25">
      <c r="S4604" s="78">
        <v>31991</v>
      </c>
      <c r="T4604" s="29">
        <v>8.8800000000000008</v>
      </c>
    </row>
    <row r="4605" spans="19:20" x14ac:dyDescent="0.25">
      <c r="S4605" s="78">
        <v>31992</v>
      </c>
      <c r="T4605" s="29">
        <v>8.8800000000000008</v>
      </c>
    </row>
    <row r="4606" spans="19:20" x14ac:dyDescent="0.25">
      <c r="S4606" s="78">
        <v>31993</v>
      </c>
      <c r="T4606" s="29">
        <v>8.8800000000000008</v>
      </c>
    </row>
    <row r="4607" spans="19:20" x14ac:dyDescent="0.25">
      <c r="S4607" s="78">
        <v>31994</v>
      </c>
      <c r="T4607" s="29">
        <v>8.8800000000000008</v>
      </c>
    </row>
    <row r="4608" spans="19:20" x14ac:dyDescent="0.25">
      <c r="S4608" s="78">
        <v>31995</v>
      </c>
      <c r="T4608" s="29">
        <v>9.8800000000000008</v>
      </c>
    </row>
    <row r="4609" spans="19:20" x14ac:dyDescent="0.25">
      <c r="S4609" s="78">
        <v>31996</v>
      </c>
      <c r="T4609" s="29">
        <v>9.8800000000000008</v>
      </c>
    </row>
    <row r="4610" spans="19:20" x14ac:dyDescent="0.25">
      <c r="S4610" s="78">
        <v>31997</v>
      </c>
      <c r="T4610" s="29">
        <v>9.8800000000000008</v>
      </c>
    </row>
    <row r="4611" spans="19:20" x14ac:dyDescent="0.25">
      <c r="S4611" s="78">
        <v>31998</v>
      </c>
      <c r="T4611" s="29">
        <v>9.8800000000000008</v>
      </c>
    </row>
    <row r="4612" spans="19:20" x14ac:dyDescent="0.25">
      <c r="S4612" s="78">
        <v>31999</v>
      </c>
      <c r="T4612" s="29">
        <v>9.8800000000000008</v>
      </c>
    </row>
    <row r="4613" spans="19:20" x14ac:dyDescent="0.25">
      <c r="S4613" s="78">
        <v>32000</v>
      </c>
      <c r="T4613" s="29">
        <v>9.8800000000000008</v>
      </c>
    </row>
    <row r="4614" spans="19:20" x14ac:dyDescent="0.25">
      <c r="S4614" s="78">
        <v>32001</v>
      </c>
      <c r="T4614" s="29">
        <v>9.8800000000000008</v>
      </c>
    </row>
    <row r="4615" spans="19:20" x14ac:dyDescent="0.25">
      <c r="S4615" s="78">
        <v>32002</v>
      </c>
      <c r="T4615" s="29">
        <v>9.8800000000000008</v>
      </c>
    </row>
    <row r="4616" spans="19:20" x14ac:dyDescent="0.25">
      <c r="S4616" s="78">
        <v>32003</v>
      </c>
      <c r="T4616" s="29">
        <v>9.8800000000000008</v>
      </c>
    </row>
    <row r="4617" spans="19:20" x14ac:dyDescent="0.25">
      <c r="S4617" s="78">
        <v>32004</v>
      </c>
      <c r="T4617" s="29">
        <v>9.8800000000000008</v>
      </c>
    </row>
    <row r="4618" spans="19:20" x14ac:dyDescent="0.25">
      <c r="S4618" s="78">
        <v>32005</v>
      </c>
      <c r="T4618" s="29">
        <v>9.8800000000000008</v>
      </c>
    </row>
    <row r="4619" spans="19:20" x14ac:dyDescent="0.25">
      <c r="S4619" s="78">
        <v>32006</v>
      </c>
      <c r="T4619" s="29">
        <v>9.8800000000000008</v>
      </c>
    </row>
    <row r="4620" spans="19:20" x14ac:dyDescent="0.25">
      <c r="S4620" s="78">
        <v>32007</v>
      </c>
      <c r="T4620" s="29">
        <v>9.8800000000000008</v>
      </c>
    </row>
    <row r="4621" spans="19:20" x14ac:dyDescent="0.25">
      <c r="S4621" s="78">
        <v>32008</v>
      </c>
      <c r="T4621" s="29">
        <v>9.8800000000000008</v>
      </c>
    </row>
    <row r="4622" spans="19:20" x14ac:dyDescent="0.25">
      <c r="S4622" s="78">
        <v>32009</v>
      </c>
      <c r="T4622" s="29">
        <v>9.8800000000000008</v>
      </c>
    </row>
    <row r="4623" spans="19:20" x14ac:dyDescent="0.25">
      <c r="S4623" s="78">
        <v>32010</v>
      </c>
      <c r="T4623" s="29">
        <v>9.8800000000000008</v>
      </c>
    </row>
    <row r="4624" spans="19:20" x14ac:dyDescent="0.25">
      <c r="S4624" s="78">
        <v>32011</v>
      </c>
      <c r="T4624" s="29">
        <v>9.8800000000000008</v>
      </c>
    </row>
    <row r="4625" spans="19:20" x14ac:dyDescent="0.25">
      <c r="S4625" s="78">
        <v>32012</v>
      </c>
      <c r="T4625" s="29">
        <v>9.8800000000000008</v>
      </c>
    </row>
    <row r="4626" spans="19:20" x14ac:dyDescent="0.25">
      <c r="S4626" s="78">
        <v>32013</v>
      </c>
      <c r="T4626" s="29">
        <v>9.8800000000000008</v>
      </c>
    </row>
    <row r="4627" spans="19:20" x14ac:dyDescent="0.25">
      <c r="S4627" s="78">
        <v>32014</v>
      </c>
      <c r="T4627" s="29">
        <v>9.8800000000000008</v>
      </c>
    </row>
    <row r="4628" spans="19:20" x14ac:dyDescent="0.25">
      <c r="S4628" s="78">
        <v>32015</v>
      </c>
      <c r="T4628" s="29">
        <v>9.8800000000000008</v>
      </c>
    </row>
    <row r="4629" spans="19:20" x14ac:dyDescent="0.25">
      <c r="S4629" s="78">
        <v>32016</v>
      </c>
      <c r="T4629" s="29">
        <v>9.8800000000000008</v>
      </c>
    </row>
    <row r="4630" spans="19:20" x14ac:dyDescent="0.25">
      <c r="S4630" s="78">
        <v>32017</v>
      </c>
      <c r="T4630" s="29">
        <v>9.8800000000000008</v>
      </c>
    </row>
    <row r="4631" spans="19:20" x14ac:dyDescent="0.25">
      <c r="S4631" s="78">
        <v>32018</v>
      </c>
      <c r="T4631" s="29">
        <v>9.8800000000000008</v>
      </c>
    </row>
    <row r="4632" spans="19:20" x14ac:dyDescent="0.25">
      <c r="S4632" s="78">
        <v>32019</v>
      </c>
      <c r="T4632" s="29">
        <v>9.8800000000000008</v>
      </c>
    </row>
    <row r="4633" spans="19:20" x14ac:dyDescent="0.25">
      <c r="S4633" s="78">
        <v>32020</v>
      </c>
      <c r="T4633" s="29">
        <v>9.8800000000000008</v>
      </c>
    </row>
    <row r="4634" spans="19:20" x14ac:dyDescent="0.25">
      <c r="S4634" s="78">
        <v>32021</v>
      </c>
      <c r="T4634" s="29">
        <v>9.8800000000000008</v>
      </c>
    </row>
    <row r="4635" spans="19:20" x14ac:dyDescent="0.25">
      <c r="S4635" s="78">
        <v>32022</v>
      </c>
      <c r="T4635" s="29">
        <v>9.8800000000000008</v>
      </c>
    </row>
    <row r="4636" spans="19:20" x14ac:dyDescent="0.25">
      <c r="S4636" s="78">
        <v>32023</v>
      </c>
      <c r="T4636" s="29">
        <v>9.8800000000000008</v>
      </c>
    </row>
    <row r="4637" spans="19:20" x14ac:dyDescent="0.25">
      <c r="S4637" s="78">
        <v>32024</v>
      </c>
      <c r="T4637" s="29">
        <v>9.8800000000000008</v>
      </c>
    </row>
    <row r="4638" spans="19:20" x14ac:dyDescent="0.25">
      <c r="S4638" s="78">
        <v>32025</v>
      </c>
      <c r="T4638" s="29">
        <v>9.8800000000000008</v>
      </c>
    </row>
    <row r="4639" spans="19:20" x14ac:dyDescent="0.25">
      <c r="S4639" s="78">
        <v>32026</v>
      </c>
      <c r="T4639" s="29">
        <v>9.8800000000000008</v>
      </c>
    </row>
    <row r="4640" spans="19:20" x14ac:dyDescent="0.25">
      <c r="S4640" s="78">
        <v>32027</v>
      </c>
      <c r="T4640" s="29">
        <v>9.8800000000000008</v>
      </c>
    </row>
    <row r="4641" spans="19:20" x14ac:dyDescent="0.25">
      <c r="S4641" s="78">
        <v>32028</v>
      </c>
      <c r="T4641" s="29">
        <v>9.8800000000000008</v>
      </c>
    </row>
    <row r="4642" spans="19:20" x14ac:dyDescent="0.25">
      <c r="S4642" s="78">
        <v>32029</v>
      </c>
      <c r="T4642" s="29">
        <v>9.8800000000000008</v>
      </c>
    </row>
    <row r="4643" spans="19:20" x14ac:dyDescent="0.25">
      <c r="S4643" s="78">
        <v>32030</v>
      </c>
      <c r="T4643" s="29">
        <v>9.8800000000000008</v>
      </c>
    </row>
    <row r="4644" spans="19:20" x14ac:dyDescent="0.25">
      <c r="S4644" s="78">
        <v>32031</v>
      </c>
      <c r="T4644" s="29">
        <v>9.8800000000000008</v>
      </c>
    </row>
    <row r="4645" spans="19:20" x14ac:dyDescent="0.25">
      <c r="S4645" s="78">
        <v>32032</v>
      </c>
      <c r="T4645" s="29">
        <v>9.8800000000000008</v>
      </c>
    </row>
    <row r="4646" spans="19:20" x14ac:dyDescent="0.25">
      <c r="S4646" s="78">
        <v>32033</v>
      </c>
      <c r="T4646" s="29">
        <v>9.8800000000000008</v>
      </c>
    </row>
    <row r="4647" spans="19:20" x14ac:dyDescent="0.25">
      <c r="S4647" s="78">
        <v>32034</v>
      </c>
      <c r="T4647" s="29">
        <v>9.8800000000000008</v>
      </c>
    </row>
    <row r="4648" spans="19:20" x14ac:dyDescent="0.25">
      <c r="S4648" s="78">
        <v>32035</v>
      </c>
      <c r="T4648" s="29">
        <v>9.8800000000000008</v>
      </c>
    </row>
    <row r="4649" spans="19:20" x14ac:dyDescent="0.25">
      <c r="S4649" s="78">
        <v>32036</v>
      </c>
      <c r="T4649" s="29">
        <v>9.8800000000000008</v>
      </c>
    </row>
    <row r="4650" spans="19:20" x14ac:dyDescent="0.25">
      <c r="S4650" s="78">
        <v>32037</v>
      </c>
      <c r="T4650" s="29">
        <v>9.8800000000000008</v>
      </c>
    </row>
    <row r="4651" spans="19:20" x14ac:dyDescent="0.25">
      <c r="S4651" s="78">
        <v>32038</v>
      </c>
      <c r="T4651" s="29">
        <v>9.8800000000000008</v>
      </c>
    </row>
    <row r="4652" spans="19:20" x14ac:dyDescent="0.25">
      <c r="S4652" s="78">
        <v>32039</v>
      </c>
      <c r="T4652" s="29">
        <v>9.8800000000000008</v>
      </c>
    </row>
    <row r="4653" spans="19:20" x14ac:dyDescent="0.25">
      <c r="S4653" s="78">
        <v>32040</v>
      </c>
      <c r="T4653" s="29">
        <v>9.8800000000000008</v>
      </c>
    </row>
    <row r="4654" spans="19:20" x14ac:dyDescent="0.25">
      <c r="S4654" s="78">
        <v>32041</v>
      </c>
      <c r="T4654" s="29">
        <v>9.8800000000000008</v>
      </c>
    </row>
    <row r="4655" spans="19:20" x14ac:dyDescent="0.25">
      <c r="S4655" s="78">
        <v>32042</v>
      </c>
      <c r="T4655" s="29">
        <v>9.8800000000000008</v>
      </c>
    </row>
    <row r="4656" spans="19:20" x14ac:dyDescent="0.25">
      <c r="S4656" s="78">
        <v>32043</v>
      </c>
      <c r="T4656" s="29">
        <v>9.8800000000000008</v>
      </c>
    </row>
    <row r="4657" spans="19:21" x14ac:dyDescent="0.25">
      <c r="S4657" s="78">
        <v>32044</v>
      </c>
      <c r="T4657" s="29">
        <v>9.8800000000000008</v>
      </c>
    </row>
    <row r="4658" spans="19:21" x14ac:dyDescent="0.25">
      <c r="S4658" s="78">
        <v>32045</v>
      </c>
      <c r="T4658" s="29">
        <v>9.8800000000000008</v>
      </c>
    </row>
    <row r="4659" spans="19:21" x14ac:dyDescent="0.25">
      <c r="S4659" s="78">
        <v>32046</v>
      </c>
      <c r="T4659" s="29">
        <v>9.8800000000000008</v>
      </c>
    </row>
    <row r="4660" spans="19:21" x14ac:dyDescent="0.25">
      <c r="S4660" s="78">
        <v>32047</v>
      </c>
      <c r="T4660" s="29">
        <v>9.8800000000000008</v>
      </c>
    </row>
    <row r="4661" spans="19:21" x14ac:dyDescent="0.25">
      <c r="S4661" s="78">
        <v>32048</v>
      </c>
      <c r="T4661" s="29">
        <v>9.8800000000000008</v>
      </c>
    </row>
    <row r="4662" spans="19:21" x14ac:dyDescent="0.25">
      <c r="S4662" s="78">
        <v>32049</v>
      </c>
      <c r="T4662" s="29">
        <v>9.8800000000000008</v>
      </c>
    </row>
    <row r="4663" spans="19:21" x14ac:dyDescent="0.25">
      <c r="S4663" s="78">
        <v>32050</v>
      </c>
      <c r="T4663" s="29">
        <v>9.8800000000000008</v>
      </c>
      <c r="U4663" s="40">
        <f>AVERAGE(T4572:T4663)</f>
        <v>9.4886956521739094</v>
      </c>
    </row>
    <row r="4664" spans="19:21" x14ac:dyDescent="0.25">
      <c r="S4664" s="78">
        <v>32051</v>
      </c>
      <c r="T4664" s="29">
        <v>9.8800000000000008</v>
      </c>
    </row>
    <row r="4665" spans="19:21" x14ac:dyDescent="0.25">
      <c r="S4665" s="78">
        <v>32052</v>
      </c>
      <c r="T4665" s="29">
        <v>9.8800000000000008</v>
      </c>
    </row>
    <row r="4666" spans="19:21" x14ac:dyDescent="0.25">
      <c r="S4666" s="78">
        <v>32053</v>
      </c>
      <c r="T4666" s="29">
        <v>9.8800000000000008</v>
      </c>
    </row>
    <row r="4667" spans="19:21" x14ac:dyDescent="0.25">
      <c r="S4667" s="78">
        <v>32054</v>
      </c>
      <c r="T4667" s="29">
        <v>9.8800000000000008</v>
      </c>
    </row>
    <row r="4668" spans="19:21" x14ac:dyDescent="0.25">
      <c r="S4668" s="78">
        <v>32055</v>
      </c>
      <c r="T4668" s="29">
        <v>9.8800000000000008</v>
      </c>
    </row>
    <row r="4669" spans="19:21" x14ac:dyDescent="0.25">
      <c r="S4669" s="78">
        <v>32056</v>
      </c>
      <c r="T4669" s="29">
        <v>9.8800000000000008</v>
      </c>
    </row>
    <row r="4670" spans="19:21" x14ac:dyDescent="0.25">
      <c r="S4670" s="78">
        <v>32057</v>
      </c>
      <c r="T4670" s="29">
        <v>9.8800000000000008</v>
      </c>
    </row>
    <row r="4671" spans="19:21" x14ac:dyDescent="0.25">
      <c r="S4671" s="78">
        <v>32058</v>
      </c>
      <c r="T4671" s="29">
        <v>9.8800000000000008</v>
      </c>
    </row>
    <row r="4672" spans="19:21" x14ac:dyDescent="0.25">
      <c r="S4672" s="78">
        <v>32059</v>
      </c>
      <c r="T4672" s="29">
        <v>9.8800000000000008</v>
      </c>
    </row>
    <row r="4673" spans="19:20" x14ac:dyDescent="0.25">
      <c r="S4673" s="78">
        <v>32060</v>
      </c>
      <c r="T4673" s="29">
        <v>9.8800000000000008</v>
      </c>
    </row>
    <row r="4674" spans="19:20" x14ac:dyDescent="0.25">
      <c r="S4674" s="78">
        <v>32061</v>
      </c>
      <c r="T4674" s="29">
        <v>9.8800000000000008</v>
      </c>
    </row>
    <row r="4675" spans="19:20" x14ac:dyDescent="0.25">
      <c r="S4675" s="78">
        <v>32062</v>
      </c>
      <c r="T4675" s="29">
        <v>9.8800000000000008</v>
      </c>
    </row>
    <row r="4676" spans="19:20" x14ac:dyDescent="0.25">
      <c r="S4676" s="78">
        <v>32063</v>
      </c>
      <c r="T4676" s="29">
        <v>9.8800000000000008</v>
      </c>
    </row>
    <row r="4677" spans="19:20" x14ac:dyDescent="0.25">
      <c r="S4677" s="78">
        <v>32064</v>
      </c>
      <c r="T4677" s="29">
        <v>9.8800000000000008</v>
      </c>
    </row>
    <row r="4678" spans="19:20" x14ac:dyDescent="0.25">
      <c r="S4678" s="78">
        <v>32065</v>
      </c>
      <c r="T4678" s="29">
        <v>9.8800000000000008</v>
      </c>
    </row>
    <row r="4679" spans="19:20" x14ac:dyDescent="0.25">
      <c r="S4679" s="78">
        <v>32066</v>
      </c>
      <c r="T4679" s="29">
        <v>9.8800000000000008</v>
      </c>
    </row>
    <row r="4680" spans="19:20" x14ac:dyDescent="0.25">
      <c r="S4680" s="78">
        <v>32067</v>
      </c>
      <c r="T4680" s="29">
        <v>9.8800000000000008</v>
      </c>
    </row>
    <row r="4681" spans="19:20" x14ac:dyDescent="0.25">
      <c r="S4681" s="78">
        <v>32068</v>
      </c>
      <c r="T4681" s="29">
        <v>9.8800000000000008</v>
      </c>
    </row>
    <row r="4682" spans="19:20" x14ac:dyDescent="0.25">
      <c r="S4682" s="78">
        <v>32069</v>
      </c>
      <c r="T4682" s="29">
        <v>9.8800000000000008</v>
      </c>
    </row>
    <row r="4683" spans="19:20" x14ac:dyDescent="0.25">
      <c r="S4683" s="78">
        <v>32070</v>
      </c>
      <c r="T4683" s="29">
        <v>9.8800000000000008</v>
      </c>
    </row>
    <row r="4684" spans="19:20" x14ac:dyDescent="0.25">
      <c r="S4684" s="78">
        <v>32071</v>
      </c>
      <c r="T4684" s="29">
        <v>9.8800000000000008</v>
      </c>
    </row>
    <row r="4685" spans="19:20" x14ac:dyDescent="0.25">
      <c r="S4685" s="78">
        <v>32072</v>
      </c>
      <c r="T4685" s="29">
        <v>9.8800000000000008</v>
      </c>
    </row>
    <row r="4686" spans="19:20" x14ac:dyDescent="0.25">
      <c r="S4686" s="78">
        <v>32073</v>
      </c>
      <c r="T4686" s="29">
        <v>9.3800000000000008</v>
      </c>
    </row>
    <row r="4687" spans="19:20" x14ac:dyDescent="0.25">
      <c r="S4687" s="78">
        <v>32074</v>
      </c>
      <c r="T4687" s="29">
        <v>9.3800000000000008</v>
      </c>
    </row>
    <row r="4688" spans="19:20" x14ac:dyDescent="0.25">
      <c r="S4688" s="78">
        <v>32075</v>
      </c>
      <c r="T4688" s="29">
        <v>9.3800000000000008</v>
      </c>
    </row>
    <row r="4689" spans="19:20" x14ac:dyDescent="0.25">
      <c r="S4689" s="78">
        <v>32076</v>
      </c>
      <c r="T4689" s="29">
        <v>9.3800000000000008</v>
      </c>
    </row>
    <row r="4690" spans="19:20" x14ac:dyDescent="0.25">
      <c r="S4690" s="78">
        <v>32077</v>
      </c>
      <c r="T4690" s="29">
        <v>9.3800000000000008</v>
      </c>
    </row>
    <row r="4691" spans="19:20" x14ac:dyDescent="0.25">
      <c r="S4691" s="78">
        <v>32078</v>
      </c>
      <c r="T4691" s="29">
        <v>9.3800000000000008</v>
      </c>
    </row>
    <row r="4692" spans="19:20" x14ac:dyDescent="0.25">
      <c r="S4692" s="78">
        <v>32079</v>
      </c>
      <c r="T4692" s="29">
        <v>9.3800000000000008</v>
      </c>
    </row>
    <row r="4693" spans="19:20" x14ac:dyDescent="0.25">
      <c r="S4693" s="78">
        <v>32080</v>
      </c>
      <c r="T4693" s="29">
        <v>9.3800000000000008</v>
      </c>
    </row>
    <row r="4694" spans="19:20" x14ac:dyDescent="0.25">
      <c r="S4694" s="78">
        <v>32081</v>
      </c>
      <c r="T4694" s="29">
        <v>9.3800000000000008</v>
      </c>
    </row>
    <row r="4695" spans="19:20" x14ac:dyDescent="0.25">
      <c r="S4695" s="78">
        <v>32082</v>
      </c>
      <c r="T4695" s="29">
        <v>9.3800000000000008</v>
      </c>
    </row>
    <row r="4696" spans="19:20" x14ac:dyDescent="0.25">
      <c r="S4696" s="78">
        <v>32083</v>
      </c>
      <c r="T4696" s="29">
        <v>9.3800000000000008</v>
      </c>
    </row>
    <row r="4697" spans="19:20" x14ac:dyDescent="0.25">
      <c r="S4697" s="78">
        <v>32084</v>
      </c>
      <c r="T4697" s="29">
        <v>9.3800000000000008</v>
      </c>
    </row>
    <row r="4698" spans="19:20" x14ac:dyDescent="0.25">
      <c r="S4698" s="78">
        <v>32085</v>
      </c>
      <c r="T4698" s="29">
        <v>8.8800000000000008</v>
      </c>
    </row>
    <row r="4699" spans="19:20" x14ac:dyDescent="0.25">
      <c r="S4699" s="78">
        <v>32086</v>
      </c>
      <c r="T4699" s="29">
        <v>8.8800000000000008</v>
      </c>
    </row>
    <row r="4700" spans="19:20" x14ac:dyDescent="0.25">
      <c r="S4700" s="78">
        <v>32087</v>
      </c>
      <c r="T4700" s="29">
        <v>8.8800000000000008</v>
      </c>
    </row>
    <row r="4701" spans="19:20" x14ac:dyDescent="0.25">
      <c r="S4701" s="78">
        <v>32088</v>
      </c>
      <c r="T4701" s="29">
        <v>8.8800000000000008</v>
      </c>
    </row>
    <row r="4702" spans="19:20" x14ac:dyDescent="0.25">
      <c r="S4702" s="78">
        <v>32089</v>
      </c>
      <c r="T4702" s="29">
        <v>8.8800000000000008</v>
      </c>
    </row>
    <row r="4703" spans="19:20" x14ac:dyDescent="0.25">
      <c r="S4703" s="78">
        <v>32090</v>
      </c>
      <c r="T4703" s="29">
        <v>8.8800000000000008</v>
      </c>
    </row>
    <row r="4704" spans="19:20" x14ac:dyDescent="0.25">
      <c r="S4704" s="78">
        <v>32091</v>
      </c>
      <c r="T4704" s="29">
        <v>8.8800000000000008</v>
      </c>
    </row>
    <row r="4705" spans="19:20" x14ac:dyDescent="0.25">
      <c r="S4705" s="78">
        <v>32092</v>
      </c>
      <c r="T4705" s="29">
        <v>8.8800000000000008</v>
      </c>
    </row>
    <row r="4706" spans="19:20" x14ac:dyDescent="0.25">
      <c r="S4706" s="78">
        <v>32093</v>
      </c>
      <c r="T4706" s="29">
        <v>8.8800000000000008</v>
      </c>
    </row>
    <row r="4707" spans="19:20" x14ac:dyDescent="0.25">
      <c r="S4707" s="78">
        <v>32094</v>
      </c>
      <c r="T4707" s="29">
        <v>8.8800000000000008</v>
      </c>
    </row>
    <row r="4708" spans="19:20" x14ac:dyDescent="0.25">
      <c r="S4708" s="78">
        <v>32095</v>
      </c>
      <c r="T4708" s="29">
        <v>8.8800000000000008</v>
      </c>
    </row>
    <row r="4709" spans="19:20" x14ac:dyDescent="0.25">
      <c r="S4709" s="78">
        <v>32096</v>
      </c>
      <c r="T4709" s="29">
        <v>8.8800000000000008</v>
      </c>
    </row>
    <row r="4710" spans="19:20" x14ac:dyDescent="0.25">
      <c r="S4710" s="78">
        <v>32097</v>
      </c>
      <c r="T4710" s="29">
        <v>8.8800000000000008</v>
      </c>
    </row>
    <row r="4711" spans="19:20" x14ac:dyDescent="0.25">
      <c r="S4711" s="78">
        <v>32098</v>
      </c>
      <c r="T4711" s="29">
        <v>8.8800000000000008</v>
      </c>
    </row>
    <row r="4712" spans="19:20" x14ac:dyDescent="0.25">
      <c r="S4712" s="78">
        <v>32099</v>
      </c>
      <c r="T4712" s="29">
        <v>8.8800000000000008</v>
      </c>
    </row>
    <row r="4713" spans="19:20" x14ac:dyDescent="0.25">
      <c r="S4713" s="78">
        <v>32100</v>
      </c>
      <c r="T4713" s="29">
        <v>8.8800000000000008</v>
      </c>
    </row>
    <row r="4714" spans="19:20" x14ac:dyDescent="0.25">
      <c r="S4714" s="78">
        <v>32101</v>
      </c>
      <c r="T4714" s="29">
        <v>8.8800000000000008</v>
      </c>
    </row>
    <row r="4715" spans="19:20" x14ac:dyDescent="0.25">
      <c r="S4715" s="78">
        <v>32102</v>
      </c>
      <c r="T4715" s="29">
        <v>8.8800000000000008</v>
      </c>
    </row>
    <row r="4716" spans="19:20" x14ac:dyDescent="0.25">
      <c r="S4716" s="78">
        <v>32103</v>
      </c>
      <c r="T4716" s="29">
        <v>8.8800000000000008</v>
      </c>
    </row>
    <row r="4717" spans="19:20" x14ac:dyDescent="0.25">
      <c r="S4717" s="78">
        <v>32104</v>
      </c>
      <c r="T4717" s="29">
        <v>8.8800000000000008</v>
      </c>
    </row>
    <row r="4718" spans="19:20" x14ac:dyDescent="0.25">
      <c r="S4718" s="78">
        <v>32105</v>
      </c>
      <c r="T4718" s="29">
        <v>8.8800000000000008</v>
      </c>
    </row>
    <row r="4719" spans="19:20" x14ac:dyDescent="0.25">
      <c r="S4719" s="78">
        <v>32106</v>
      </c>
      <c r="T4719" s="29">
        <v>8.8800000000000008</v>
      </c>
    </row>
    <row r="4720" spans="19:20" x14ac:dyDescent="0.25">
      <c r="S4720" s="78">
        <v>32107</v>
      </c>
      <c r="T4720" s="29">
        <v>8.8800000000000008</v>
      </c>
    </row>
    <row r="4721" spans="19:20" x14ac:dyDescent="0.25">
      <c r="S4721" s="78">
        <v>32108</v>
      </c>
      <c r="T4721" s="29">
        <v>8.8800000000000008</v>
      </c>
    </row>
    <row r="4722" spans="19:20" x14ac:dyDescent="0.25">
      <c r="S4722" s="78">
        <v>32109</v>
      </c>
      <c r="T4722" s="29">
        <v>8.8800000000000008</v>
      </c>
    </row>
    <row r="4723" spans="19:20" x14ac:dyDescent="0.25">
      <c r="S4723" s="78">
        <v>32110</v>
      </c>
      <c r="T4723" s="29">
        <v>8.8800000000000008</v>
      </c>
    </row>
    <row r="4724" spans="19:20" x14ac:dyDescent="0.25">
      <c r="S4724" s="78">
        <v>32111</v>
      </c>
      <c r="T4724" s="29">
        <v>8.8800000000000008</v>
      </c>
    </row>
    <row r="4725" spans="19:20" x14ac:dyDescent="0.25">
      <c r="S4725" s="78">
        <v>32112</v>
      </c>
      <c r="T4725" s="29">
        <v>8.8800000000000008</v>
      </c>
    </row>
    <row r="4726" spans="19:20" x14ac:dyDescent="0.25">
      <c r="S4726" s="78">
        <v>32113</v>
      </c>
      <c r="T4726" s="29">
        <v>8.8800000000000008</v>
      </c>
    </row>
    <row r="4727" spans="19:20" x14ac:dyDescent="0.25">
      <c r="S4727" s="78">
        <v>32114</v>
      </c>
      <c r="T4727" s="29">
        <v>8.3800000000000008</v>
      </c>
    </row>
    <row r="4728" spans="19:20" x14ac:dyDescent="0.25">
      <c r="S4728" s="78">
        <v>32115</v>
      </c>
      <c r="T4728" s="29">
        <v>8.3800000000000008</v>
      </c>
    </row>
    <row r="4729" spans="19:20" x14ac:dyDescent="0.25">
      <c r="S4729" s="78">
        <v>32116</v>
      </c>
      <c r="T4729" s="29">
        <v>8.3800000000000008</v>
      </c>
    </row>
    <row r="4730" spans="19:20" x14ac:dyDescent="0.25">
      <c r="S4730" s="78">
        <v>32117</v>
      </c>
      <c r="T4730" s="29">
        <v>8.3800000000000008</v>
      </c>
    </row>
    <row r="4731" spans="19:20" x14ac:dyDescent="0.25">
      <c r="S4731" s="78">
        <v>32118</v>
      </c>
      <c r="T4731" s="29">
        <v>8.3800000000000008</v>
      </c>
    </row>
    <row r="4732" spans="19:20" x14ac:dyDescent="0.25">
      <c r="S4732" s="78">
        <v>32119</v>
      </c>
      <c r="T4732" s="29">
        <v>8.3800000000000008</v>
      </c>
    </row>
    <row r="4733" spans="19:20" x14ac:dyDescent="0.25">
      <c r="S4733" s="78">
        <v>32120</v>
      </c>
      <c r="T4733" s="29">
        <v>8.3800000000000008</v>
      </c>
    </row>
    <row r="4734" spans="19:20" x14ac:dyDescent="0.25">
      <c r="S4734" s="78">
        <v>32121</v>
      </c>
      <c r="T4734" s="29">
        <v>8.3800000000000008</v>
      </c>
    </row>
    <row r="4735" spans="19:20" x14ac:dyDescent="0.25">
      <c r="S4735" s="78">
        <v>32122</v>
      </c>
      <c r="T4735" s="29">
        <v>8.3800000000000008</v>
      </c>
    </row>
    <row r="4736" spans="19:20" x14ac:dyDescent="0.25">
      <c r="S4736" s="78">
        <v>32123</v>
      </c>
      <c r="T4736" s="29">
        <v>8.3800000000000008</v>
      </c>
    </row>
    <row r="4737" spans="19:20" x14ac:dyDescent="0.25">
      <c r="S4737" s="78">
        <v>32124</v>
      </c>
      <c r="T4737" s="29">
        <v>8.3800000000000008</v>
      </c>
    </row>
    <row r="4738" spans="19:20" x14ac:dyDescent="0.25">
      <c r="S4738" s="78">
        <v>32125</v>
      </c>
      <c r="T4738" s="29">
        <v>8.3800000000000008</v>
      </c>
    </row>
    <row r="4739" spans="19:20" x14ac:dyDescent="0.25">
      <c r="S4739" s="78">
        <v>32126</v>
      </c>
      <c r="T4739" s="29">
        <v>8.3800000000000008</v>
      </c>
    </row>
    <row r="4740" spans="19:20" x14ac:dyDescent="0.25">
      <c r="S4740" s="78">
        <v>32127</v>
      </c>
      <c r="T4740" s="29">
        <v>8.3800000000000008</v>
      </c>
    </row>
    <row r="4741" spans="19:20" x14ac:dyDescent="0.25">
      <c r="S4741" s="78">
        <v>32128</v>
      </c>
      <c r="T4741" s="29">
        <v>8.3800000000000008</v>
      </c>
    </row>
    <row r="4742" spans="19:20" x14ac:dyDescent="0.25">
      <c r="S4742" s="78">
        <v>32129</v>
      </c>
      <c r="T4742" s="29">
        <v>8.3800000000000008</v>
      </c>
    </row>
    <row r="4743" spans="19:20" x14ac:dyDescent="0.25">
      <c r="S4743" s="78">
        <v>32130</v>
      </c>
      <c r="T4743" s="29">
        <v>8.3800000000000008</v>
      </c>
    </row>
    <row r="4744" spans="19:20" x14ac:dyDescent="0.25">
      <c r="S4744" s="78">
        <v>32131</v>
      </c>
      <c r="T4744" s="29">
        <v>8.3800000000000008</v>
      </c>
    </row>
    <row r="4745" spans="19:20" x14ac:dyDescent="0.25">
      <c r="S4745" s="78">
        <v>32132</v>
      </c>
      <c r="T4745" s="29">
        <v>8.3800000000000008</v>
      </c>
    </row>
    <row r="4746" spans="19:20" x14ac:dyDescent="0.25">
      <c r="S4746" s="78">
        <v>32133</v>
      </c>
      <c r="T4746" s="29">
        <v>8.3800000000000008</v>
      </c>
    </row>
    <row r="4747" spans="19:20" x14ac:dyDescent="0.25">
      <c r="S4747" s="78">
        <v>32134</v>
      </c>
      <c r="T4747" s="29">
        <v>8.3800000000000008</v>
      </c>
    </row>
    <row r="4748" spans="19:20" x14ac:dyDescent="0.25">
      <c r="S4748" s="78">
        <v>32135</v>
      </c>
      <c r="T4748" s="29">
        <v>8.3800000000000008</v>
      </c>
    </row>
    <row r="4749" spans="19:20" x14ac:dyDescent="0.25">
      <c r="S4749" s="78">
        <v>32136</v>
      </c>
      <c r="T4749" s="29">
        <v>8.3800000000000008</v>
      </c>
    </row>
    <row r="4750" spans="19:20" x14ac:dyDescent="0.25">
      <c r="S4750" s="78">
        <v>32137</v>
      </c>
      <c r="T4750" s="29">
        <v>8.3800000000000008</v>
      </c>
    </row>
    <row r="4751" spans="19:20" x14ac:dyDescent="0.25">
      <c r="S4751" s="78">
        <v>32138</v>
      </c>
      <c r="T4751" s="29">
        <v>8.3800000000000008</v>
      </c>
    </row>
    <row r="4752" spans="19:20" x14ac:dyDescent="0.25">
      <c r="S4752" s="78">
        <v>32139</v>
      </c>
      <c r="T4752" s="29">
        <v>8.3800000000000008</v>
      </c>
    </row>
    <row r="4753" spans="19:21" x14ac:dyDescent="0.25">
      <c r="S4753" s="78">
        <v>32140</v>
      </c>
      <c r="T4753" s="29">
        <v>8.3800000000000008</v>
      </c>
    </row>
    <row r="4754" spans="19:21" x14ac:dyDescent="0.25">
      <c r="S4754" s="78">
        <v>32141</v>
      </c>
      <c r="T4754" s="29">
        <v>8.3800000000000008</v>
      </c>
    </row>
    <row r="4755" spans="19:21" x14ac:dyDescent="0.25">
      <c r="S4755" s="78">
        <v>32142</v>
      </c>
      <c r="T4755" s="29">
        <v>8.3800000000000008</v>
      </c>
      <c r="U4755" s="40">
        <f>AVERAGE(T4664:T4755)</f>
        <v>9.0267391304347786</v>
      </c>
    </row>
    <row r="4756" spans="19:21" x14ac:dyDescent="0.25">
      <c r="S4756" s="78">
        <v>32143</v>
      </c>
      <c r="T4756" s="29">
        <v>8.3800000000000008</v>
      </c>
    </row>
    <row r="4757" spans="19:21" x14ac:dyDescent="0.25">
      <c r="S4757" s="78">
        <v>32144</v>
      </c>
      <c r="T4757" s="29">
        <v>8.3800000000000008</v>
      </c>
    </row>
    <row r="4758" spans="19:21" x14ac:dyDescent="0.25">
      <c r="S4758" s="78">
        <v>32145</v>
      </c>
      <c r="T4758" s="29">
        <v>8.3800000000000008</v>
      </c>
    </row>
    <row r="4759" spans="19:21" x14ac:dyDescent="0.25">
      <c r="S4759" s="78">
        <v>32146</v>
      </c>
      <c r="T4759" s="29">
        <v>8.3800000000000008</v>
      </c>
    </row>
    <row r="4760" spans="19:21" x14ac:dyDescent="0.25">
      <c r="S4760" s="78">
        <v>32147</v>
      </c>
      <c r="T4760" s="29">
        <v>8.3800000000000008</v>
      </c>
    </row>
    <row r="4761" spans="19:21" x14ac:dyDescent="0.25">
      <c r="S4761" s="78">
        <v>32148</v>
      </c>
      <c r="T4761" s="29">
        <v>8.3800000000000008</v>
      </c>
    </row>
    <row r="4762" spans="19:21" x14ac:dyDescent="0.25">
      <c r="S4762" s="78">
        <v>32149</v>
      </c>
      <c r="T4762" s="29">
        <v>8.3800000000000008</v>
      </c>
    </row>
    <row r="4763" spans="19:21" x14ac:dyDescent="0.25">
      <c r="S4763" s="78">
        <v>32150</v>
      </c>
      <c r="T4763" s="29">
        <v>8.3800000000000008</v>
      </c>
    </row>
    <row r="4764" spans="19:21" x14ac:dyDescent="0.25">
      <c r="S4764" s="78">
        <v>32151</v>
      </c>
      <c r="T4764" s="29">
        <v>8.3800000000000008</v>
      </c>
    </row>
    <row r="4765" spans="19:21" x14ac:dyDescent="0.25">
      <c r="S4765" s="78">
        <v>32152</v>
      </c>
      <c r="T4765" s="29">
        <v>8.3800000000000008</v>
      </c>
    </row>
    <row r="4766" spans="19:21" x14ac:dyDescent="0.25">
      <c r="S4766" s="78">
        <v>32153</v>
      </c>
      <c r="T4766" s="29">
        <v>8.3800000000000008</v>
      </c>
    </row>
    <row r="4767" spans="19:21" x14ac:dyDescent="0.25">
      <c r="S4767" s="78">
        <v>32154</v>
      </c>
      <c r="T4767" s="29">
        <v>8.3800000000000008</v>
      </c>
    </row>
    <row r="4768" spans="19:21" x14ac:dyDescent="0.25">
      <c r="S4768" s="78">
        <v>32155</v>
      </c>
      <c r="T4768" s="29">
        <v>8.3800000000000008</v>
      </c>
    </row>
    <row r="4769" spans="19:20" x14ac:dyDescent="0.25">
      <c r="S4769" s="78">
        <v>32156</v>
      </c>
      <c r="T4769" s="29">
        <v>8.3800000000000008</v>
      </c>
    </row>
    <row r="4770" spans="19:20" x14ac:dyDescent="0.25">
      <c r="S4770" s="78">
        <v>32157</v>
      </c>
      <c r="T4770" s="29">
        <v>8.3800000000000008</v>
      </c>
    </row>
    <row r="4771" spans="19:20" x14ac:dyDescent="0.25">
      <c r="S4771" s="78">
        <v>32158</v>
      </c>
      <c r="T4771" s="29">
        <v>8.3800000000000008</v>
      </c>
    </row>
    <row r="4772" spans="19:20" x14ac:dyDescent="0.25">
      <c r="S4772" s="78">
        <v>32159</v>
      </c>
      <c r="T4772" s="29">
        <v>8.3800000000000008</v>
      </c>
    </row>
    <row r="4773" spans="19:20" x14ac:dyDescent="0.25">
      <c r="S4773" s="78">
        <v>32160</v>
      </c>
      <c r="T4773" s="29">
        <v>8.3800000000000008</v>
      </c>
    </row>
    <row r="4774" spans="19:20" x14ac:dyDescent="0.25">
      <c r="S4774" s="78">
        <v>32161</v>
      </c>
      <c r="T4774" s="29">
        <v>8.3800000000000008</v>
      </c>
    </row>
    <row r="4775" spans="19:20" x14ac:dyDescent="0.25">
      <c r="S4775" s="78">
        <v>32162</v>
      </c>
      <c r="T4775" s="29">
        <v>8.3800000000000008</v>
      </c>
    </row>
    <row r="4776" spans="19:20" x14ac:dyDescent="0.25">
      <c r="S4776" s="78">
        <v>32163</v>
      </c>
      <c r="T4776" s="29">
        <v>8.3800000000000008</v>
      </c>
    </row>
    <row r="4777" spans="19:20" x14ac:dyDescent="0.25">
      <c r="S4777" s="78">
        <v>32164</v>
      </c>
      <c r="T4777" s="29">
        <v>8.3800000000000008</v>
      </c>
    </row>
    <row r="4778" spans="19:20" x14ac:dyDescent="0.25">
      <c r="S4778" s="78">
        <v>32165</v>
      </c>
      <c r="T4778" s="29">
        <v>8.3800000000000008</v>
      </c>
    </row>
    <row r="4779" spans="19:20" x14ac:dyDescent="0.25">
      <c r="S4779" s="78">
        <v>32166</v>
      </c>
      <c r="T4779" s="29">
        <v>8.3800000000000008</v>
      </c>
    </row>
    <row r="4780" spans="19:20" x14ac:dyDescent="0.25">
      <c r="S4780" s="78">
        <v>32167</v>
      </c>
      <c r="T4780" s="29">
        <v>8.3800000000000008</v>
      </c>
    </row>
    <row r="4781" spans="19:20" x14ac:dyDescent="0.25">
      <c r="S4781" s="78">
        <v>32168</v>
      </c>
      <c r="T4781" s="29">
        <v>8.3800000000000008</v>
      </c>
    </row>
    <row r="4782" spans="19:20" x14ac:dyDescent="0.25">
      <c r="S4782" s="78">
        <v>32169</v>
      </c>
      <c r="T4782" s="29">
        <v>8.3800000000000008</v>
      </c>
    </row>
    <row r="4783" spans="19:20" x14ac:dyDescent="0.25">
      <c r="S4783" s="78">
        <v>32170</v>
      </c>
      <c r="T4783" s="29">
        <v>8.3800000000000008</v>
      </c>
    </row>
    <row r="4784" spans="19:20" x14ac:dyDescent="0.25">
      <c r="S4784" s="78">
        <v>32171</v>
      </c>
      <c r="T4784" s="29">
        <v>8.3800000000000008</v>
      </c>
    </row>
    <row r="4785" spans="19:20" x14ac:dyDescent="0.25">
      <c r="S4785" s="78">
        <v>32172</v>
      </c>
      <c r="T4785" s="29">
        <v>8.3800000000000008</v>
      </c>
    </row>
    <row r="4786" spans="19:20" x14ac:dyDescent="0.25">
      <c r="S4786" s="78">
        <v>32173</v>
      </c>
      <c r="T4786" s="29">
        <v>8.3800000000000008</v>
      </c>
    </row>
    <row r="4787" spans="19:20" x14ac:dyDescent="0.25">
      <c r="S4787" s="78">
        <v>32174</v>
      </c>
      <c r="T4787" s="29">
        <v>8.8800000000000008</v>
      </c>
    </row>
    <row r="4788" spans="19:20" x14ac:dyDescent="0.25">
      <c r="S4788" s="78">
        <v>32175</v>
      </c>
      <c r="T4788" s="29">
        <v>8.8800000000000008</v>
      </c>
    </row>
    <row r="4789" spans="19:20" x14ac:dyDescent="0.25">
      <c r="S4789" s="78">
        <v>32176</v>
      </c>
      <c r="T4789" s="29">
        <v>8.8800000000000008</v>
      </c>
    </row>
    <row r="4790" spans="19:20" x14ac:dyDescent="0.25">
      <c r="S4790" s="78">
        <v>32177</v>
      </c>
      <c r="T4790" s="29">
        <v>8.8800000000000008</v>
      </c>
    </row>
    <row r="4791" spans="19:20" x14ac:dyDescent="0.25">
      <c r="S4791" s="78">
        <v>32178</v>
      </c>
      <c r="T4791" s="29">
        <v>8.8800000000000008</v>
      </c>
    </row>
    <row r="4792" spans="19:20" x14ac:dyDescent="0.25">
      <c r="S4792" s="78">
        <v>32179</v>
      </c>
      <c r="T4792" s="29">
        <v>8.8800000000000008</v>
      </c>
    </row>
    <row r="4793" spans="19:20" x14ac:dyDescent="0.25">
      <c r="S4793" s="78">
        <v>32180</v>
      </c>
      <c r="T4793" s="29">
        <v>8.8800000000000008</v>
      </c>
    </row>
    <row r="4794" spans="19:20" x14ac:dyDescent="0.25">
      <c r="S4794" s="78">
        <v>32181</v>
      </c>
      <c r="T4794" s="29">
        <v>8.8800000000000008</v>
      </c>
    </row>
    <row r="4795" spans="19:20" x14ac:dyDescent="0.25">
      <c r="S4795" s="78">
        <v>32182</v>
      </c>
      <c r="T4795" s="29">
        <v>8.8800000000000008</v>
      </c>
    </row>
    <row r="4796" spans="19:20" x14ac:dyDescent="0.25">
      <c r="S4796" s="78">
        <v>32183</v>
      </c>
      <c r="T4796" s="29">
        <v>8.8800000000000008</v>
      </c>
    </row>
    <row r="4797" spans="19:20" x14ac:dyDescent="0.25">
      <c r="S4797" s="78">
        <v>32184</v>
      </c>
      <c r="T4797" s="29">
        <v>8.8800000000000008</v>
      </c>
    </row>
    <row r="4798" spans="19:20" x14ac:dyDescent="0.25">
      <c r="S4798" s="78">
        <v>32185</v>
      </c>
      <c r="T4798" s="29">
        <v>8.8800000000000008</v>
      </c>
    </row>
    <row r="4799" spans="19:20" x14ac:dyDescent="0.25">
      <c r="S4799" s="78">
        <v>32186</v>
      </c>
      <c r="T4799" s="29">
        <v>8.8800000000000008</v>
      </c>
    </row>
    <row r="4800" spans="19:20" x14ac:dyDescent="0.25">
      <c r="S4800" s="78">
        <v>32187</v>
      </c>
      <c r="T4800" s="29">
        <v>8.8800000000000008</v>
      </c>
    </row>
    <row r="4801" spans="19:20" x14ac:dyDescent="0.25">
      <c r="S4801" s="78">
        <v>32188</v>
      </c>
      <c r="T4801" s="29">
        <v>8.8800000000000008</v>
      </c>
    </row>
    <row r="4802" spans="19:20" x14ac:dyDescent="0.25">
      <c r="S4802" s="78">
        <v>32189</v>
      </c>
      <c r="T4802" s="29">
        <v>8.8800000000000008</v>
      </c>
    </row>
    <row r="4803" spans="19:20" x14ac:dyDescent="0.25">
      <c r="S4803" s="78">
        <v>32190</v>
      </c>
      <c r="T4803" s="29">
        <v>8.8800000000000008</v>
      </c>
    </row>
    <row r="4804" spans="19:20" x14ac:dyDescent="0.25">
      <c r="S4804" s="78">
        <v>32191</v>
      </c>
      <c r="T4804" s="29">
        <v>8.8800000000000008</v>
      </c>
    </row>
    <row r="4805" spans="19:20" x14ac:dyDescent="0.25">
      <c r="S4805" s="78">
        <v>32192</v>
      </c>
      <c r="T4805" s="29">
        <v>8.8800000000000008</v>
      </c>
    </row>
    <row r="4806" spans="19:20" x14ac:dyDescent="0.25">
      <c r="S4806" s="78">
        <v>32193</v>
      </c>
      <c r="T4806" s="29">
        <v>8.8800000000000008</v>
      </c>
    </row>
    <row r="4807" spans="19:20" x14ac:dyDescent="0.25">
      <c r="S4807" s="78">
        <v>32194</v>
      </c>
      <c r="T4807" s="29">
        <v>8.8800000000000008</v>
      </c>
    </row>
    <row r="4808" spans="19:20" x14ac:dyDescent="0.25">
      <c r="S4808" s="78">
        <v>32195</v>
      </c>
      <c r="T4808" s="29">
        <v>8.8800000000000008</v>
      </c>
    </row>
    <row r="4809" spans="19:20" x14ac:dyDescent="0.25">
      <c r="S4809" s="78">
        <v>32196</v>
      </c>
      <c r="T4809" s="29">
        <v>8.8800000000000008</v>
      </c>
    </row>
    <row r="4810" spans="19:20" x14ac:dyDescent="0.25">
      <c r="S4810" s="78">
        <v>32197</v>
      </c>
      <c r="T4810" s="29">
        <v>8.8800000000000008</v>
      </c>
    </row>
    <row r="4811" spans="19:20" x14ac:dyDescent="0.25">
      <c r="S4811" s="78">
        <v>32198</v>
      </c>
      <c r="T4811" s="29">
        <v>8.8800000000000008</v>
      </c>
    </row>
    <row r="4812" spans="19:20" x14ac:dyDescent="0.25">
      <c r="S4812" s="78">
        <v>32199</v>
      </c>
      <c r="T4812" s="29">
        <v>8.8800000000000008</v>
      </c>
    </row>
    <row r="4813" spans="19:20" x14ac:dyDescent="0.25">
      <c r="S4813" s="78">
        <v>32200</v>
      </c>
      <c r="T4813" s="29">
        <v>8.8800000000000008</v>
      </c>
    </row>
    <row r="4814" spans="19:20" x14ac:dyDescent="0.25">
      <c r="S4814" s="78">
        <v>32201</v>
      </c>
      <c r="T4814" s="29">
        <v>8.8800000000000008</v>
      </c>
    </row>
    <row r="4815" spans="19:20" x14ac:dyDescent="0.25">
      <c r="S4815" s="78">
        <v>32202</v>
      </c>
      <c r="T4815" s="29">
        <v>8.8800000000000008</v>
      </c>
    </row>
    <row r="4816" spans="19:20" x14ac:dyDescent="0.25">
      <c r="S4816" s="78">
        <v>32203</v>
      </c>
      <c r="T4816" s="29">
        <v>8.8800000000000008</v>
      </c>
    </row>
    <row r="4817" spans="19:20" x14ac:dyDescent="0.25">
      <c r="S4817" s="78">
        <v>32204</v>
      </c>
      <c r="T4817" s="29">
        <v>8.8800000000000008</v>
      </c>
    </row>
    <row r="4818" spans="19:20" x14ac:dyDescent="0.25">
      <c r="S4818" s="78">
        <v>32205</v>
      </c>
      <c r="T4818" s="29">
        <v>8.8800000000000008</v>
      </c>
    </row>
    <row r="4819" spans="19:20" x14ac:dyDescent="0.25">
      <c r="S4819" s="78">
        <v>32206</v>
      </c>
      <c r="T4819" s="29">
        <v>8.8800000000000008</v>
      </c>
    </row>
    <row r="4820" spans="19:20" x14ac:dyDescent="0.25">
      <c r="S4820" s="78">
        <v>32207</v>
      </c>
      <c r="T4820" s="29">
        <v>8.8800000000000008</v>
      </c>
    </row>
    <row r="4821" spans="19:20" x14ac:dyDescent="0.25">
      <c r="S4821" s="78">
        <v>32208</v>
      </c>
      <c r="T4821" s="29">
        <v>8.8800000000000008</v>
      </c>
    </row>
    <row r="4822" spans="19:20" x14ac:dyDescent="0.25">
      <c r="S4822" s="78">
        <v>32209</v>
      </c>
      <c r="T4822" s="29">
        <v>8.8800000000000008</v>
      </c>
    </row>
    <row r="4823" spans="19:20" x14ac:dyDescent="0.25">
      <c r="S4823" s="78">
        <v>32210</v>
      </c>
      <c r="T4823" s="29">
        <v>8.8800000000000008</v>
      </c>
    </row>
    <row r="4824" spans="19:20" x14ac:dyDescent="0.25">
      <c r="S4824" s="78">
        <v>32211</v>
      </c>
      <c r="T4824" s="29">
        <v>8.8800000000000008</v>
      </c>
    </row>
    <row r="4825" spans="19:20" x14ac:dyDescent="0.25">
      <c r="S4825" s="78">
        <v>32212</v>
      </c>
      <c r="T4825" s="29">
        <v>8.8800000000000008</v>
      </c>
    </row>
    <row r="4826" spans="19:20" x14ac:dyDescent="0.25">
      <c r="S4826" s="78">
        <v>32213</v>
      </c>
      <c r="T4826" s="29">
        <v>8.8800000000000008</v>
      </c>
    </row>
    <row r="4827" spans="19:20" x14ac:dyDescent="0.25">
      <c r="S4827" s="78">
        <v>32214</v>
      </c>
      <c r="T4827" s="29">
        <v>8.8800000000000008</v>
      </c>
    </row>
    <row r="4828" spans="19:20" x14ac:dyDescent="0.25">
      <c r="S4828" s="78">
        <v>32215</v>
      </c>
      <c r="T4828" s="29">
        <v>8.8800000000000008</v>
      </c>
    </row>
    <row r="4829" spans="19:20" x14ac:dyDescent="0.25">
      <c r="S4829" s="78">
        <v>32216</v>
      </c>
      <c r="T4829" s="29">
        <v>8.8800000000000008</v>
      </c>
    </row>
    <row r="4830" spans="19:20" x14ac:dyDescent="0.25">
      <c r="S4830" s="78">
        <v>32217</v>
      </c>
      <c r="T4830" s="29">
        <v>8.8800000000000008</v>
      </c>
    </row>
    <row r="4831" spans="19:20" x14ac:dyDescent="0.25">
      <c r="S4831" s="78">
        <v>32218</v>
      </c>
      <c r="T4831" s="29">
        <v>8.8800000000000008</v>
      </c>
    </row>
    <row r="4832" spans="19:20" x14ac:dyDescent="0.25">
      <c r="S4832" s="78">
        <v>32219</v>
      </c>
      <c r="T4832" s="29">
        <v>8.3800000000000008</v>
      </c>
    </row>
    <row r="4833" spans="19:21" x14ac:dyDescent="0.25">
      <c r="S4833" s="78">
        <v>32220</v>
      </c>
      <c r="T4833" s="29">
        <v>8.3800000000000008</v>
      </c>
    </row>
    <row r="4834" spans="19:21" x14ac:dyDescent="0.25">
      <c r="S4834" s="78">
        <v>32221</v>
      </c>
      <c r="T4834" s="29">
        <v>8.3800000000000008</v>
      </c>
    </row>
    <row r="4835" spans="19:21" x14ac:dyDescent="0.25">
      <c r="S4835" s="78">
        <v>32222</v>
      </c>
      <c r="T4835" s="29">
        <v>8.3800000000000008</v>
      </c>
    </row>
    <row r="4836" spans="19:21" x14ac:dyDescent="0.25">
      <c r="S4836" s="78">
        <v>32223</v>
      </c>
      <c r="T4836" s="29">
        <v>8.3800000000000008</v>
      </c>
    </row>
    <row r="4837" spans="19:21" x14ac:dyDescent="0.25">
      <c r="S4837" s="78">
        <v>32224</v>
      </c>
      <c r="T4837" s="29">
        <v>8.3800000000000008</v>
      </c>
    </row>
    <row r="4838" spans="19:21" x14ac:dyDescent="0.25">
      <c r="S4838" s="78">
        <v>32225</v>
      </c>
      <c r="T4838" s="29">
        <v>8.3800000000000008</v>
      </c>
    </row>
    <row r="4839" spans="19:21" x14ac:dyDescent="0.25">
      <c r="S4839" s="78">
        <v>32226</v>
      </c>
      <c r="T4839" s="29">
        <v>8.3800000000000008</v>
      </c>
    </row>
    <row r="4840" spans="19:21" x14ac:dyDescent="0.25">
      <c r="S4840" s="78">
        <v>32227</v>
      </c>
      <c r="T4840" s="29">
        <v>8.3800000000000008</v>
      </c>
    </row>
    <row r="4841" spans="19:21" x14ac:dyDescent="0.25">
      <c r="S4841" s="78">
        <v>32228</v>
      </c>
      <c r="T4841" s="29">
        <v>8.3800000000000008</v>
      </c>
    </row>
    <row r="4842" spans="19:21" x14ac:dyDescent="0.25">
      <c r="S4842" s="78">
        <v>32229</v>
      </c>
      <c r="T4842" s="29">
        <v>8.3800000000000008</v>
      </c>
    </row>
    <row r="4843" spans="19:21" x14ac:dyDescent="0.25">
      <c r="S4843" s="78">
        <v>32230</v>
      </c>
      <c r="T4843" s="29">
        <v>8.3800000000000008</v>
      </c>
    </row>
    <row r="4844" spans="19:21" x14ac:dyDescent="0.25">
      <c r="S4844" s="78">
        <v>32231</v>
      </c>
      <c r="T4844" s="29">
        <v>8.3800000000000008</v>
      </c>
    </row>
    <row r="4845" spans="19:21" x14ac:dyDescent="0.25">
      <c r="S4845" s="78">
        <v>32232</v>
      </c>
      <c r="T4845" s="29">
        <v>8.3800000000000008</v>
      </c>
    </row>
    <row r="4846" spans="19:21" x14ac:dyDescent="0.25">
      <c r="S4846" s="78">
        <v>32233</v>
      </c>
      <c r="T4846" s="29">
        <v>8.3800000000000008</v>
      </c>
      <c r="U4846" s="39">
        <f>AVERAGE(T4756:T4846)</f>
        <v>8.6272527472527436</v>
      </c>
    </row>
    <row r="4847" spans="19:21" x14ac:dyDescent="0.25">
      <c r="S4847" s="78">
        <v>32234</v>
      </c>
      <c r="T4847" s="29">
        <v>8.3800000000000008</v>
      </c>
    </row>
    <row r="4848" spans="19:21" x14ac:dyDescent="0.25">
      <c r="S4848" s="78">
        <v>32235</v>
      </c>
      <c r="T4848" s="29">
        <v>8.3800000000000008</v>
      </c>
    </row>
    <row r="4849" spans="19:20" x14ac:dyDescent="0.25">
      <c r="S4849" s="78">
        <v>32236</v>
      </c>
      <c r="T4849" s="29">
        <v>8.3800000000000008</v>
      </c>
    </row>
    <row r="4850" spans="19:20" x14ac:dyDescent="0.25">
      <c r="S4850" s="78">
        <v>32237</v>
      </c>
      <c r="T4850" s="29">
        <v>8.3800000000000008</v>
      </c>
    </row>
    <row r="4851" spans="19:20" x14ac:dyDescent="0.25">
      <c r="S4851" s="78">
        <v>32238</v>
      </c>
      <c r="T4851" s="29">
        <v>8.3800000000000008</v>
      </c>
    </row>
    <row r="4852" spans="19:20" x14ac:dyDescent="0.25">
      <c r="S4852" s="78">
        <v>32239</v>
      </c>
      <c r="T4852" s="29">
        <v>8.3800000000000008</v>
      </c>
    </row>
    <row r="4853" spans="19:20" x14ac:dyDescent="0.25">
      <c r="S4853" s="78">
        <v>32240</v>
      </c>
      <c r="T4853" s="29">
        <v>8.3800000000000008</v>
      </c>
    </row>
    <row r="4854" spans="19:20" x14ac:dyDescent="0.25">
      <c r="S4854" s="78">
        <v>32241</v>
      </c>
      <c r="T4854" s="29">
        <v>7.88</v>
      </c>
    </row>
    <row r="4855" spans="19:20" x14ac:dyDescent="0.25">
      <c r="S4855" s="78">
        <v>32242</v>
      </c>
      <c r="T4855" s="29">
        <v>7.88</v>
      </c>
    </row>
    <row r="4856" spans="19:20" x14ac:dyDescent="0.25">
      <c r="S4856" s="78">
        <v>32243</v>
      </c>
      <c r="T4856" s="29">
        <v>7.88</v>
      </c>
    </row>
    <row r="4857" spans="19:20" x14ac:dyDescent="0.25">
      <c r="S4857" s="78">
        <v>32244</v>
      </c>
      <c r="T4857" s="29">
        <v>7.88</v>
      </c>
    </row>
    <row r="4858" spans="19:20" x14ac:dyDescent="0.25">
      <c r="S4858" s="78">
        <v>32245</v>
      </c>
      <c r="T4858" s="29">
        <v>7.88</v>
      </c>
    </row>
    <row r="4859" spans="19:20" x14ac:dyDescent="0.25">
      <c r="S4859" s="78">
        <v>32246</v>
      </c>
      <c r="T4859" s="29">
        <v>7.88</v>
      </c>
    </row>
    <row r="4860" spans="19:20" x14ac:dyDescent="0.25">
      <c r="S4860" s="78">
        <v>32247</v>
      </c>
      <c r="T4860" s="29">
        <v>7.88</v>
      </c>
    </row>
    <row r="4861" spans="19:20" x14ac:dyDescent="0.25">
      <c r="S4861" s="78">
        <v>32248</v>
      </c>
      <c r="T4861" s="29">
        <v>7.88</v>
      </c>
    </row>
    <row r="4862" spans="19:20" x14ac:dyDescent="0.25">
      <c r="S4862" s="78">
        <v>32249</v>
      </c>
      <c r="T4862" s="29">
        <v>7.88</v>
      </c>
    </row>
    <row r="4863" spans="19:20" x14ac:dyDescent="0.25">
      <c r="S4863" s="78">
        <v>32250</v>
      </c>
      <c r="T4863" s="29">
        <v>7.88</v>
      </c>
    </row>
    <row r="4864" spans="19:20" x14ac:dyDescent="0.25">
      <c r="S4864" s="78">
        <v>32251</v>
      </c>
      <c r="T4864" s="29">
        <v>7.88</v>
      </c>
    </row>
    <row r="4865" spans="19:20" x14ac:dyDescent="0.25">
      <c r="S4865" s="78">
        <v>32252</v>
      </c>
      <c r="T4865" s="29">
        <v>7.88</v>
      </c>
    </row>
    <row r="4866" spans="19:20" x14ac:dyDescent="0.25">
      <c r="S4866" s="78">
        <v>32253</v>
      </c>
      <c r="T4866" s="29">
        <v>7.88</v>
      </c>
    </row>
    <row r="4867" spans="19:20" x14ac:dyDescent="0.25">
      <c r="S4867" s="78">
        <v>32254</v>
      </c>
      <c r="T4867" s="29">
        <v>7.88</v>
      </c>
    </row>
    <row r="4868" spans="19:20" x14ac:dyDescent="0.25">
      <c r="S4868" s="78">
        <v>32255</v>
      </c>
      <c r="T4868" s="29">
        <v>7.88</v>
      </c>
    </row>
    <row r="4869" spans="19:20" x14ac:dyDescent="0.25">
      <c r="S4869" s="78">
        <v>32256</v>
      </c>
      <c r="T4869" s="29">
        <v>7.88</v>
      </c>
    </row>
    <row r="4870" spans="19:20" x14ac:dyDescent="0.25">
      <c r="S4870" s="78">
        <v>32257</v>
      </c>
      <c r="T4870" s="29">
        <v>7.88</v>
      </c>
    </row>
    <row r="4871" spans="19:20" x14ac:dyDescent="0.25">
      <c r="S4871" s="78">
        <v>32258</v>
      </c>
      <c r="T4871" s="29">
        <v>7.88</v>
      </c>
    </row>
    <row r="4872" spans="19:20" x14ac:dyDescent="0.25">
      <c r="S4872" s="78">
        <v>32259</v>
      </c>
      <c r="T4872" s="29">
        <v>7.88</v>
      </c>
    </row>
    <row r="4873" spans="19:20" x14ac:dyDescent="0.25">
      <c r="S4873" s="78">
        <v>32260</v>
      </c>
      <c r="T4873" s="29">
        <v>7.88</v>
      </c>
    </row>
    <row r="4874" spans="19:20" x14ac:dyDescent="0.25">
      <c r="S4874" s="78">
        <v>32261</v>
      </c>
      <c r="T4874" s="29">
        <v>7.88</v>
      </c>
    </row>
    <row r="4875" spans="19:20" x14ac:dyDescent="0.25">
      <c r="S4875" s="78">
        <v>32262</v>
      </c>
      <c r="T4875" s="29">
        <v>7.88</v>
      </c>
    </row>
    <row r="4876" spans="19:20" x14ac:dyDescent="0.25">
      <c r="S4876" s="78">
        <v>32263</v>
      </c>
      <c r="T4876" s="29">
        <v>7.88</v>
      </c>
    </row>
    <row r="4877" spans="19:20" x14ac:dyDescent="0.25">
      <c r="S4877" s="78">
        <v>32264</v>
      </c>
      <c r="T4877" s="29">
        <v>7.88</v>
      </c>
    </row>
    <row r="4878" spans="19:20" x14ac:dyDescent="0.25">
      <c r="S4878" s="78">
        <v>32265</v>
      </c>
      <c r="T4878" s="29">
        <v>7.88</v>
      </c>
    </row>
    <row r="4879" spans="19:20" x14ac:dyDescent="0.25">
      <c r="S4879" s="78">
        <v>32266</v>
      </c>
      <c r="T4879" s="29">
        <v>7.88</v>
      </c>
    </row>
    <row r="4880" spans="19:20" x14ac:dyDescent="0.25">
      <c r="S4880" s="78">
        <v>32267</v>
      </c>
      <c r="T4880" s="29">
        <v>7.88</v>
      </c>
    </row>
    <row r="4881" spans="19:20" x14ac:dyDescent="0.25">
      <c r="S4881" s="78">
        <v>32268</v>
      </c>
      <c r="T4881" s="29">
        <v>7.88</v>
      </c>
    </row>
    <row r="4882" spans="19:20" x14ac:dyDescent="0.25">
      <c r="S4882" s="78">
        <v>32269</v>
      </c>
      <c r="T4882" s="29">
        <v>7.88</v>
      </c>
    </row>
    <row r="4883" spans="19:20" x14ac:dyDescent="0.25">
      <c r="S4883" s="78">
        <v>32270</v>
      </c>
      <c r="T4883" s="29">
        <v>7.88</v>
      </c>
    </row>
    <row r="4884" spans="19:20" x14ac:dyDescent="0.25">
      <c r="S4884" s="78">
        <v>32271</v>
      </c>
      <c r="T4884" s="29">
        <v>7.88</v>
      </c>
    </row>
    <row r="4885" spans="19:20" x14ac:dyDescent="0.25">
      <c r="S4885" s="78">
        <v>32272</v>
      </c>
      <c r="T4885" s="29">
        <v>7.88</v>
      </c>
    </row>
    <row r="4886" spans="19:20" x14ac:dyDescent="0.25">
      <c r="S4886" s="78">
        <v>32273</v>
      </c>
      <c r="T4886" s="29">
        <v>7.88</v>
      </c>
    </row>
    <row r="4887" spans="19:20" x14ac:dyDescent="0.25">
      <c r="S4887" s="78">
        <v>32274</v>
      </c>
      <c r="T4887" s="29">
        <v>7.88</v>
      </c>
    </row>
    <row r="4888" spans="19:20" x14ac:dyDescent="0.25">
      <c r="S4888" s="78">
        <v>32275</v>
      </c>
      <c r="T4888" s="29">
        <v>7.88</v>
      </c>
    </row>
    <row r="4889" spans="19:20" x14ac:dyDescent="0.25">
      <c r="S4889" s="78">
        <v>32276</v>
      </c>
      <c r="T4889" s="29">
        <v>7.88</v>
      </c>
    </row>
    <row r="4890" spans="19:20" x14ac:dyDescent="0.25">
      <c r="S4890" s="78">
        <v>32277</v>
      </c>
      <c r="T4890" s="29">
        <v>7.88</v>
      </c>
    </row>
    <row r="4891" spans="19:20" x14ac:dyDescent="0.25">
      <c r="S4891" s="78">
        <v>32278</v>
      </c>
      <c r="T4891" s="29">
        <v>7.88</v>
      </c>
    </row>
    <row r="4892" spans="19:20" x14ac:dyDescent="0.25">
      <c r="S4892" s="78">
        <v>32279</v>
      </c>
      <c r="T4892" s="29">
        <v>7.88</v>
      </c>
    </row>
    <row r="4893" spans="19:20" x14ac:dyDescent="0.25">
      <c r="S4893" s="78">
        <v>32280</v>
      </c>
      <c r="T4893" s="29">
        <v>7.38</v>
      </c>
    </row>
    <row r="4894" spans="19:20" x14ac:dyDescent="0.25">
      <c r="S4894" s="78">
        <v>32281</v>
      </c>
      <c r="T4894" s="29">
        <v>7.38</v>
      </c>
    </row>
    <row r="4895" spans="19:20" x14ac:dyDescent="0.25">
      <c r="S4895" s="78">
        <v>32282</v>
      </c>
      <c r="T4895" s="29">
        <v>7.38</v>
      </c>
    </row>
    <row r="4896" spans="19:20" x14ac:dyDescent="0.25">
      <c r="S4896" s="78">
        <v>32283</v>
      </c>
      <c r="T4896" s="29">
        <v>7.38</v>
      </c>
    </row>
    <row r="4897" spans="19:20" x14ac:dyDescent="0.25">
      <c r="S4897" s="78">
        <v>32284</v>
      </c>
      <c r="T4897" s="29">
        <v>7.38</v>
      </c>
    </row>
    <row r="4898" spans="19:20" x14ac:dyDescent="0.25">
      <c r="S4898" s="78">
        <v>32285</v>
      </c>
      <c r="T4898" s="29">
        <v>7.38</v>
      </c>
    </row>
    <row r="4899" spans="19:20" x14ac:dyDescent="0.25">
      <c r="S4899" s="78">
        <v>32286</v>
      </c>
      <c r="T4899" s="29">
        <v>7.38</v>
      </c>
    </row>
    <row r="4900" spans="19:20" x14ac:dyDescent="0.25">
      <c r="S4900" s="78">
        <v>32287</v>
      </c>
      <c r="T4900" s="29">
        <v>7.38</v>
      </c>
    </row>
    <row r="4901" spans="19:20" x14ac:dyDescent="0.25">
      <c r="S4901" s="78">
        <v>32288</v>
      </c>
      <c r="T4901" s="29">
        <v>7.38</v>
      </c>
    </row>
    <row r="4902" spans="19:20" x14ac:dyDescent="0.25">
      <c r="S4902" s="78">
        <v>32289</v>
      </c>
      <c r="T4902" s="29">
        <v>7.38</v>
      </c>
    </row>
    <row r="4903" spans="19:20" x14ac:dyDescent="0.25">
      <c r="S4903" s="78">
        <v>32290</v>
      </c>
      <c r="T4903" s="29">
        <v>7.38</v>
      </c>
    </row>
    <row r="4904" spans="19:20" x14ac:dyDescent="0.25">
      <c r="S4904" s="78">
        <v>32291</v>
      </c>
      <c r="T4904" s="29">
        <v>7.38</v>
      </c>
    </row>
    <row r="4905" spans="19:20" x14ac:dyDescent="0.25">
      <c r="S4905" s="78">
        <v>32292</v>
      </c>
      <c r="T4905" s="29">
        <v>7.38</v>
      </c>
    </row>
    <row r="4906" spans="19:20" x14ac:dyDescent="0.25">
      <c r="S4906" s="78">
        <v>32293</v>
      </c>
      <c r="T4906" s="29">
        <v>7.38</v>
      </c>
    </row>
    <row r="4907" spans="19:20" x14ac:dyDescent="0.25">
      <c r="S4907" s="78">
        <v>32294</v>
      </c>
      <c r="T4907" s="29">
        <v>7.38</v>
      </c>
    </row>
    <row r="4908" spans="19:20" x14ac:dyDescent="0.25">
      <c r="S4908" s="78">
        <v>32295</v>
      </c>
      <c r="T4908" s="29">
        <v>7.38</v>
      </c>
    </row>
    <row r="4909" spans="19:20" x14ac:dyDescent="0.25">
      <c r="S4909" s="78">
        <v>32296</v>
      </c>
      <c r="T4909" s="29">
        <v>7.38</v>
      </c>
    </row>
    <row r="4910" spans="19:20" x14ac:dyDescent="0.25">
      <c r="S4910" s="78">
        <v>32297</v>
      </c>
      <c r="T4910" s="29">
        <v>7.88</v>
      </c>
    </row>
    <row r="4911" spans="19:20" x14ac:dyDescent="0.25">
      <c r="S4911" s="78">
        <v>32298</v>
      </c>
      <c r="T4911" s="29">
        <v>7.88</v>
      </c>
    </row>
    <row r="4912" spans="19:20" x14ac:dyDescent="0.25">
      <c r="S4912" s="78">
        <v>32299</v>
      </c>
      <c r="T4912" s="29">
        <v>7.88</v>
      </c>
    </row>
    <row r="4913" spans="19:20" x14ac:dyDescent="0.25">
      <c r="S4913" s="78">
        <v>32300</v>
      </c>
      <c r="T4913" s="29">
        <v>7.88</v>
      </c>
    </row>
    <row r="4914" spans="19:20" x14ac:dyDescent="0.25">
      <c r="S4914" s="78">
        <v>32301</v>
      </c>
      <c r="T4914" s="29">
        <v>7.88</v>
      </c>
    </row>
    <row r="4915" spans="19:20" x14ac:dyDescent="0.25">
      <c r="S4915" s="78">
        <v>32302</v>
      </c>
      <c r="T4915" s="29">
        <v>7.88</v>
      </c>
    </row>
    <row r="4916" spans="19:20" x14ac:dyDescent="0.25">
      <c r="S4916" s="78">
        <v>32303</v>
      </c>
      <c r="T4916" s="29">
        <v>7.88</v>
      </c>
    </row>
    <row r="4917" spans="19:20" x14ac:dyDescent="0.25">
      <c r="S4917" s="78">
        <v>32304</v>
      </c>
      <c r="T4917" s="29">
        <v>8.3800000000000008</v>
      </c>
    </row>
    <row r="4918" spans="19:20" x14ac:dyDescent="0.25">
      <c r="S4918" s="78">
        <v>32305</v>
      </c>
      <c r="T4918" s="29">
        <v>8.3800000000000008</v>
      </c>
    </row>
    <row r="4919" spans="19:20" x14ac:dyDescent="0.25">
      <c r="S4919" s="78">
        <v>32306</v>
      </c>
      <c r="T4919" s="29">
        <v>8.3800000000000008</v>
      </c>
    </row>
    <row r="4920" spans="19:20" x14ac:dyDescent="0.25">
      <c r="S4920" s="78">
        <v>32307</v>
      </c>
      <c r="T4920" s="29">
        <v>8.3800000000000008</v>
      </c>
    </row>
    <row r="4921" spans="19:20" x14ac:dyDescent="0.25">
      <c r="S4921" s="78">
        <v>32308</v>
      </c>
      <c r="T4921" s="29">
        <v>8.3800000000000008</v>
      </c>
    </row>
    <row r="4922" spans="19:20" x14ac:dyDescent="0.25">
      <c r="S4922" s="78">
        <v>32309</v>
      </c>
      <c r="T4922" s="29">
        <v>8.3800000000000008</v>
      </c>
    </row>
    <row r="4923" spans="19:20" x14ac:dyDescent="0.25">
      <c r="S4923" s="78">
        <v>32310</v>
      </c>
      <c r="T4923" s="29">
        <v>8.3800000000000008</v>
      </c>
    </row>
    <row r="4924" spans="19:20" x14ac:dyDescent="0.25">
      <c r="S4924" s="78">
        <v>32311</v>
      </c>
      <c r="T4924" s="29">
        <v>8.3800000000000008</v>
      </c>
    </row>
    <row r="4925" spans="19:20" x14ac:dyDescent="0.25">
      <c r="S4925" s="78">
        <v>32312</v>
      </c>
      <c r="T4925" s="29">
        <v>8.3800000000000008</v>
      </c>
    </row>
    <row r="4926" spans="19:20" x14ac:dyDescent="0.25">
      <c r="S4926" s="78">
        <v>32313</v>
      </c>
      <c r="T4926" s="29">
        <v>8.3800000000000008</v>
      </c>
    </row>
    <row r="4927" spans="19:20" x14ac:dyDescent="0.25">
      <c r="S4927" s="78">
        <v>32314</v>
      </c>
      <c r="T4927" s="29">
        <v>8.3800000000000008</v>
      </c>
    </row>
    <row r="4928" spans="19:20" x14ac:dyDescent="0.25">
      <c r="S4928" s="78">
        <v>32315</v>
      </c>
      <c r="T4928" s="29">
        <v>8.3800000000000008</v>
      </c>
    </row>
    <row r="4929" spans="19:21" x14ac:dyDescent="0.25">
      <c r="S4929" s="78">
        <v>32316</v>
      </c>
      <c r="T4929" s="29">
        <v>8.3800000000000008</v>
      </c>
    </row>
    <row r="4930" spans="19:21" x14ac:dyDescent="0.25">
      <c r="S4930" s="78">
        <v>32317</v>
      </c>
      <c r="T4930" s="29">
        <v>8.3800000000000008</v>
      </c>
    </row>
    <row r="4931" spans="19:21" x14ac:dyDescent="0.25">
      <c r="S4931" s="78">
        <v>32318</v>
      </c>
      <c r="T4931" s="29">
        <v>8.8800000000000008</v>
      </c>
    </row>
    <row r="4932" spans="19:21" x14ac:dyDescent="0.25">
      <c r="S4932" s="78">
        <v>32319</v>
      </c>
      <c r="T4932" s="29">
        <v>8.8800000000000008</v>
      </c>
    </row>
    <row r="4933" spans="19:21" x14ac:dyDescent="0.25">
      <c r="S4933" s="78">
        <v>32320</v>
      </c>
      <c r="T4933" s="29">
        <v>8.8800000000000008</v>
      </c>
    </row>
    <row r="4934" spans="19:21" x14ac:dyDescent="0.25">
      <c r="S4934" s="78">
        <v>32321</v>
      </c>
      <c r="T4934" s="29">
        <v>8.8800000000000008</v>
      </c>
    </row>
    <row r="4935" spans="19:21" x14ac:dyDescent="0.25">
      <c r="S4935" s="78">
        <v>32322</v>
      </c>
      <c r="T4935" s="29">
        <v>8.8800000000000008</v>
      </c>
    </row>
    <row r="4936" spans="19:21" x14ac:dyDescent="0.25">
      <c r="S4936" s="78">
        <v>32323</v>
      </c>
      <c r="T4936" s="29">
        <v>8.8800000000000008</v>
      </c>
      <c r="U4936" s="40"/>
    </row>
    <row r="4937" spans="19:21" x14ac:dyDescent="0.25">
      <c r="S4937" s="78">
        <v>32324</v>
      </c>
      <c r="T4937" s="29">
        <v>8.8800000000000008</v>
      </c>
      <c r="U4937" s="40">
        <f>AVERAGE(T4847:T4937)</f>
        <v>7.9789010989010958</v>
      </c>
    </row>
    <row r="4938" spans="19:21" x14ac:dyDescent="0.25">
      <c r="S4938" s="78">
        <v>32325</v>
      </c>
      <c r="T4938" s="29">
        <v>8.8800000000000008</v>
      </c>
    </row>
    <row r="4939" spans="19:21" x14ac:dyDescent="0.25">
      <c r="S4939" s="78">
        <v>32326</v>
      </c>
      <c r="T4939" s="29">
        <v>8.8800000000000008</v>
      </c>
    </row>
    <row r="4940" spans="19:21" x14ac:dyDescent="0.25">
      <c r="S4940" s="78">
        <v>32327</v>
      </c>
      <c r="T4940" s="29">
        <v>8.8800000000000008</v>
      </c>
    </row>
    <row r="4941" spans="19:21" x14ac:dyDescent="0.25">
      <c r="S4941" s="78">
        <v>32328</v>
      </c>
      <c r="T4941" s="29">
        <v>8.8800000000000008</v>
      </c>
    </row>
    <row r="4942" spans="19:21" x14ac:dyDescent="0.25">
      <c r="S4942" s="78">
        <v>32329</v>
      </c>
      <c r="T4942" s="29">
        <v>8.8800000000000008</v>
      </c>
    </row>
    <row r="4943" spans="19:21" x14ac:dyDescent="0.25">
      <c r="S4943" s="78">
        <v>32330</v>
      </c>
      <c r="T4943" s="29">
        <v>8.8800000000000008</v>
      </c>
    </row>
    <row r="4944" spans="19:21" x14ac:dyDescent="0.25">
      <c r="S4944" s="78">
        <v>32331</v>
      </c>
      <c r="T4944" s="29">
        <v>9.8800000000000008</v>
      </c>
    </row>
    <row r="4945" spans="19:20" x14ac:dyDescent="0.25">
      <c r="S4945" s="78">
        <v>32332</v>
      </c>
      <c r="T4945" s="29">
        <v>9.8800000000000008</v>
      </c>
    </row>
    <row r="4946" spans="19:20" x14ac:dyDescent="0.25">
      <c r="S4946" s="78">
        <v>32333</v>
      </c>
      <c r="T4946" s="29">
        <v>9.8800000000000008</v>
      </c>
    </row>
    <row r="4947" spans="19:20" x14ac:dyDescent="0.25">
      <c r="S4947" s="78">
        <v>32334</v>
      </c>
      <c r="T4947" s="29">
        <v>9.8800000000000008</v>
      </c>
    </row>
    <row r="4948" spans="19:20" x14ac:dyDescent="0.25">
      <c r="S4948" s="78">
        <v>32335</v>
      </c>
      <c r="T4948" s="29">
        <v>9.8800000000000008</v>
      </c>
    </row>
    <row r="4949" spans="19:20" x14ac:dyDescent="0.25">
      <c r="S4949" s="78">
        <v>32336</v>
      </c>
      <c r="T4949" s="29">
        <v>9.8800000000000008</v>
      </c>
    </row>
    <row r="4950" spans="19:20" x14ac:dyDescent="0.25">
      <c r="S4950" s="78">
        <v>32337</v>
      </c>
      <c r="T4950" s="29">
        <v>9.8800000000000008</v>
      </c>
    </row>
    <row r="4951" spans="19:20" x14ac:dyDescent="0.25">
      <c r="S4951" s="78">
        <v>32338</v>
      </c>
      <c r="T4951" s="29">
        <v>9.8800000000000008</v>
      </c>
    </row>
    <row r="4952" spans="19:20" x14ac:dyDescent="0.25">
      <c r="S4952" s="78">
        <v>32339</v>
      </c>
      <c r="T4952" s="29">
        <v>9.8800000000000008</v>
      </c>
    </row>
    <row r="4953" spans="19:20" x14ac:dyDescent="0.25">
      <c r="S4953" s="78">
        <v>32340</v>
      </c>
      <c r="T4953" s="29">
        <v>9.8800000000000008</v>
      </c>
    </row>
    <row r="4954" spans="19:20" x14ac:dyDescent="0.25">
      <c r="S4954" s="78">
        <v>32341</v>
      </c>
      <c r="T4954" s="29">
        <v>9.8800000000000008</v>
      </c>
    </row>
    <row r="4955" spans="19:20" x14ac:dyDescent="0.25">
      <c r="S4955" s="78">
        <v>32342</v>
      </c>
      <c r="T4955" s="29">
        <v>9.8800000000000008</v>
      </c>
    </row>
    <row r="4956" spans="19:20" x14ac:dyDescent="0.25">
      <c r="S4956" s="78">
        <v>32343</v>
      </c>
      <c r="T4956" s="29">
        <v>9.8800000000000008</v>
      </c>
    </row>
    <row r="4957" spans="19:20" x14ac:dyDescent="0.25">
      <c r="S4957" s="78">
        <v>32344</v>
      </c>
      <c r="T4957" s="29">
        <v>9.8800000000000008</v>
      </c>
    </row>
    <row r="4958" spans="19:20" x14ac:dyDescent="0.25">
      <c r="S4958" s="78">
        <v>32345</v>
      </c>
      <c r="T4958" s="29">
        <v>10.38</v>
      </c>
    </row>
    <row r="4959" spans="19:20" x14ac:dyDescent="0.25">
      <c r="S4959" s="78">
        <v>32346</v>
      </c>
      <c r="T4959" s="29">
        <v>10.38</v>
      </c>
    </row>
    <row r="4960" spans="19:20" x14ac:dyDescent="0.25">
      <c r="S4960" s="78">
        <v>32347</v>
      </c>
      <c r="T4960" s="29">
        <v>10.38</v>
      </c>
    </row>
    <row r="4961" spans="19:20" x14ac:dyDescent="0.25">
      <c r="S4961" s="78">
        <v>32348</v>
      </c>
      <c r="T4961" s="29">
        <v>10.38</v>
      </c>
    </row>
    <row r="4962" spans="19:20" x14ac:dyDescent="0.25">
      <c r="S4962" s="78">
        <v>32349</v>
      </c>
      <c r="T4962" s="29">
        <v>10.38</v>
      </c>
    </row>
    <row r="4963" spans="19:20" x14ac:dyDescent="0.25">
      <c r="S4963" s="78">
        <v>32350</v>
      </c>
      <c r="T4963" s="29">
        <v>10.38</v>
      </c>
    </row>
    <row r="4964" spans="19:20" x14ac:dyDescent="0.25">
      <c r="S4964" s="78">
        <v>32351</v>
      </c>
      <c r="T4964" s="29">
        <v>10.38</v>
      </c>
    </row>
    <row r="4965" spans="19:20" x14ac:dyDescent="0.25">
      <c r="S4965" s="78">
        <v>32352</v>
      </c>
      <c r="T4965" s="29">
        <v>10.38</v>
      </c>
    </row>
    <row r="4966" spans="19:20" x14ac:dyDescent="0.25">
      <c r="S4966" s="78">
        <v>32353</v>
      </c>
      <c r="T4966" s="29">
        <v>10.38</v>
      </c>
    </row>
    <row r="4967" spans="19:20" x14ac:dyDescent="0.25">
      <c r="S4967" s="78">
        <v>32354</v>
      </c>
      <c r="T4967" s="29">
        <v>10.38</v>
      </c>
    </row>
    <row r="4968" spans="19:20" x14ac:dyDescent="0.25">
      <c r="S4968" s="78">
        <v>32355</v>
      </c>
      <c r="T4968" s="29">
        <v>10.38</v>
      </c>
    </row>
    <row r="4969" spans="19:20" x14ac:dyDescent="0.25">
      <c r="S4969" s="78">
        <v>32356</v>
      </c>
      <c r="T4969" s="29">
        <v>10.38</v>
      </c>
    </row>
    <row r="4970" spans="19:20" x14ac:dyDescent="0.25">
      <c r="S4970" s="78">
        <v>32357</v>
      </c>
      <c r="T4970" s="29">
        <v>10.38</v>
      </c>
    </row>
    <row r="4971" spans="19:20" x14ac:dyDescent="0.25">
      <c r="S4971" s="78">
        <v>32358</v>
      </c>
      <c r="T4971" s="29">
        <v>10.38</v>
      </c>
    </row>
    <row r="4972" spans="19:20" x14ac:dyDescent="0.25">
      <c r="S4972" s="78">
        <v>32359</v>
      </c>
      <c r="T4972" s="29">
        <v>10.38</v>
      </c>
    </row>
    <row r="4973" spans="19:20" x14ac:dyDescent="0.25">
      <c r="S4973" s="78">
        <v>32360</v>
      </c>
      <c r="T4973" s="29">
        <v>10.38</v>
      </c>
    </row>
    <row r="4974" spans="19:20" x14ac:dyDescent="0.25">
      <c r="S4974" s="78">
        <v>32361</v>
      </c>
      <c r="T4974" s="29">
        <v>10.38</v>
      </c>
    </row>
    <row r="4975" spans="19:20" x14ac:dyDescent="0.25">
      <c r="S4975" s="78">
        <v>32362</v>
      </c>
      <c r="T4975" s="29">
        <v>10.38</v>
      </c>
    </row>
    <row r="4976" spans="19:20" x14ac:dyDescent="0.25">
      <c r="S4976" s="78">
        <v>32363</v>
      </c>
      <c r="T4976" s="29">
        <v>10.88</v>
      </c>
    </row>
    <row r="4977" spans="19:20" x14ac:dyDescent="0.25">
      <c r="S4977" s="78">
        <v>32364</v>
      </c>
      <c r="T4977" s="29">
        <v>10.88</v>
      </c>
    </row>
    <row r="4978" spans="19:20" x14ac:dyDescent="0.25">
      <c r="S4978" s="78">
        <v>32365</v>
      </c>
      <c r="T4978" s="29">
        <v>10.88</v>
      </c>
    </row>
    <row r="4979" spans="19:20" x14ac:dyDescent="0.25">
      <c r="S4979" s="78">
        <v>32366</v>
      </c>
      <c r="T4979" s="29">
        <v>10.88</v>
      </c>
    </row>
    <row r="4980" spans="19:20" x14ac:dyDescent="0.25">
      <c r="S4980" s="78">
        <v>32367</v>
      </c>
      <c r="T4980" s="29">
        <v>10.88</v>
      </c>
    </row>
    <row r="4981" spans="19:20" x14ac:dyDescent="0.25">
      <c r="S4981" s="78">
        <v>32368</v>
      </c>
      <c r="T4981" s="29">
        <v>10.88</v>
      </c>
    </row>
    <row r="4982" spans="19:20" x14ac:dyDescent="0.25">
      <c r="S4982" s="78">
        <v>32369</v>
      </c>
      <c r="T4982" s="29">
        <v>10.88</v>
      </c>
    </row>
    <row r="4983" spans="19:20" x14ac:dyDescent="0.25">
      <c r="S4983" s="78">
        <v>32370</v>
      </c>
      <c r="T4983" s="29">
        <v>10.88</v>
      </c>
    </row>
    <row r="4984" spans="19:20" x14ac:dyDescent="0.25">
      <c r="S4984" s="78">
        <v>32371</v>
      </c>
      <c r="T4984" s="29">
        <v>10.88</v>
      </c>
    </row>
    <row r="4985" spans="19:20" x14ac:dyDescent="0.25">
      <c r="S4985" s="78">
        <v>32372</v>
      </c>
      <c r="T4985" s="29">
        <v>10.88</v>
      </c>
    </row>
    <row r="4986" spans="19:20" x14ac:dyDescent="0.25">
      <c r="S4986" s="78">
        <v>32373</v>
      </c>
      <c r="T4986" s="29">
        <v>10.88</v>
      </c>
    </row>
    <row r="4987" spans="19:20" x14ac:dyDescent="0.25">
      <c r="S4987" s="78">
        <v>32374</v>
      </c>
      <c r="T4987" s="29">
        <v>10.88</v>
      </c>
    </row>
    <row r="4988" spans="19:20" x14ac:dyDescent="0.25">
      <c r="S4988" s="78">
        <v>32375</v>
      </c>
      <c r="T4988" s="29">
        <v>10.88</v>
      </c>
    </row>
    <row r="4989" spans="19:20" x14ac:dyDescent="0.25">
      <c r="S4989" s="78">
        <v>32376</v>
      </c>
      <c r="T4989" s="29">
        <v>10.88</v>
      </c>
    </row>
    <row r="4990" spans="19:20" x14ac:dyDescent="0.25">
      <c r="S4990" s="78">
        <v>32377</v>
      </c>
      <c r="T4990" s="29">
        <v>10.88</v>
      </c>
    </row>
    <row r="4991" spans="19:20" x14ac:dyDescent="0.25">
      <c r="S4991" s="78">
        <v>32378</v>
      </c>
      <c r="T4991" s="29">
        <v>10.88</v>
      </c>
    </row>
    <row r="4992" spans="19:20" x14ac:dyDescent="0.25">
      <c r="S4992" s="78">
        <v>32379</v>
      </c>
      <c r="T4992" s="29">
        <v>10.88</v>
      </c>
    </row>
    <row r="4993" spans="19:20" x14ac:dyDescent="0.25">
      <c r="S4993" s="78">
        <v>32380</v>
      </c>
      <c r="T4993" s="29">
        <v>11.88</v>
      </c>
    </row>
    <row r="4994" spans="19:20" x14ac:dyDescent="0.25">
      <c r="S4994" s="78">
        <v>32381</v>
      </c>
      <c r="T4994" s="29">
        <v>11.88</v>
      </c>
    </row>
    <row r="4995" spans="19:20" x14ac:dyDescent="0.25">
      <c r="S4995" s="78">
        <v>32382</v>
      </c>
      <c r="T4995" s="29">
        <v>11.88</v>
      </c>
    </row>
    <row r="4996" spans="19:20" x14ac:dyDescent="0.25">
      <c r="S4996" s="78">
        <v>32383</v>
      </c>
      <c r="T4996" s="29">
        <v>11.88</v>
      </c>
    </row>
    <row r="4997" spans="19:20" x14ac:dyDescent="0.25">
      <c r="S4997" s="78">
        <v>32384</v>
      </c>
      <c r="T4997" s="29">
        <v>11.88</v>
      </c>
    </row>
    <row r="4998" spans="19:20" x14ac:dyDescent="0.25">
      <c r="S4998" s="78">
        <v>32385</v>
      </c>
      <c r="T4998" s="29">
        <v>11.88</v>
      </c>
    </row>
    <row r="4999" spans="19:20" x14ac:dyDescent="0.25">
      <c r="S4999" s="78">
        <v>32386</v>
      </c>
      <c r="T4999" s="29">
        <v>11.88</v>
      </c>
    </row>
    <row r="5000" spans="19:20" x14ac:dyDescent="0.25">
      <c r="S5000" s="78">
        <v>32387</v>
      </c>
      <c r="T5000" s="29">
        <v>11.88</v>
      </c>
    </row>
    <row r="5001" spans="19:20" x14ac:dyDescent="0.25">
      <c r="S5001" s="78">
        <v>32388</v>
      </c>
      <c r="T5001" s="29">
        <v>11.88</v>
      </c>
    </row>
    <row r="5002" spans="19:20" x14ac:dyDescent="0.25">
      <c r="S5002" s="78">
        <v>32389</v>
      </c>
      <c r="T5002" s="29">
        <v>11.88</v>
      </c>
    </row>
    <row r="5003" spans="19:20" x14ac:dyDescent="0.25">
      <c r="S5003" s="78">
        <v>32390</v>
      </c>
      <c r="T5003" s="29">
        <v>11.88</v>
      </c>
    </row>
    <row r="5004" spans="19:20" x14ac:dyDescent="0.25">
      <c r="S5004" s="78">
        <v>32391</v>
      </c>
      <c r="T5004" s="29">
        <v>11.88</v>
      </c>
    </row>
    <row r="5005" spans="19:20" x14ac:dyDescent="0.25">
      <c r="S5005" s="78">
        <v>32392</v>
      </c>
      <c r="T5005" s="29">
        <v>11.88</v>
      </c>
    </row>
    <row r="5006" spans="19:20" x14ac:dyDescent="0.25">
      <c r="S5006" s="78">
        <v>32393</v>
      </c>
      <c r="T5006" s="29">
        <v>11.88</v>
      </c>
    </row>
    <row r="5007" spans="19:20" x14ac:dyDescent="0.25">
      <c r="S5007" s="78">
        <v>32394</v>
      </c>
      <c r="T5007" s="29">
        <v>11.88</v>
      </c>
    </row>
    <row r="5008" spans="19:20" x14ac:dyDescent="0.25">
      <c r="S5008" s="78">
        <v>32395</v>
      </c>
      <c r="T5008" s="29">
        <v>11.88</v>
      </c>
    </row>
    <row r="5009" spans="19:20" x14ac:dyDescent="0.25">
      <c r="S5009" s="78">
        <v>32396</v>
      </c>
      <c r="T5009" s="29">
        <v>11.88</v>
      </c>
    </row>
    <row r="5010" spans="19:20" x14ac:dyDescent="0.25">
      <c r="S5010" s="78">
        <v>32397</v>
      </c>
      <c r="T5010" s="29">
        <v>11.88</v>
      </c>
    </row>
    <row r="5011" spans="19:20" x14ac:dyDescent="0.25">
      <c r="S5011" s="78">
        <v>32398</v>
      </c>
      <c r="T5011" s="29">
        <v>11.88</v>
      </c>
    </row>
    <row r="5012" spans="19:20" x14ac:dyDescent="0.25">
      <c r="S5012" s="78">
        <v>32399</v>
      </c>
      <c r="T5012" s="29">
        <v>11.88</v>
      </c>
    </row>
    <row r="5013" spans="19:20" x14ac:dyDescent="0.25">
      <c r="S5013" s="78">
        <v>32400</v>
      </c>
      <c r="T5013" s="29">
        <v>11.88</v>
      </c>
    </row>
    <row r="5014" spans="19:20" x14ac:dyDescent="0.25">
      <c r="S5014" s="78">
        <v>32401</v>
      </c>
      <c r="T5014" s="29">
        <v>11.88</v>
      </c>
    </row>
    <row r="5015" spans="19:20" x14ac:dyDescent="0.25">
      <c r="S5015" s="78">
        <v>32402</v>
      </c>
      <c r="T5015" s="29">
        <v>11.88</v>
      </c>
    </row>
    <row r="5016" spans="19:20" x14ac:dyDescent="0.25">
      <c r="S5016" s="78">
        <v>32403</v>
      </c>
      <c r="T5016" s="29">
        <v>11.88</v>
      </c>
    </row>
    <row r="5017" spans="19:20" x14ac:dyDescent="0.25">
      <c r="S5017" s="78">
        <v>32404</v>
      </c>
      <c r="T5017" s="29">
        <v>11.88</v>
      </c>
    </row>
    <row r="5018" spans="19:20" x14ac:dyDescent="0.25">
      <c r="S5018" s="78">
        <v>32405</v>
      </c>
      <c r="T5018" s="29">
        <v>11.88</v>
      </c>
    </row>
    <row r="5019" spans="19:20" x14ac:dyDescent="0.25">
      <c r="S5019" s="78">
        <v>32406</v>
      </c>
      <c r="T5019" s="29">
        <v>11.88</v>
      </c>
    </row>
    <row r="5020" spans="19:20" x14ac:dyDescent="0.25">
      <c r="S5020" s="78">
        <v>32407</v>
      </c>
      <c r="T5020" s="29">
        <v>11.88</v>
      </c>
    </row>
    <row r="5021" spans="19:20" x14ac:dyDescent="0.25">
      <c r="S5021" s="78">
        <v>32408</v>
      </c>
      <c r="T5021" s="29">
        <v>11.88</v>
      </c>
    </row>
    <row r="5022" spans="19:20" x14ac:dyDescent="0.25">
      <c r="S5022" s="78">
        <v>32409</v>
      </c>
      <c r="T5022" s="29">
        <v>11.88</v>
      </c>
    </row>
    <row r="5023" spans="19:20" x14ac:dyDescent="0.25">
      <c r="S5023" s="78">
        <v>32410</v>
      </c>
      <c r="T5023" s="29">
        <v>11.88</v>
      </c>
    </row>
    <row r="5024" spans="19:20" x14ac:dyDescent="0.25">
      <c r="S5024" s="78">
        <v>32411</v>
      </c>
      <c r="T5024" s="29">
        <v>11.88</v>
      </c>
    </row>
    <row r="5025" spans="19:21" x14ac:dyDescent="0.25">
      <c r="S5025" s="78">
        <v>32412</v>
      </c>
      <c r="T5025" s="29">
        <v>11.88</v>
      </c>
    </row>
    <row r="5026" spans="19:21" x14ac:dyDescent="0.25">
      <c r="S5026" s="78">
        <v>32413</v>
      </c>
      <c r="T5026" s="29">
        <v>11.88</v>
      </c>
    </row>
    <row r="5027" spans="19:21" x14ac:dyDescent="0.25">
      <c r="S5027" s="78">
        <v>32414</v>
      </c>
      <c r="T5027" s="29">
        <v>11.88</v>
      </c>
    </row>
    <row r="5028" spans="19:21" x14ac:dyDescent="0.25">
      <c r="S5028" s="78">
        <v>32415</v>
      </c>
      <c r="T5028" s="29">
        <v>11.88</v>
      </c>
      <c r="U5028" s="40"/>
    </row>
    <row r="5029" spans="19:21" x14ac:dyDescent="0.25">
      <c r="S5029" s="78">
        <v>32416</v>
      </c>
      <c r="T5029" s="29">
        <v>11.88</v>
      </c>
      <c r="U5029" s="40">
        <f>AVERAGE(T4938:T5029)</f>
        <v>10.901739130434779</v>
      </c>
    </row>
    <row r="5030" spans="19:21" x14ac:dyDescent="0.25">
      <c r="S5030" s="78">
        <v>32417</v>
      </c>
      <c r="T5030" s="29">
        <v>11.88</v>
      </c>
    </row>
    <row r="5031" spans="19:21" x14ac:dyDescent="0.25">
      <c r="S5031" s="78">
        <v>32418</v>
      </c>
      <c r="T5031" s="29">
        <v>11.88</v>
      </c>
    </row>
    <row r="5032" spans="19:21" x14ac:dyDescent="0.25">
      <c r="S5032" s="78">
        <v>32419</v>
      </c>
      <c r="T5032" s="29">
        <v>11.88</v>
      </c>
    </row>
    <row r="5033" spans="19:21" x14ac:dyDescent="0.25">
      <c r="S5033" s="78">
        <v>32420</v>
      </c>
      <c r="T5033" s="29">
        <v>11.88</v>
      </c>
    </row>
    <row r="5034" spans="19:21" x14ac:dyDescent="0.25">
      <c r="S5034" s="78">
        <v>32421</v>
      </c>
      <c r="T5034" s="29">
        <v>11.88</v>
      </c>
    </row>
    <row r="5035" spans="19:21" x14ac:dyDescent="0.25">
      <c r="S5035" s="78">
        <v>32422</v>
      </c>
      <c r="T5035" s="29">
        <v>11.88</v>
      </c>
    </row>
    <row r="5036" spans="19:21" x14ac:dyDescent="0.25">
      <c r="S5036" s="78">
        <v>32423</v>
      </c>
      <c r="T5036" s="29">
        <v>11.88</v>
      </c>
    </row>
    <row r="5037" spans="19:21" x14ac:dyDescent="0.25">
      <c r="S5037" s="78">
        <v>32424</v>
      </c>
      <c r="T5037" s="29">
        <v>11.88</v>
      </c>
    </row>
    <row r="5038" spans="19:21" x14ac:dyDescent="0.25">
      <c r="S5038" s="78">
        <v>32425</v>
      </c>
      <c r="T5038" s="29">
        <v>11.88</v>
      </c>
    </row>
    <row r="5039" spans="19:21" x14ac:dyDescent="0.25">
      <c r="S5039" s="78">
        <v>32426</v>
      </c>
      <c r="T5039" s="29">
        <v>11.88</v>
      </c>
    </row>
    <row r="5040" spans="19:21" x14ac:dyDescent="0.25">
      <c r="S5040" s="78">
        <v>32427</v>
      </c>
      <c r="T5040" s="29">
        <v>11.88</v>
      </c>
    </row>
    <row r="5041" spans="19:20" x14ac:dyDescent="0.25">
      <c r="S5041" s="78">
        <v>32428</v>
      </c>
      <c r="T5041" s="29">
        <v>11.88</v>
      </c>
    </row>
    <row r="5042" spans="19:20" x14ac:dyDescent="0.25">
      <c r="S5042" s="78">
        <v>32429</v>
      </c>
      <c r="T5042" s="29">
        <v>11.88</v>
      </c>
    </row>
    <row r="5043" spans="19:20" x14ac:dyDescent="0.25">
      <c r="S5043" s="78">
        <v>32430</v>
      </c>
      <c r="T5043" s="29">
        <v>11.88</v>
      </c>
    </row>
    <row r="5044" spans="19:20" x14ac:dyDescent="0.25">
      <c r="S5044" s="78">
        <v>32431</v>
      </c>
      <c r="T5044" s="29">
        <v>11.88</v>
      </c>
    </row>
    <row r="5045" spans="19:20" x14ac:dyDescent="0.25">
      <c r="S5045" s="78">
        <v>32432</v>
      </c>
      <c r="T5045" s="29">
        <v>11.88</v>
      </c>
    </row>
    <row r="5046" spans="19:20" x14ac:dyDescent="0.25">
      <c r="S5046" s="78">
        <v>32433</v>
      </c>
      <c r="T5046" s="29">
        <v>11.88</v>
      </c>
    </row>
    <row r="5047" spans="19:20" x14ac:dyDescent="0.25">
      <c r="S5047" s="78">
        <v>32434</v>
      </c>
      <c r="T5047" s="29">
        <v>11.88</v>
      </c>
    </row>
    <row r="5048" spans="19:20" x14ac:dyDescent="0.25">
      <c r="S5048" s="78">
        <v>32435</v>
      </c>
      <c r="T5048" s="29">
        <v>11.88</v>
      </c>
    </row>
    <row r="5049" spans="19:20" x14ac:dyDescent="0.25">
      <c r="S5049" s="78">
        <v>32436</v>
      </c>
      <c r="T5049" s="29">
        <v>11.88</v>
      </c>
    </row>
    <row r="5050" spans="19:20" x14ac:dyDescent="0.25">
      <c r="S5050" s="78">
        <v>32437</v>
      </c>
      <c r="T5050" s="29">
        <v>11.88</v>
      </c>
    </row>
    <row r="5051" spans="19:20" x14ac:dyDescent="0.25">
      <c r="S5051" s="78">
        <v>32438</v>
      </c>
      <c r="T5051" s="29">
        <v>11.88</v>
      </c>
    </row>
    <row r="5052" spans="19:20" x14ac:dyDescent="0.25">
      <c r="S5052" s="78">
        <v>32439</v>
      </c>
      <c r="T5052" s="29">
        <v>11.88</v>
      </c>
    </row>
    <row r="5053" spans="19:20" x14ac:dyDescent="0.25">
      <c r="S5053" s="78">
        <v>32440</v>
      </c>
      <c r="T5053" s="29">
        <v>11.88</v>
      </c>
    </row>
    <row r="5054" spans="19:20" x14ac:dyDescent="0.25">
      <c r="S5054" s="78">
        <v>32441</v>
      </c>
      <c r="T5054" s="29">
        <v>11.88</v>
      </c>
    </row>
    <row r="5055" spans="19:20" x14ac:dyDescent="0.25">
      <c r="S5055" s="78">
        <v>32442</v>
      </c>
      <c r="T5055" s="29">
        <v>11.88</v>
      </c>
    </row>
    <row r="5056" spans="19:20" x14ac:dyDescent="0.25">
      <c r="S5056" s="78">
        <v>32443</v>
      </c>
      <c r="T5056" s="29">
        <v>11.88</v>
      </c>
    </row>
    <row r="5057" spans="19:20" x14ac:dyDescent="0.25">
      <c r="S5057" s="78">
        <v>32444</v>
      </c>
      <c r="T5057" s="29">
        <v>11.88</v>
      </c>
    </row>
    <row r="5058" spans="19:20" x14ac:dyDescent="0.25">
      <c r="S5058" s="78">
        <v>32445</v>
      </c>
      <c r="T5058" s="29">
        <v>11.88</v>
      </c>
    </row>
    <row r="5059" spans="19:20" x14ac:dyDescent="0.25">
      <c r="S5059" s="78">
        <v>32446</v>
      </c>
      <c r="T5059" s="29">
        <v>11.88</v>
      </c>
    </row>
    <row r="5060" spans="19:20" x14ac:dyDescent="0.25">
      <c r="S5060" s="78">
        <v>32447</v>
      </c>
      <c r="T5060" s="29">
        <v>11.88</v>
      </c>
    </row>
    <row r="5061" spans="19:20" x14ac:dyDescent="0.25">
      <c r="S5061" s="78">
        <v>32448</v>
      </c>
      <c r="T5061" s="29">
        <v>11.88</v>
      </c>
    </row>
    <row r="5062" spans="19:20" x14ac:dyDescent="0.25">
      <c r="S5062" s="78">
        <v>32449</v>
      </c>
      <c r="T5062" s="29">
        <v>11.88</v>
      </c>
    </row>
    <row r="5063" spans="19:20" x14ac:dyDescent="0.25">
      <c r="S5063" s="78">
        <v>32450</v>
      </c>
      <c r="T5063" s="29">
        <v>11.88</v>
      </c>
    </row>
    <row r="5064" spans="19:20" x14ac:dyDescent="0.25">
      <c r="S5064" s="78">
        <v>32451</v>
      </c>
      <c r="T5064" s="29">
        <v>11.88</v>
      </c>
    </row>
    <row r="5065" spans="19:20" x14ac:dyDescent="0.25">
      <c r="S5065" s="78">
        <v>32452</v>
      </c>
      <c r="T5065" s="29">
        <v>11.88</v>
      </c>
    </row>
    <row r="5066" spans="19:20" x14ac:dyDescent="0.25">
      <c r="S5066" s="78">
        <v>32453</v>
      </c>
      <c r="T5066" s="29">
        <v>11.88</v>
      </c>
    </row>
    <row r="5067" spans="19:20" x14ac:dyDescent="0.25">
      <c r="S5067" s="78">
        <v>32454</v>
      </c>
      <c r="T5067" s="29">
        <v>11.88</v>
      </c>
    </row>
    <row r="5068" spans="19:20" x14ac:dyDescent="0.25">
      <c r="S5068" s="78">
        <v>32455</v>
      </c>
      <c r="T5068" s="29">
        <v>11.88</v>
      </c>
    </row>
    <row r="5069" spans="19:20" x14ac:dyDescent="0.25">
      <c r="S5069" s="78">
        <v>32456</v>
      </c>
      <c r="T5069" s="29">
        <v>11.88</v>
      </c>
    </row>
    <row r="5070" spans="19:20" x14ac:dyDescent="0.25">
      <c r="S5070" s="78">
        <v>32457</v>
      </c>
      <c r="T5070" s="29">
        <v>11.88</v>
      </c>
    </row>
    <row r="5071" spans="19:20" x14ac:dyDescent="0.25">
      <c r="S5071" s="78">
        <v>32458</v>
      </c>
      <c r="T5071" s="29">
        <v>11.88</v>
      </c>
    </row>
    <row r="5072" spans="19:20" x14ac:dyDescent="0.25">
      <c r="S5072" s="78">
        <v>32459</v>
      </c>
      <c r="T5072" s="29">
        <v>11.88</v>
      </c>
    </row>
    <row r="5073" spans="19:20" x14ac:dyDescent="0.25">
      <c r="S5073" s="78">
        <v>32460</v>
      </c>
      <c r="T5073" s="29">
        <v>11.88</v>
      </c>
    </row>
    <row r="5074" spans="19:20" x14ac:dyDescent="0.25">
      <c r="S5074" s="78">
        <v>32461</v>
      </c>
      <c r="T5074" s="29">
        <v>11.88</v>
      </c>
    </row>
    <row r="5075" spans="19:20" x14ac:dyDescent="0.25">
      <c r="S5075" s="78">
        <v>32462</v>
      </c>
      <c r="T5075" s="29">
        <v>11.88</v>
      </c>
    </row>
    <row r="5076" spans="19:20" x14ac:dyDescent="0.25">
      <c r="S5076" s="78">
        <v>32463</v>
      </c>
      <c r="T5076" s="29">
        <v>11.88</v>
      </c>
    </row>
    <row r="5077" spans="19:20" x14ac:dyDescent="0.25">
      <c r="S5077" s="78">
        <v>32464</v>
      </c>
      <c r="T5077" s="29">
        <v>11.88</v>
      </c>
    </row>
    <row r="5078" spans="19:20" x14ac:dyDescent="0.25">
      <c r="S5078" s="78">
        <v>32465</v>
      </c>
      <c r="T5078" s="29">
        <v>11.88</v>
      </c>
    </row>
    <row r="5079" spans="19:20" x14ac:dyDescent="0.25">
      <c r="S5079" s="78">
        <v>32466</v>
      </c>
      <c r="T5079" s="29">
        <v>11.88</v>
      </c>
    </row>
    <row r="5080" spans="19:20" x14ac:dyDescent="0.25">
      <c r="S5080" s="78">
        <v>32467</v>
      </c>
      <c r="T5080" s="29">
        <v>11.88</v>
      </c>
    </row>
    <row r="5081" spans="19:20" x14ac:dyDescent="0.25">
      <c r="S5081" s="78">
        <v>32468</v>
      </c>
      <c r="T5081" s="29">
        <v>11.88</v>
      </c>
    </row>
    <row r="5082" spans="19:20" x14ac:dyDescent="0.25">
      <c r="S5082" s="78">
        <v>32469</v>
      </c>
      <c r="T5082" s="29">
        <v>11.88</v>
      </c>
    </row>
    <row r="5083" spans="19:20" x14ac:dyDescent="0.25">
      <c r="S5083" s="78">
        <v>32470</v>
      </c>
      <c r="T5083" s="29">
        <v>11.88</v>
      </c>
    </row>
    <row r="5084" spans="19:20" x14ac:dyDescent="0.25">
      <c r="S5084" s="78">
        <v>32471</v>
      </c>
      <c r="T5084" s="29">
        <v>11.88</v>
      </c>
    </row>
    <row r="5085" spans="19:20" x14ac:dyDescent="0.25">
      <c r="S5085" s="78">
        <v>32472</v>
      </c>
      <c r="T5085" s="29">
        <v>12.88</v>
      </c>
    </row>
    <row r="5086" spans="19:20" x14ac:dyDescent="0.25">
      <c r="S5086" s="78">
        <v>32473</v>
      </c>
      <c r="T5086" s="29">
        <v>12.88</v>
      </c>
    </row>
    <row r="5087" spans="19:20" x14ac:dyDescent="0.25">
      <c r="S5087" s="78">
        <v>32474</v>
      </c>
      <c r="T5087" s="29">
        <v>12.88</v>
      </c>
    </row>
    <row r="5088" spans="19:20" x14ac:dyDescent="0.25">
      <c r="S5088" s="78">
        <v>32475</v>
      </c>
      <c r="T5088" s="29">
        <v>12.88</v>
      </c>
    </row>
    <row r="5089" spans="19:20" x14ac:dyDescent="0.25">
      <c r="S5089" s="78">
        <v>32476</v>
      </c>
      <c r="T5089" s="29">
        <v>12.88</v>
      </c>
    </row>
    <row r="5090" spans="19:20" x14ac:dyDescent="0.25">
      <c r="S5090" s="78">
        <v>32477</v>
      </c>
      <c r="T5090" s="29">
        <v>12.88</v>
      </c>
    </row>
    <row r="5091" spans="19:20" x14ac:dyDescent="0.25">
      <c r="S5091" s="78">
        <v>32478</v>
      </c>
      <c r="T5091" s="29">
        <v>12.88</v>
      </c>
    </row>
    <row r="5092" spans="19:20" x14ac:dyDescent="0.25">
      <c r="S5092" s="78">
        <v>32479</v>
      </c>
      <c r="T5092" s="29">
        <v>12.88</v>
      </c>
    </row>
    <row r="5093" spans="19:20" x14ac:dyDescent="0.25">
      <c r="S5093" s="78">
        <v>32480</v>
      </c>
      <c r="T5093" s="29">
        <v>12.88</v>
      </c>
    </row>
    <row r="5094" spans="19:20" x14ac:dyDescent="0.25">
      <c r="S5094" s="78">
        <v>32481</v>
      </c>
      <c r="T5094" s="29">
        <v>12.88</v>
      </c>
    </row>
    <row r="5095" spans="19:20" x14ac:dyDescent="0.25">
      <c r="S5095" s="78">
        <v>32482</v>
      </c>
      <c r="T5095" s="29">
        <v>12.88</v>
      </c>
    </row>
    <row r="5096" spans="19:20" x14ac:dyDescent="0.25">
      <c r="S5096" s="78">
        <v>32483</v>
      </c>
      <c r="T5096" s="29">
        <v>12.88</v>
      </c>
    </row>
    <row r="5097" spans="19:20" x14ac:dyDescent="0.25">
      <c r="S5097" s="78">
        <v>32484</v>
      </c>
      <c r="T5097" s="29">
        <v>12.88</v>
      </c>
    </row>
    <row r="5098" spans="19:20" x14ac:dyDescent="0.25">
      <c r="S5098" s="78">
        <v>32485</v>
      </c>
      <c r="T5098" s="29">
        <v>12.88</v>
      </c>
    </row>
    <row r="5099" spans="19:20" x14ac:dyDescent="0.25">
      <c r="S5099" s="78">
        <v>32486</v>
      </c>
      <c r="T5099" s="29">
        <v>12.88</v>
      </c>
    </row>
    <row r="5100" spans="19:20" x14ac:dyDescent="0.25">
      <c r="S5100" s="78">
        <v>32487</v>
      </c>
      <c r="T5100" s="29">
        <v>12.88</v>
      </c>
    </row>
    <row r="5101" spans="19:20" x14ac:dyDescent="0.25">
      <c r="S5101" s="78">
        <v>32488</v>
      </c>
      <c r="T5101" s="29">
        <v>12.88</v>
      </c>
    </row>
    <row r="5102" spans="19:20" x14ac:dyDescent="0.25">
      <c r="S5102" s="78">
        <v>32489</v>
      </c>
      <c r="T5102" s="29">
        <v>12.88</v>
      </c>
    </row>
    <row r="5103" spans="19:20" x14ac:dyDescent="0.25">
      <c r="S5103" s="78">
        <v>32490</v>
      </c>
      <c r="T5103" s="29">
        <v>12.88</v>
      </c>
    </row>
    <row r="5104" spans="19:20" x14ac:dyDescent="0.25">
      <c r="S5104" s="78">
        <v>32491</v>
      </c>
      <c r="T5104" s="29">
        <v>12.88</v>
      </c>
    </row>
    <row r="5105" spans="19:21" x14ac:dyDescent="0.25">
      <c r="S5105" s="78">
        <v>32492</v>
      </c>
      <c r="T5105" s="29">
        <v>12.88</v>
      </c>
    </row>
    <row r="5106" spans="19:21" x14ac:dyDescent="0.25">
      <c r="S5106" s="78">
        <v>32493</v>
      </c>
      <c r="T5106" s="29">
        <v>12.88</v>
      </c>
    </row>
    <row r="5107" spans="19:21" x14ac:dyDescent="0.25">
      <c r="S5107" s="78">
        <v>32494</v>
      </c>
      <c r="T5107" s="29">
        <v>12.88</v>
      </c>
    </row>
    <row r="5108" spans="19:21" x14ac:dyDescent="0.25">
      <c r="S5108" s="78">
        <v>32495</v>
      </c>
      <c r="T5108" s="29">
        <v>12.88</v>
      </c>
    </row>
    <row r="5109" spans="19:21" x14ac:dyDescent="0.25">
      <c r="S5109" s="78">
        <v>32496</v>
      </c>
      <c r="T5109" s="29">
        <v>12.88</v>
      </c>
    </row>
    <row r="5110" spans="19:21" x14ac:dyDescent="0.25">
      <c r="S5110" s="78">
        <v>32497</v>
      </c>
      <c r="T5110" s="29">
        <v>12.88</v>
      </c>
    </row>
    <row r="5111" spans="19:21" x14ac:dyDescent="0.25">
      <c r="S5111" s="78">
        <v>32498</v>
      </c>
      <c r="T5111" s="29">
        <v>12.88</v>
      </c>
    </row>
    <row r="5112" spans="19:21" x14ac:dyDescent="0.25">
      <c r="S5112" s="78">
        <v>32499</v>
      </c>
      <c r="T5112" s="29">
        <v>12.88</v>
      </c>
    </row>
    <row r="5113" spans="19:21" x14ac:dyDescent="0.25">
      <c r="S5113" s="78">
        <v>32500</v>
      </c>
      <c r="T5113" s="29">
        <v>12.88</v>
      </c>
    </row>
    <row r="5114" spans="19:21" x14ac:dyDescent="0.25">
      <c r="S5114" s="78">
        <v>32501</v>
      </c>
      <c r="T5114" s="29">
        <v>12.88</v>
      </c>
    </row>
    <row r="5115" spans="19:21" x14ac:dyDescent="0.25">
      <c r="S5115" s="78">
        <v>32502</v>
      </c>
      <c r="T5115" s="29">
        <v>12.88</v>
      </c>
    </row>
    <row r="5116" spans="19:21" x14ac:dyDescent="0.25">
      <c r="S5116" s="78">
        <v>32503</v>
      </c>
      <c r="T5116" s="29">
        <v>12.88</v>
      </c>
    </row>
    <row r="5117" spans="19:21" x14ac:dyDescent="0.25">
      <c r="S5117" s="78">
        <v>32504</v>
      </c>
      <c r="T5117" s="29">
        <v>12.88</v>
      </c>
    </row>
    <row r="5118" spans="19:21" x14ac:dyDescent="0.25">
      <c r="S5118" s="78">
        <v>32505</v>
      </c>
      <c r="T5118" s="29">
        <v>12.88</v>
      </c>
    </row>
    <row r="5119" spans="19:21" x14ac:dyDescent="0.25">
      <c r="S5119" s="78">
        <v>32506</v>
      </c>
      <c r="T5119" s="29">
        <v>12.88</v>
      </c>
    </row>
    <row r="5120" spans="19:21" x14ac:dyDescent="0.25">
      <c r="S5120" s="78">
        <v>32507</v>
      </c>
      <c r="T5120" s="29">
        <v>12.88</v>
      </c>
      <c r="U5120" s="40"/>
    </row>
    <row r="5121" spans="19:21" x14ac:dyDescent="0.25">
      <c r="S5121" s="78">
        <v>32508</v>
      </c>
      <c r="T5121" s="29">
        <v>12.88</v>
      </c>
      <c r="U5121" s="40">
        <f>AVERAGE(T5030:T5121)</f>
        <v>12.282173913043486</v>
      </c>
    </row>
    <row r="5122" spans="19:21" x14ac:dyDescent="0.25">
      <c r="S5122" s="78">
        <v>32509</v>
      </c>
      <c r="T5122" s="29">
        <v>12.88</v>
      </c>
    </row>
    <row r="5123" spans="19:21" x14ac:dyDescent="0.25">
      <c r="S5123" s="78">
        <v>32510</v>
      </c>
      <c r="T5123" s="29">
        <v>12.88</v>
      </c>
    </row>
    <row r="5124" spans="19:21" x14ac:dyDescent="0.25">
      <c r="S5124" s="78">
        <v>32511</v>
      </c>
      <c r="T5124" s="29">
        <v>12.88</v>
      </c>
    </row>
    <row r="5125" spans="19:21" x14ac:dyDescent="0.25">
      <c r="S5125" s="78">
        <v>32512</v>
      </c>
      <c r="T5125" s="29">
        <v>12.88</v>
      </c>
    </row>
    <row r="5126" spans="19:21" x14ac:dyDescent="0.25">
      <c r="S5126" s="78">
        <v>32513</v>
      </c>
      <c r="T5126" s="29">
        <v>12.88</v>
      </c>
    </row>
    <row r="5127" spans="19:21" x14ac:dyDescent="0.25">
      <c r="S5127" s="78">
        <v>32514</v>
      </c>
      <c r="T5127" s="29">
        <v>12.88</v>
      </c>
    </row>
    <row r="5128" spans="19:21" x14ac:dyDescent="0.25">
      <c r="S5128" s="78">
        <v>32515</v>
      </c>
      <c r="T5128" s="29">
        <v>12.88</v>
      </c>
    </row>
    <row r="5129" spans="19:21" x14ac:dyDescent="0.25">
      <c r="S5129" s="78">
        <v>32516</v>
      </c>
      <c r="T5129" s="29">
        <v>12.88</v>
      </c>
    </row>
    <row r="5130" spans="19:21" x14ac:dyDescent="0.25">
      <c r="S5130" s="78">
        <v>32517</v>
      </c>
      <c r="T5130" s="29">
        <v>12.88</v>
      </c>
    </row>
    <row r="5131" spans="19:21" x14ac:dyDescent="0.25">
      <c r="S5131" s="78">
        <v>32518</v>
      </c>
      <c r="T5131" s="29">
        <v>12.88</v>
      </c>
    </row>
    <row r="5132" spans="19:21" x14ac:dyDescent="0.25">
      <c r="S5132" s="78">
        <v>32519</v>
      </c>
      <c r="T5132" s="29">
        <v>12.88</v>
      </c>
    </row>
    <row r="5133" spans="19:21" x14ac:dyDescent="0.25">
      <c r="S5133" s="78">
        <v>32520</v>
      </c>
      <c r="T5133" s="29">
        <v>12.88</v>
      </c>
    </row>
    <row r="5134" spans="19:21" x14ac:dyDescent="0.25">
      <c r="S5134" s="78">
        <v>32521</v>
      </c>
      <c r="T5134" s="29">
        <v>12.88</v>
      </c>
    </row>
    <row r="5135" spans="19:21" x14ac:dyDescent="0.25">
      <c r="S5135" s="78">
        <v>32522</v>
      </c>
      <c r="T5135" s="29">
        <v>12.88</v>
      </c>
    </row>
    <row r="5136" spans="19:21" x14ac:dyDescent="0.25">
      <c r="S5136" s="78">
        <v>32523</v>
      </c>
      <c r="T5136" s="29">
        <v>12.88</v>
      </c>
    </row>
    <row r="5137" spans="19:20" x14ac:dyDescent="0.25">
      <c r="S5137" s="78">
        <v>32524</v>
      </c>
      <c r="T5137" s="29">
        <v>12.88</v>
      </c>
    </row>
    <row r="5138" spans="19:20" x14ac:dyDescent="0.25">
      <c r="S5138" s="78">
        <v>32525</v>
      </c>
      <c r="T5138" s="29">
        <v>12.88</v>
      </c>
    </row>
    <row r="5139" spans="19:20" x14ac:dyDescent="0.25">
      <c r="S5139" s="78">
        <v>32526</v>
      </c>
      <c r="T5139" s="29">
        <v>12.88</v>
      </c>
    </row>
    <row r="5140" spans="19:20" x14ac:dyDescent="0.25">
      <c r="S5140" s="78">
        <v>32527</v>
      </c>
      <c r="T5140" s="29">
        <v>12.88</v>
      </c>
    </row>
    <row r="5141" spans="19:20" x14ac:dyDescent="0.25">
      <c r="S5141" s="78">
        <v>32528</v>
      </c>
      <c r="T5141" s="29">
        <v>12.88</v>
      </c>
    </row>
    <row r="5142" spans="19:20" x14ac:dyDescent="0.25">
      <c r="S5142" s="78">
        <v>32529</v>
      </c>
      <c r="T5142" s="29">
        <v>12.88</v>
      </c>
    </row>
    <row r="5143" spans="19:20" x14ac:dyDescent="0.25">
      <c r="S5143" s="78">
        <v>32530</v>
      </c>
      <c r="T5143" s="29">
        <v>12.88</v>
      </c>
    </row>
    <row r="5144" spans="19:20" x14ac:dyDescent="0.25">
      <c r="S5144" s="78">
        <v>32531</v>
      </c>
      <c r="T5144" s="29">
        <v>12.88</v>
      </c>
    </row>
    <row r="5145" spans="19:20" x14ac:dyDescent="0.25">
      <c r="S5145" s="78">
        <v>32532</v>
      </c>
      <c r="T5145" s="29">
        <v>12.88</v>
      </c>
    </row>
    <row r="5146" spans="19:20" x14ac:dyDescent="0.25">
      <c r="S5146" s="78">
        <v>32533</v>
      </c>
      <c r="T5146" s="29">
        <v>12.88</v>
      </c>
    </row>
    <row r="5147" spans="19:20" x14ac:dyDescent="0.25">
      <c r="S5147" s="78">
        <v>32534</v>
      </c>
      <c r="T5147" s="29">
        <v>12.88</v>
      </c>
    </row>
    <row r="5148" spans="19:20" x14ac:dyDescent="0.25">
      <c r="S5148" s="78">
        <v>32535</v>
      </c>
      <c r="T5148" s="29">
        <v>12.88</v>
      </c>
    </row>
    <row r="5149" spans="19:20" x14ac:dyDescent="0.25">
      <c r="S5149" s="78">
        <v>32536</v>
      </c>
      <c r="T5149" s="29">
        <v>12.88</v>
      </c>
    </row>
    <row r="5150" spans="19:20" x14ac:dyDescent="0.25">
      <c r="S5150" s="78">
        <v>32537</v>
      </c>
      <c r="T5150" s="29">
        <v>12.88</v>
      </c>
    </row>
    <row r="5151" spans="19:20" x14ac:dyDescent="0.25">
      <c r="S5151" s="78">
        <v>32538</v>
      </c>
      <c r="T5151" s="29">
        <v>12.88</v>
      </c>
    </row>
    <row r="5152" spans="19:20" x14ac:dyDescent="0.25">
      <c r="S5152" s="78">
        <v>32539</v>
      </c>
      <c r="T5152" s="29">
        <v>12.88</v>
      </c>
    </row>
    <row r="5153" spans="19:20" x14ac:dyDescent="0.25">
      <c r="S5153" s="78">
        <v>32540</v>
      </c>
      <c r="T5153" s="29">
        <v>12.88</v>
      </c>
    </row>
    <row r="5154" spans="19:20" x14ac:dyDescent="0.25">
      <c r="S5154" s="78">
        <v>32541</v>
      </c>
      <c r="T5154" s="29">
        <v>12.88</v>
      </c>
    </row>
    <row r="5155" spans="19:20" x14ac:dyDescent="0.25">
      <c r="S5155" s="78">
        <v>32542</v>
      </c>
      <c r="T5155" s="29">
        <v>12.88</v>
      </c>
    </row>
    <row r="5156" spans="19:20" x14ac:dyDescent="0.25">
      <c r="S5156" s="78">
        <v>32543</v>
      </c>
      <c r="T5156" s="29">
        <v>12.88</v>
      </c>
    </row>
    <row r="5157" spans="19:20" x14ac:dyDescent="0.25">
      <c r="S5157" s="78">
        <v>32544</v>
      </c>
      <c r="T5157" s="29">
        <v>12.88</v>
      </c>
    </row>
    <row r="5158" spans="19:20" x14ac:dyDescent="0.25">
      <c r="S5158" s="78">
        <v>32545</v>
      </c>
      <c r="T5158" s="29">
        <v>12.88</v>
      </c>
    </row>
    <row r="5159" spans="19:20" x14ac:dyDescent="0.25">
      <c r="S5159" s="78">
        <v>32546</v>
      </c>
      <c r="T5159" s="29">
        <v>12.88</v>
      </c>
    </row>
    <row r="5160" spans="19:20" x14ac:dyDescent="0.25">
      <c r="S5160" s="78">
        <v>32547</v>
      </c>
      <c r="T5160" s="29">
        <v>12.88</v>
      </c>
    </row>
    <row r="5161" spans="19:20" x14ac:dyDescent="0.25">
      <c r="S5161" s="78">
        <v>32548</v>
      </c>
      <c r="T5161" s="29">
        <v>12.88</v>
      </c>
    </row>
    <row r="5162" spans="19:20" x14ac:dyDescent="0.25">
      <c r="S5162" s="78">
        <v>32549</v>
      </c>
      <c r="T5162" s="29">
        <v>12.88</v>
      </c>
    </row>
    <row r="5163" spans="19:20" x14ac:dyDescent="0.25">
      <c r="S5163" s="78">
        <v>32550</v>
      </c>
      <c r="T5163" s="29">
        <v>12.88</v>
      </c>
    </row>
    <row r="5164" spans="19:20" x14ac:dyDescent="0.25">
      <c r="S5164" s="78">
        <v>32551</v>
      </c>
      <c r="T5164" s="29">
        <v>12.88</v>
      </c>
    </row>
    <row r="5165" spans="19:20" x14ac:dyDescent="0.25">
      <c r="S5165" s="78">
        <v>32552</v>
      </c>
      <c r="T5165" s="29">
        <v>12.88</v>
      </c>
    </row>
    <row r="5166" spans="19:20" x14ac:dyDescent="0.25">
      <c r="S5166" s="78">
        <v>32553</v>
      </c>
      <c r="T5166" s="29">
        <v>12.88</v>
      </c>
    </row>
    <row r="5167" spans="19:20" x14ac:dyDescent="0.25">
      <c r="S5167" s="78">
        <v>32554</v>
      </c>
      <c r="T5167" s="29">
        <v>12.88</v>
      </c>
    </row>
    <row r="5168" spans="19:20" x14ac:dyDescent="0.25">
      <c r="S5168" s="78">
        <v>32555</v>
      </c>
      <c r="T5168" s="29">
        <v>12.88</v>
      </c>
    </row>
    <row r="5169" spans="19:20" x14ac:dyDescent="0.25">
      <c r="S5169" s="78">
        <v>32556</v>
      </c>
      <c r="T5169" s="29">
        <v>12.88</v>
      </c>
    </row>
    <row r="5170" spans="19:20" x14ac:dyDescent="0.25">
      <c r="S5170" s="78">
        <v>32557</v>
      </c>
      <c r="T5170" s="29">
        <v>12.88</v>
      </c>
    </row>
    <row r="5171" spans="19:20" x14ac:dyDescent="0.25">
      <c r="S5171" s="78">
        <v>32558</v>
      </c>
      <c r="T5171" s="29">
        <v>12.88</v>
      </c>
    </row>
    <row r="5172" spans="19:20" x14ac:dyDescent="0.25">
      <c r="S5172" s="78">
        <v>32559</v>
      </c>
      <c r="T5172" s="29">
        <v>12.88</v>
      </c>
    </row>
    <row r="5173" spans="19:20" x14ac:dyDescent="0.25">
      <c r="S5173" s="78">
        <v>32560</v>
      </c>
      <c r="T5173" s="29">
        <v>12.88</v>
      </c>
    </row>
    <row r="5174" spans="19:20" x14ac:dyDescent="0.25">
      <c r="S5174" s="78">
        <v>32561</v>
      </c>
      <c r="T5174" s="29">
        <v>12.88</v>
      </c>
    </row>
    <row r="5175" spans="19:20" x14ac:dyDescent="0.25">
      <c r="S5175" s="78">
        <v>32562</v>
      </c>
      <c r="T5175" s="29">
        <v>12.88</v>
      </c>
    </row>
    <row r="5176" spans="19:20" x14ac:dyDescent="0.25">
      <c r="S5176" s="78">
        <v>32563</v>
      </c>
      <c r="T5176" s="29">
        <v>12.88</v>
      </c>
    </row>
    <row r="5177" spans="19:20" x14ac:dyDescent="0.25">
      <c r="S5177" s="78">
        <v>32564</v>
      </c>
      <c r="T5177" s="29">
        <v>12.88</v>
      </c>
    </row>
    <row r="5178" spans="19:20" x14ac:dyDescent="0.25">
      <c r="S5178" s="78">
        <v>32565</v>
      </c>
      <c r="T5178" s="29">
        <v>12.88</v>
      </c>
    </row>
    <row r="5179" spans="19:20" x14ac:dyDescent="0.25">
      <c r="S5179" s="78">
        <v>32566</v>
      </c>
      <c r="T5179" s="29">
        <v>12.88</v>
      </c>
    </row>
    <row r="5180" spans="19:20" x14ac:dyDescent="0.25">
      <c r="S5180" s="78">
        <v>32567</v>
      </c>
      <c r="T5180" s="29">
        <v>12.88</v>
      </c>
    </row>
    <row r="5181" spans="19:20" x14ac:dyDescent="0.25">
      <c r="S5181" s="78">
        <v>32568</v>
      </c>
      <c r="T5181" s="29">
        <v>12.88</v>
      </c>
    </row>
    <row r="5182" spans="19:20" x14ac:dyDescent="0.25">
      <c r="S5182" s="78">
        <v>32569</v>
      </c>
      <c r="T5182" s="29">
        <v>12.88</v>
      </c>
    </row>
    <row r="5183" spans="19:20" x14ac:dyDescent="0.25">
      <c r="S5183" s="78">
        <v>32570</v>
      </c>
      <c r="T5183" s="29">
        <v>12.88</v>
      </c>
    </row>
    <row r="5184" spans="19:20" x14ac:dyDescent="0.25">
      <c r="S5184" s="78">
        <v>32571</v>
      </c>
      <c r="T5184" s="29">
        <v>12.88</v>
      </c>
    </row>
    <row r="5185" spans="19:20" x14ac:dyDescent="0.25">
      <c r="S5185" s="78">
        <v>32572</v>
      </c>
      <c r="T5185" s="29">
        <v>12.88</v>
      </c>
    </row>
    <row r="5186" spans="19:20" x14ac:dyDescent="0.25">
      <c r="S5186" s="78">
        <v>32573</v>
      </c>
      <c r="T5186" s="29">
        <v>12.88</v>
      </c>
    </row>
    <row r="5187" spans="19:20" x14ac:dyDescent="0.25">
      <c r="S5187" s="78">
        <v>32574</v>
      </c>
      <c r="T5187" s="29">
        <v>12.88</v>
      </c>
    </row>
    <row r="5188" spans="19:20" x14ac:dyDescent="0.25">
      <c r="S5188" s="78">
        <v>32575</v>
      </c>
      <c r="T5188" s="29">
        <v>12.88</v>
      </c>
    </row>
    <row r="5189" spans="19:20" x14ac:dyDescent="0.25">
      <c r="S5189" s="78">
        <v>32576</v>
      </c>
      <c r="T5189" s="29">
        <v>12.88</v>
      </c>
    </row>
    <row r="5190" spans="19:20" x14ac:dyDescent="0.25">
      <c r="S5190" s="78">
        <v>32577</v>
      </c>
      <c r="T5190" s="29">
        <v>12.88</v>
      </c>
    </row>
    <row r="5191" spans="19:20" x14ac:dyDescent="0.25">
      <c r="S5191" s="78">
        <v>32578</v>
      </c>
      <c r="T5191" s="29">
        <v>12.88</v>
      </c>
    </row>
    <row r="5192" spans="19:20" x14ac:dyDescent="0.25">
      <c r="S5192" s="78">
        <v>32579</v>
      </c>
      <c r="T5192" s="29">
        <v>12.88</v>
      </c>
    </row>
    <row r="5193" spans="19:20" x14ac:dyDescent="0.25">
      <c r="S5193" s="78">
        <v>32580</v>
      </c>
      <c r="T5193" s="29">
        <v>12.88</v>
      </c>
    </row>
    <row r="5194" spans="19:20" x14ac:dyDescent="0.25">
      <c r="S5194" s="78">
        <v>32581</v>
      </c>
      <c r="T5194" s="29">
        <v>12.88</v>
      </c>
    </row>
    <row r="5195" spans="19:20" x14ac:dyDescent="0.25">
      <c r="S5195" s="78">
        <v>32582</v>
      </c>
      <c r="T5195" s="29">
        <v>12.88</v>
      </c>
    </row>
    <row r="5196" spans="19:20" x14ac:dyDescent="0.25">
      <c r="S5196" s="78">
        <v>32583</v>
      </c>
      <c r="T5196" s="29">
        <v>12.88</v>
      </c>
    </row>
    <row r="5197" spans="19:20" x14ac:dyDescent="0.25">
      <c r="S5197" s="78">
        <v>32584</v>
      </c>
      <c r="T5197" s="29">
        <v>12.88</v>
      </c>
    </row>
    <row r="5198" spans="19:20" x14ac:dyDescent="0.25">
      <c r="S5198" s="78">
        <v>32585</v>
      </c>
      <c r="T5198" s="29">
        <v>12.88</v>
      </c>
    </row>
    <row r="5199" spans="19:20" x14ac:dyDescent="0.25">
      <c r="S5199" s="78">
        <v>32586</v>
      </c>
      <c r="T5199" s="29">
        <v>12.88</v>
      </c>
    </row>
    <row r="5200" spans="19:20" x14ac:dyDescent="0.25">
      <c r="S5200" s="78">
        <v>32587</v>
      </c>
      <c r="T5200" s="29">
        <v>12.88</v>
      </c>
    </row>
    <row r="5201" spans="19:21" x14ac:dyDescent="0.25">
      <c r="S5201" s="78">
        <v>32588</v>
      </c>
      <c r="T5201" s="29">
        <v>12.88</v>
      </c>
    </row>
    <row r="5202" spans="19:21" x14ac:dyDescent="0.25">
      <c r="S5202" s="78">
        <v>32589</v>
      </c>
      <c r="T5202" s="29">
        <v>12.88</v>
      </c>
    </row>
    <row r="5203" spans="19:21" x14ac:dyDescent="0.25">
      <c r="S5203" s="78">
        <v>32590</v>
      </c>
      <c r="T5203" s="29">
        <v>12.88</v>
      </c>
    </row>
    <row r="5204" spans="19:21" x14ac:dyDescent="0.25">
      <c r="S5204" s="78">
        <v>32591</v>
      </c>
      <c r="T5204" s="29">
        <v>12.88</v>
      </c>
    </row>
    <row r="5205" spans="19:21" x14ac:dyDescent="0.25">
      <c r="S5205" s="78">
        <v>32592</v>
      </c>
      <c r="T5205" s="29">
        <v>12.88</v>
      </c>
    </row>
    <row r="5206" spans="19:21" x14ac:dyDescent="0.25">
      <c r="S5206" s="78">
        <v>32593</v>
      </c>
      <c r="T5206" s="29">
        <v>12.88</v>
      </c>
    </row>
    <row r="5207" spans="19:21" x14ac:dyDescent="0.25">
      <c r="S5207" s="78">
        <v>32594</v>
      </c>
      <c r="T5207" s="29">
        <v>12.88</v>
      </c>
    </row>
    <row r="5208" spans="19:21" x14ac:dyDescent="0.25">
      <c r="S5208" s="78">
        <v>32595</v>
      </c>
      <c r="T5208" s="29">
        <v>12.88</v>
      </c>
    </row>
    <row r="5209" spans="19:21" x14ac:dyDescent="0.25">
      <c r="S5209" s="78">
        <v>32596</v>
      </c>
      <c r="T5209" s="29">
        <v>12.88</v>
      </c>
    </row>
    <row r="5210" spans="19:21" x14ac:dyDescent="0.25">
      <c r="S5210" s="78">
        <v>32597</v>
      </c>
      <c r="T5210" s="29">
        <v>12.88</v>
      </c>
    </row>
    <row r="5211" spans="19:21" x14ac:dyDescent="0.25">
      <c r="S5211" s="78">
        <v>32598</v>
      </c>
      <c r="T5211" s="29">
        <v>12.88</v>
      </c>
      <c r="U5211" s="39">
        <f>AVERAGE(T5122:T5211)</f>
        <v>12.880000000000011</v>
      </c>
    </row>
    <row r="5212" spans="19:21" x14ac:dyDescent="0.25">
      <c r="S5212" s="78">
        <v>32599</v>
      </c>
      <c r="T5212" s="29">
        <v>12.88</v>
      </c>
    </row>
    <row r="5213" spans="19:21" x14ac:dyDescent="0.25">
      <c r="S5213" s="78">
        <v>32600</v>
      </c>
      <c r="T5213" s="29">
        <v>12.88</v>
      </c>
    </row>
    <row r="5214" spans="19:21" x14ac:dyDescent="0.25">
      <c r="S5214" s="78">
        <v>32601</v>
      </c>
      <c r="T5214" s="29">
        <v>12.88</v>
      </c>
    </row>
    <row r="5215" spans="19:21" x14ac:dyDescent="0.25">
      <c r="S5215" s="78">
        <v>32602</v>
      </c>
      <c r="T5215" s="29">
        <v>12.88</v>
      </c>
    </row>
    <row r="5216" spans="19:21" x14ac:dyDescent="0.25">
      <c r="S5216" s="78">
        <v>32603</v>
      </c>
      <c r="T5216" s="29">
        <v>12.88</v>
      </c>
    </row>
    <row r="5217" spans="19:20" x14ac:dyDescent="0.25">
      <c r="S5217" s="78">
        <v>32604</v>
      </c>
      <c r="T5217" s="29">
        <v>12.88</v>
      </c>
    </row>
    <row r="5218" spans="19:20" x14ac:dyDescent="0.25">
      <c r="S5218" s="78">
        <v>32605</v>
      </c>
      <c r="T5218" s="29">
        <v>12.88</v>
      </c>
    </row>
    <row r="5219" spans="19:20" x14ac:dyDescent="0.25">
      <c r="S5219" s="78">
        <v>32606</v>
      </c>
      <c r="T5219" s="29">
        <v>12.88</v>
      </c>
    </row>
    <row r="5220" spans="19:20" x14ac:dyDescent="0.25">
      <c r="S5220" s="78">
        <v>32607</v>
      </c>
      <c r="T5220" s="29">
        <v>12.88</v>
      </c>
    </row>
    <row r="5221" spans="19:20" x14ac:dyDescent="0.25">
      <c r="S5221" s="78">
        <v>32608</v>
      </c>
      <c r="T5221" s="29">
        <v>12.88</v>
      </c>
    </row>
    <row r="5222" spans="19:20" x14ac:dyDescent="0.25">
      <c r="S5222" s="78">
        <v>32609</v>
      </c>
      <c r="T5222" s="29">
        <v>12.88</v>
      </c>
    </row>
    <row r="5223" spans="19:20" x14ac:dyDescent="0.25">
      <c r="S5223" s="78">
        <v>32610</v>
      </c>
      <c r="T5223" s="29">
        <v>12.88</v>
      </c>
    </row>
    <row r="5224" spans="19:20" x14ac:dyDescent="0.25">
      <c r="S5224" s="78">
        <v>32611</v>
      </c>
      <c r="T5224" s="29">
        <v>12.88</v>
      </c>
    </row>
    <row r="5225" spans="19:20" x14ac:dyDescent="0.25">
      <c r="S5225" s="78">
        <v>32612</v>
      </c>
      <c r="T5225" s="29">
        <v>12.88</v>
      </c>
    </row>
    <row r="5226" spans="19:20" x14ac:dyDescent="0.25">
      <c r="S5226" s="78">
        <v>32613</v>
      </c>
      <c r="T5226" s="29">
        <v>12.88</v>
      </c>
    </row>
    <row r="5227" spans="19:20" x14ac:dyDescent="0.25">
      <c r="S5227" s="78">
        <v>32614</v>
      </c>
      <c r="T5227" s="29">
        <v>12.88</v>
      </c>
    </row>
    <row r="5228" spans="19:20" x14ac:dyDescent="0.25">
      <c r="S5228" s="78">
        <v>32615</v>
      </c>
      <c r="T5228" s="29">
        <v>12.88</v>
      </c>
    </row>
    <row r="5229" spans="19:20" x14ac:dyDescent="0.25">
      <c r="S5229" s="78">
        <v>32616</v>
      </c>
      <c r="T5229" s="29">
        <v>12.88</v>
      </c>
    </row>
    <row r="5230" spans="19:20" x14ac:dyDescent="0.25">
      <c r="S5230" s="78">
        <v>32617</v>
      </c>
      <c r="T5230" s="29">
        <v>12.88</v>
      </c>
    </row>
    <row r="5231" spans="19:20" x14ac:dyDescent="0.25">
      <c r="S5231" s="78">
        <v>32618</v>
      </c>
      <c r="T5231" s="29">
        <v>12.88</v>
      </c>
    </row>
    <row r="5232" spans="19:20" x14ac:dyDescent="0.25">
      <c r="S5232" s="78">
        <v>32619</v>
      </c>
      <c r="T5232" s="29">
        <v>12.88</v>
      </c>
    </row>
    <row r="5233" spans="19:20" x14ac:dyDescent="0.25">
      <c r="S5233" s="78">
        <v>32620</v>
      </c>
      <c r="T5233" s="29">
        <v>12.88</v>
      </c>
    </row>
    <row r="5234" spans="19:20" x14ac:dyDescent="0.25">
      <c r="S5234" s="78">
        <v>32621</v>
      </c>
      <c r="T5234" s="29">
        <v>12.88</v>
      </c>
    </row>
    <row r="5235" spans="19:20" x14ac:dyDescent="0.25">
      <c r="S5235" s="78">
        <v>32622</v>
      </c>
      <c r="T5235" s="29">
        <v>12.88</v>
      </c>
    </row>
    <row r="5236" spans="19:20" x14ac:dyDescent="0.25">
      <c r="S5236" s="78">
        <v>32623</v>
      </c>
      <c r="T5236" s="29">
        <v>12.88</v>
      </c>
    </row>
    <row r="5237" spans="19:20" x14ac:dyDescent="0.25">
      <c r="S5237" s="78">
        <v>32624</v>
      </c>
      <c r="T5237" s="29">
        <v>12.88</v>
      </c>
    </row>
    <row r="5238" spans="19:20" x14ac:dyDescent="0.25">
      <c r="S5238" s="78">
        <v>32625</v>
      </c>
      <c r="T5238" s="29">
        <v>12.88</v>
      </c>
    </row>
    <row r="5239" spans="19:20" x14ac:dyDescent="0.25">
      <c r="S5239" s="78">
        <v>32626</v>
      </c>
      <c r="T5239" s="29">
        <v>12.88</v>
      </c>
    </row>
    <row r="5240" spans="19:20" x14ac:dyDescent="0.25">
      <c r="S5240" s="78">
        <v>32627</v>
      </c>
      <c r="T5240" s="29">
        <v>12.88</v>
      </c>
    </row>
    <row r="5241" spans="19:20" x14ac:dyDescent="0.25">
      <c r="S5241" s="78">
        <v>32628</v>
      </c>
      <c r="T5241" s="29">
        <v>12.88</v>
      </c>
    </row>
    <row r="5242" spans="19:20" x14ac:dyDescent="0.25">
      <c r="S5242" s="78">
        <v>32629</v>
      </c>
      <c r="T5242" s="29">
        <v>12.88</v>
      </c>
    </row>
    <row r="5243" spans="19:20" x14ac:dyDescent="0.25">
      <c r="S5243" s="78">
        <v>32630</v>
      </c>
      <c r="T5243" s="29">
        <v>12.88</v>
      </c>
    </row>
    <row r="5244" spans="19:20" x14ac:dyDescent="0.25">
      <c r="S5244" s="78">
        <v>32631</v>
      </c>
      <c r="T5244" s="29">
        <v>12.88</v>
      </c>
    </row>
    <row r="5245" spans="19:20" x14ac:dyDescent="0.25">
      <c r="S5245" s="78">
        <v>32632</v>
      </c>
      <c r="T5245" s="29">
        <v>12.88</v>
      </c>
    </row>
    <row r="5246" spans="19:20" x14ac:dyDescent="0.25">
      <c r="S5246" s="78">
        <v>32633</v>
      </c>
      <c r="T5246" s="29">
        <v>12.88</v>
      </c>
    </row>
    <row r="5247" spans="19:20" x14ac:dyDescent="0.25">
      <c r="S5247" s="78">
        <v>32634</v>
      </c>
      <c r="T5247" s="29">
        <v>12.88</v>
      </c>
    </row>
    <row r="5248" spans="19:20" x14ac:dyDescent="0.25">
      <c r="S5248" s="78">
        <v>32635</v>
      </c>
      <c r="T5248" s="29">
        <v>12.88</v>
      </c>
    </row>
    <row r="5249" spans="19:20" x14ac:dyDescent="0.25">
      <c r="S5249" s="78">
        <v>32636</v>
      </c>
      <c r="T5249" s="29">
        <v>12.88</v>
      </c>
    </row>
    <row r="5250" spans="19:20" x14ac:dyDescent="0.25">
      <c r="S5250" s="78">
        <v>32637</v>
      </c>
      <c r="T5250" s="29">
        <v>12.88</v>
      </c>
    </row>
    <row r="5251" spans="19:20" x14ac:dyDescent="0.25">
      <c r="S5251" s="78">
        <v>32638</v>
      </c>
      <c r="T5251" s="29">
        <v>12.88</v>
      </c>
    </row>
    <row r="5252" spans="19:20" x14ac:dyDescent="0.25">
      <c r="S5252" s="78">
        <v>32639</v>
      </c>
      <c r="T5252" s="29">
        <v>12.88</v>
      </c>
    </row>
    <row r="5253" spans="19:20" x14ac:dyDescent="0.25">
      <c r="S5253" s="78">
        <v>32640</v>
      </c>
      <c r="T5253" s="29">
        <v>12.88</v>
      </c>
    </row>
    <row r="5254" spans="19:20" x14ac:dyDescent="0.25">
      <c r="S5254" s="78">
        <v>32641</v>
      </c>
      <c r="T5254" s="29">
        <v>12.88</v>
      </c>
    </row>
    <row r="5255" spans="19:20" x14ac:dyDescent="0.25">
      <c r="S5255" s="78">
        <v>32642</v>
      </c>
      <c r="T5255" s="29">
        <v>12.88</v>
      </c>
    </row>
    <row r="5256" spans="19:20" x14ac:dyDescent="0.25">
      <c r="S5256" s="78">
        <v>32643</v>
      </c>
      <c r="T5256" s="29">
        <v>12.88</v>
      </c>
    </row>
    <row r="5257" spans="19:20" x14ac:dyDescent="0.25">
      <c r="S5257" s="78">
        <v>32644</v>
      </c>
      <c r="T5257" s="29">
        <v>12.88</v>
      </c>
    </row>
    <row r="5258" spans="19:20" x14ac:dyDescent="0.25">
      <c r="S5258" s="78">
        <v>32645</v>
      </c>
      <c r="T5258" s="29">
        <v>12.88</v>
      </c>
    </row>
    <row r="5259" spans="19:20" x14ac:dyDescent="0.25">
      <c r="S5259" s="78">
        <v>32646</v>
      </c>
      <c r="T5259" s="29">
        <v>12.88</v>
      </c>
    </row>
    <row r="5260" spans="19:20" x14ac:dyDescent="0.25">
      <c r="S5260" s="78">
        <v>32647</v>
      </c>
      <c r="T5260" s="29">
        <v>12.88</v>
      </c>
    </row>
    <row r="5261" spans="19:20" x14ac:dyDescent="0.25">
      <c r="S5261" s="78">
        <v>32648</v>
      </c>
      <c r="T5261" s="29">
        <v>12.88</v>
      </c>
    </row>
    <row r="5262" spans="19:20" x14ac:dyDescent="0.25">
      <c r="S5262" s="78">
        <v>32649</v>
      </c>
      <c r="T5262" s="29">
        <v>12.88</v>
      </c>
    </row>
    <row r="5263" spans="19:20" x14ac:dyDescent="0.25">
      <c r="S5263" s="78">
        <v>32650</v>
      </c>
      <c r="T5263" s="29">
        <v>12.88</v>
      </c>
    </row>
    <row r="5264" spans="19:20" x14ac:dyDescent="0.25">
      <c r="S5264" s="78">
        <v>32651</v>
      </c>
      <c r="T5264" s="29">
        <v>12.88</v>
      </c>
    </row>
    <row r="5265" spans="19:20" x14ac:dyDescent="0.25">
      <c r="S5265" s="78">
        <v>32652</v>
      </c>
      <c r="T5265" s="29">
        <v>12.88</v>
      </c>
    </row>
    <row r="5266" spans="19:20" x14ac:dyDescent="0.25">
      <c r="S5266" s="78">
        <v>32653</v>
      </c>
      <c r="T5266" s="29">
        <v>13.75</v>
      </c>
    </row>
    <row r="5267" spans="19:20" x14ac:dyDescent="0.25">
      <c r="S5267" s="78">
        <v>32654</v>
      </c>
      <c r="T5267" s="29">
        <v>13.75</v>
      </c>
    </row>
    <row r="5268" spans="19:20" x14ac:dyDescent="0.25">
      <c r="S5268" s="78">
        <v>32655</v>
      </c>
      <c r="T5268" s="29">
        <v>13.75</v>
      </c>
    </row>
    <row r="5269" spans="19:20" x14ac:dyDescent="0.25">
      <c r="S5269" s="78">
        <v>32656</v>
      </c>
      <c r="T5269" s="29">
        <v>13.75</v>
      </c>
    </row>
    <row r="5270" spans="19:20" x14ac:dyDescent="0.25">
      <c r="S5270" s="78">
        <v>32657</v>
      </c>
      <c r="T5270" s="29">
        <v>13.75</v>
      </c>
    </row>
    <row r="5271" spans="19:20" x14ac:dyDescent="0.25">
      <c r="S5271" s="78">
        <v>32658</v>
      </c>
      <c r="T5271" s="29">
        <v>13.75</v>
      </c>
    </row>
    <row r="5272" spans="19:20" x14ac:dyDescent="0.25">
      <c r="S5272" s="78">
        <v>32659</v>
      </c>
      <c r="T5272" s="29">
        <v>13.75</v>
      </c>
    </row>
    <row r="5273" spans="19:20" x14ac:dyDescent="0.25">
      <c r="S5273" s="78">
        <v>32660</v>
      </c>
      <c r="T5273" s="29">
        <v>13.75</v>
      </c>
    </row>
    <row r="5274" spans="19:20" x14ac:dyDescent="0.25">
      <c r="S5274" s="78">
        <v>32661</v>
      </c>
      <c r="T5274" s="29">
        <v>13.75</v>
      </c>
    </row>
    <row r="5275" spans="19:20" x14ac:dyDescent="0.25">
      <c r="S5275" s="78">
        <v>32662</v>
      </c>
      <c r="T5275" s="29">
        <v>13.75</v>
      </c>
    </row>
    <row r="5276" spans="19:20" x14ac:dyDescent="0.25">
      <c r="S5276" s="78">
        <v>32663</v>
      </c>
      <c r="T5276" s="29">
        <v>13.75</v>
      </c>
    </row>
    <row r="5277" spans="19:20" x14ac:dyDescent="0.25">
      <c r="S5277" s="78">
        <v>32664</v>
      </c>
      <c r="T5277" s="29">
        <v>13.75</v>
      </c>
    </row>
    <row r="5278" spans="19:20" x14ac:dyDescent="0.25">
      <c r="S5278" s="78">
        <v>32665</v>
      </c>
      <c r="T5278" s="29">
        <v>13.75</v>
      </c>
    </row>
    <row r="5279" spans="19:20" x14ac:dyDescent="0.25">
      <c r="S5279" s="78">
        <v>32666</v>
      </c>
      <c r="T5279" s="29">
        <v>13.75</v>
      </c>
    </row>
    <row r="5280" spans="19:20" x14ac:dyDescent="0.25">
      <c r="S5280" s="78">
        <v>32667</v>
      </c>
      <c r="T5280" s="29">
        <v>13.75</v>
      </c>
    </row>
    <row r="5281" spans="19:20" x14ac:dyDescent="0.25">
      <c r="S5281" s="78">
        <v>32668</v>
      </c>
      <c r="T5281" s="29">
        <v>13.75</v>
      </c>
    </row>
    <row r="5282" spans="19:20" x14ac:dyDescent="0.25">
      <c r="S5282" s="78">
        <v>32669</v>
      </c>
      <c r="T5282" s="29">
        <v>13.75</v>
      </c>
    </row>
    <row r="5283" spans="19:20" x14ac:dyDescent="0.25">
      <c r="S5283" s="78">
        <v>32670</v>
      </c>
      <c r="T5283" s="29">
        <v>13.75</v>
      </c>
    </row>
    <row r="5284" spans="19:20" x14ac:dyDescent="0.25">
      <c r="S5284" s="78">
        <v>32671</v>
      </c>
      <c r="T5284" s="29">
        <v>13.75</v>
      </c>
    </row>
    <row r="5285" spans="19:20" x14ac:dyDescent="0.25">
      <c r="S5285" s="78">
        <v>32672</v>
      </c>
      <c r="T5285" s="29">
        <v>13.75</v>
      </c>
    </row>
    <row r="5286" spans="19:20" x14ac:dyDescent="0.25">
      <c r="S5286" s="78">
        <v>32673</v>
      </c>
      <c r="T5286" s="29">
        <v>13.75</v>
      </c>
    </row>
    <row r="5287" spans="19:20" x14ac:dyDescent="0.25">
      <c r="S5287" s="78">
        <v>32674</v>
      </c>
      <c r="T5287" s="29">
        <v>13.75</v>
      </c>
    </row>
    <row r="5288" spans="19:20" x14ac:dyDescent="0.25">
      <c r="S5288" s="78">
        <v>32675</v>
      </c>
      <c r="T5288" s="29">
        <v>13.75</v>
      </c>
    </row>
    <row r="5289" spans="19:20" x14ac:dyDescent="0.25">
      <c r="S5289" s="78">
        <v>32676</v>
      </c>
      <c r="T5289" s="29">
        <v>13.75</v>
      </c>
    </row>
    <row r="5290" spans="19:20" x14ac:dyDescent="0.25">
      <c r="S5290" s="78">
        <v>32677</v>
      </c>
      <c r="T5290" s="29">
        <v>13.75</v>
      </c>
    </row>
    <row r="5291" spans="19:20" x14ac:dyDescent="0.25">
      <c r="S5291" s="78">
        <v>32678</v>
      </c>
      <c r="T5291" s="29">
        <v>13.75</v>
      </c>
    </row>
    <row r="5292" spans="19:20" x14ac:dyDescent="0.25">
      <c r="S5292" s="78">
        <v>32679</v>
      </c>
      <c r="T5292" s="29">
        <v>13.75</v>
      </c>
    </row>
    <row r="5293" spans="19:20" x14ac:dyDescent="0.25">
      <c r="S5293" s="78">
        <v>32680</v>
      </c>
      <c r="T5293" s="29">
        <v>13.75</v>
      </c>
    </row>
    <row r="5294" spans="19:20" x14ac:dyDescent="0.25">
      <c r="S5294" s="78">
        <v>32681</v>
      </c>
      <c r="T5294" s="29">
        <v>13.75</v>
      </c>
    </row>
    <row r="5295" spans="19:20" x14ac:dyDescent="0.25">
      <c r="S5295" s="78">
        <v>32682</v>
      </c>
      <c r="T5295" s="29">
        <v>13.75</v>
      </c>
    </row>
    <row r="5296" spans="19:20" x14ac:dyDescent="0.25">
      <c r="S5296" s="78">
        <v>32683</v>
      </c>
      <c r="T5296" s="29">
        <v>13.75</v>
      </c>
    </row>
    <row r="5297" spans="19:21" x14ac:dyDescent="0.25">
      <c r="S5297" s="78">
        <v>32684</v>
      </c>
      <c r="T5297" s="29">
        <v>13.75</v>
      </c>
    </row>
    <row r="5298" spans="19:21" x14ac:dyDescent="0.25">
      <c r="S5298" s="78">
        <v>32685</v>
      </c>
      <c r="T5298" s="29">
        <v>13.75</v>
      </c>
    </row>
    <row r="5299" spans="19:21" x14ac:dyDescent="0.25">
      <c r="S5299" s="78">
        <v>32686</v>
      </c>
      <c r="T5299" s="29">
        <v>13.75</v>
      </c>
    </row>
    <row r="5300" spans="19:21" x14ac:dyDescent="0.25">
      <c r="S5300" s="78">
        <v>32687</v>
      </c>
      <c r="T5300" s="29">
        <v>13.75</v>
      </c>
    </row>
    <row r="5301" spans="19:21" x14ac:dyDescent="0.25">
      <c r="S5301" s="78">
        <v>32688</v>
      </c>
      <c r="T5301" s="29">
        <v>13.75</v>
      </c>
    </row>
    <row r="5302" spans="19:21" x14ac:dyDescent="0.25">
      <c r="S5302" s="78">
        <v>32689</v>
      </c>
      <c r="T5302" s="29">
        <v>13.75</v>
      </c>
      <c r="U5302" s="40">
        <f>AVERAGE(T5212:T5302)</f>
        <v>13.233736263736263</v>
      </c>
    </row>
    <row r="5303" spans="19:21" x14ac:dyDescent="0.25">
      <c r="S5303" s="78">
        <v>32690</v>
      </c>
      <c r="T5303" s="29">
        <v>13.75</v>
      </c>
    </row>
    <row r="5304" spans="19:21" x14ac:dyDescent="0.25">
      <c r="S5304" s="78">
        <v>32691</v>
      </c>
      <c r="T5304" s="29">
        <v>13.75</v>
      </c>
    </row>
    <row r="5305" spans="19:21" x14ac:dyDescent="0.25">
      <c r="S5305" s="78">
        <v>32692</v>
      </c>
      <c r="T5305" s="29">
        <v>13.75</v>
      </c>
    </row>
    <row r="5306" spans="19:21" x14ac:dyDescent="0.25">
      <c r="S5306" s="78">
        <v>32693</v>
      </c>
      <c r="T5306" s="29">
        <v>13.75</v>
      </c>
    </row>
    <row r="5307" spans="19:21" x14ac:dyDescent="0.25">
      <c r="S5307" s="78">
        <v>32694</v>
      </c>
      <c r="T5307" s="29">
        <v>13.75</v>
      </c>
    </row>
    <row r="5308" spans="19:21" x14ac:dyDescent="0.25">
      <c r="S5308" s="78">
        <v>32695</v>
      </c>
      <c r="T5308" s="29">
        <v>13.75</v>
      </c>
    </row>
    <row r="5309" spans="19:21" x14ac:dyDescent="0.25">
      <c r="S5309" s="78">
        <v>32696</v>
      </c>
      <c r="T5309" s="29">
        <v>13.75</v>
      </c>
    </row>
    <row r="5310" spans="19:21" x14ac:dyDescent="0.25">
      <c r="S5310" s="78">
        <v>32697</v>
      </c>
      <c r="T5310" s="29">
        <v>13.75</v>
      </c>
    </row>
    <row r="5311" spans="19:21" x14ac:dyDescent="0.25">
      <c r="S5311" s="78">
        <v>32698</v>
      </c>
      <c r="T5311" s="29">
        <v>13.75</v>
      </c>
    </row>
    <row r="5312" spans="19:21" x14ac:dyDescent="0.25">
      <c r="S5312" s="78">
        <v>32699</v>
      </c>
      <c r="T5312" s="29">
        <v>13.75</v>
      </c>
    </row>
    <row r="5313" spans="19:20" x14ac:dyDescent="0.25">
      <c r="S5313" s="78">
        <v>32700</v>
      </c>
      <c r="T5313" s="29">
        <v>13.75</v>
      </c>
    </row>
    <row r="5314" spans="19:20" x14ac:dyDescent="0.25">
      <c r="S5314" s="78">
        <v>32701</v>
      </c>
      <c r="T5314" s="29">
        <v>13.75</v>
      </c>
    </row>
    <row r="5315" spans="19:20" x14ac:dyDescent="0.25">
      <c r="S5315" s="78">
        <v>32702</v>
      </c>
      <c r="T5315" s="29">
        <v>13.75</v>
      </c>
    </row>
    <row r="5316" spans="19:20" x14ac:dyDescent="0.25">
      <c r="S5316" s="78">
        <v>32703</v>
      </c>
      <c r="T5316" s="29">
        <v>13.75</v>
      </c>
    </row>
    <row r="5317" spans="19:20" x14ac:dyDescent="0.25">
      <c r="S5317" s="78">
        <v>32704</v>
      </c>
      <c r="T5317" s="29">
        <v>13.75</v>
      </c>
    </row>
    <row r="5318" spans="19:20" x14ac:dyDescent="0.25">
      <c r="S5318" s="78">
        <v>32705</v>
      </c>
      <c r="T5318" s="29">
        <v>13.75</v>
      </c>
    </row>
    <row r="5319" spans="19:20" x14ac:dyDescent="0.25">
      <c r="S5319" s="78">
        <v>32706</v>
      </c>
      <c r="T5319" s="29">
        <v>13.75</v>
      </c>
    </row>
    <row r="5320" spans="19:20" x14ac:dyDescent="0.25">
      <c r="S5320" s="78">
        <v>32707</v>
      </c>
      <c r="T5320" s="29">
        <v>13.75</v>
      </c>
    </row>
    <row r="5321" spans="19:20" x14ac:dyDescent="0.25">
      <c r="S5321" s="78">
        <v>32708</v>
      </c>
      <c r="T5321" s="29">
        <v>13.75</v>
      </c>
    </row>
    <row r="5322" spans="19:20" x14ac:dyDescent="0.25">
      <c r="S5322" s="78">
        <v>32709</v>
      </c>
      <c r="T5322" s="29">
        <v>13.75</v>
      </c>
    </row>
    <row r="5323" spans="19:20" x14ac:dyDescent="0.25">
      <c r="S5323" s="78">
        <v>32710</v>
      </c>
      <c r="T5323" s="29">
        <v>13.75</v>
      </c>
    </row>
    <row r="5324" spans="19:20" x14ac:dyDescent="0.25">
      <c r="S5324" s="78">
        <v>32711</v>
      </c>
      <c r="T5324" s="29">
        <v>13.75</v>
      </c>
    </row>
    <row r="5325" spans="19:20" x14ac:dyDescent="0.25">
      <c r="S5325" s="78">
        <v>32712</v>
      </c>
      <c r="T5325" s="29">
        <v>13.75</v>
      </c>
    </row>
    <row r="5326" spans="19:20" x14ac:dyDescent="0.25">
      <c r="S5326" s="78">
        <v>32713</v>
      </c>
      <c r="T5326" s="29">
        <v>13.75</v>
      </c>
    </row>
    <row r="5327" spans="19:20" x14ac:dyDescent="0.25">
      <c r="S5327" s="78">
        <v>32714</v>
      </c>
      <c r="T5327" s="29">
        <v>13.75</v>
      </c>
    </row>
    <row r="5328" spans="19:20" x14ac:dyDescent="0.25">
      <c r="S5328" s="78">
        <v>32715</v>
      </c>
      <c r="T5328" s="29">
        <v>13.75</v>
      </c>
    </row>
    <row r="5329" spans="19:20" x14ac:dyDescent="0.25">
      <c r="S5329" s="78">
        <v>32716</v>
      </c>
      <c r="T5329" s="29">
        <v>13.75</v>
      </c>
    </row>
    <row r="5330" spans="19:20" x14ac:dyDescent="0.25">
      <c r="S5330" s="78">
        <v>32717</v>
      </c>
      <c r="T5330" s="29">
        <v>13.75</v>
      </c>
    </row>
    <row r="5331" spans="19:20" x14ac:dyDescent="0.25">
      <c r="S5331" s="78">
        <v>32718</v>
      </c>
      <c r="T5331" s="29">
        <v>13.75</v>
      </c>
    </row>
    <row r="5332" spans="19:20" x14ac:dyDescent="0.25">
      <c r="S5332" s="78">
        <v>32719</v>
      </c>
      <c r="T5332" s="29">
        <v>13.75</v>
      </c>
    </row>
    <row r="5333" spans="19:20" x14ac:dyDescent="0.25">
      <c r="S5333" s="78">
        <v>32720</v>
      </c>
      <c r="T5333" s="29">
        <v>13.75</v>
      </c>
    </row>
    <row r="5334" spans="19:20" x14ac:dyDescent="0.25">
      <c r="S5334" s="78">
        <v>32721</v>
      </c>
      <c r="T5334" s="29">
        <v>13.75</v>
      </c>
    </row>
    <row r="5335" spans="19:20" x14ac:dyDescent="0.25">
      <c r="S5335" s="78">
        <v>32722</v>
      </c>
      <c r="T5335" s="29">
        <v>13.75</v>
      </c>
    </row>
    <row r="5336" spans="19:20" x14ac:dyDescent="0.25">
      <c r="S5336" s="78">
        <v>32723</v>
      </c>
      <c r="T5336" s="29">
        <v>13.75</v>
      </c>
    </row>
    <row r="5337" spans="19:20" x14ac:dyDescent="0.25">
      <c r="S5337" s="78">
        <v>32724</v>
      </c>
      <c r="T5337" s="29">
        <v>13.75</v>
      </c>
    </row>
    <row r="5338" spans="19:20" x14ac:dyDescent="0.25">
      <c r="S5338" s="78">
        <v>32725</v>
      </c>
      <c r="T5338" s="29">
        <v>13.75</v>
      </c>
    </row>
    <row r="5339" spans="19:20" x14ac:dyDescent="0.25">
      <c r="S5339" s="78">
        <v>32726</v>
      </c>
      <c r="T5339" s="29">
        <v>13.75</v>
      </c>
    </row>
    <row r="5340" spans="19:20" x14ac:dyDescent="0.25">
      <c r="S5340" s="78">
        <v>32727</v>
      </c>
      <c r="T5340" s="29">
        <v>13.75</v>
      </c>
    </row>
    <row r="5341" spans="19:20" x14ac:dyDescent="0.25">
      <c r="S5341" s="78">
        <v>32728</v>
      </c>
      <c r="T5341" s="29">
        <v>13.75</v>
      </c>
    </row>
    <row r="5342" spans="19:20" x14ac:dyDescent="0.25">
      <c r="S5342" s="78">
        <v>32729</v>
      </c>
      <c r="T5342" s="29">
        <v>13.75</v>
      </c>
    </row>
    <row r="5343" spans="19:20" x14ac:dyDescent="0.25">
      <c r="S5343" s="78">
        <v>32730</v>
      </c>
      <c r="T5343" s="29">
        <v>13.75</v>
      </c>
    </row>
    <row r="5344" spans="19:20" x14ac:dyDescent="0.25">
      <c r="S5344" s="78">
        <v>32731</v>
      </c>
      <c r="T5344" s="29">
        <v>13.75</v>
      </c>
    </row>
    <row r="5345" spans="19:20" x14ac:dyDescent="0.25">
      <c r="S5345" s="78">
        <v>32732</v>
      </c>
      <c r="T5345" s="29">
        <v>13.75</v>
      </c>
    </row>
    <row r="5346" spans="19:20" x14ac:dyDescent="0.25">
      <c r="S5346" s="78">
        <v>32733</v>
      </c>
      <c r="T5346" s="29">
        <v>13.75</v>
      </c>
    </row>
    <row r="5347" spans="19:20" x14ac:dyDescent="0.25">
      <c r="S5347" s="78">
        <v>32734</v>
      </c>
      <c r="T5347" s="29">
        <v>13.75</v>
      </c>
    </row>
    <row r="5348" spans="19:20" x14ac:dyDescent="0.25">
      <c r="S5348" s="78">
        <v>32735</v>
      </c>
      <c r="T5348" s="29">
        <v>13.75</v>
      </c>
    </row>
    <row r="5349" spans="19:20" x14ac:dyDescent="0.25">
      <c r="S5349" s="78">
        <v>32736</v>
      </c>
      <c r="T5349" s="29">
        <v>13.75</v>
      </c>
    </row>
    <row r="5350" spans="19:20" x14ac:dyDescent="0.25">
      <c r="S5350" s="78">
        <v>32737</v>
      </c>
      <c r="T5350" s="29">
        <v>13.75</v>
      </c>
    </row>
    <row r="5351" spans="19:20" x14ac:dyDescent="0.25">
      <c r="S5351" s="78">
        <v>32738</v>
      </c>
      <c r="T5351" s="29">
        <v>13.75</v>
      </c>
    </row>
    <row r="5352" spans="19:20" x14ac:dyDescent="0.25">
      <c r="S5352" s="78">
        <v>32739</v>
      </c>
      <c r="T5352" s="29">
        <v>13.75</v>
      </c>
    </row>
    <row r="5353" spans="19:20" x14ac:dyDescent="0.25">
      <c r="S5353" s="78">
        <v>32740</v>
      </c>
      <c r="T5353" s="29">
        <v>13.75</v>
      </c>
    </row>
    <row r="5354" spans="19:20" x14ac:dyDescent="0.25">
      <c r="S5354" s="78">
        <v>32741</v>
      </c>
      <c r="T5354" s="29">
        <v>13.75</v>
      </c>
    </row>
    <row r="5355" spans="19:20" x14ac:dyDescent="0.25">
      <c r="S5355" s="78">
        <v>32742</v>
      </c>
      <c r="T5355" s="29">
        <v>13.75</v>
      </c>
    </row>
    <row r="5356" spans="19:20" x14ac:dyDescent="0.25">
      <c r="S5356" s="78">
        <v>32743</v>
      </c>
      <c r="T5356" s="29">
        <v>13.75</v>
      </c>
    </row>
    <row r="5357" spans="19:20" x14ac:dyDescent="0.25">
      <c r="S5357" s="78">
        <v>32744</v>
      </c>
      <c r="T5357" s="29">
        <v>13.75</v>
      </c>
    </row>
    <row r="5358" spans="19:20" x14ac:dyDescent="0.25">
      <c r="S5358" s="78">
        <v>32745</v>
      </c>
      <c r="T5358" s="29">
        <v>13.75</v>
      </c>
    </row>
    <row r="5359" spans="19:20" x14ac:dyDescent="0.25">
      <c r="S5359" s="78">
        <v>32746</v>
      </c>
      <c r="T5359" s="29">
        <v>13.75</v>
      </c>
    </row>
    <row r="5360" spans="19:20" x14ac:dyDescent="0.25">
      <c r="S5360" s="78">
        <v>32747</v>
      </c>
      <c r="T5360" s="29">
        <v>13.75</v>
      </c>
    </row>
    <row r="5361" spans="19:20" x14ac:dyDescent="0.25">
      <c r="S5361" s="78">
        <v>32748</v>
      </c>
      <c r="T5361" s="29">
        <v>13.75</v>
      </c>
    </row>
    <row r="5362" spans="19:20" x14ac:dyDescent="0.25">
      <c r="S5362" s="78">
        <v>32749</v>
      </c>
      <c r="T5362" s="29">
        <v>13.75</v>
      </c>
    </row>
    <row r="5363" spans="19:20" x14ac:dyDescent="0.25">
      <c r="S5363" s="78">
        <v>32750</v>
      </c>
      <c r="T5363" s="29">
        <v>13.75</v>
      </c>
    </row>
    <row r="5364" spans="19:20" x14ac:dyDescent="0.25">
      <c r="S5364" s="78">
        <v>32751</v>
      </c>
      <c r="T5364" s="29">
        <v>13.84</v>
      </c>
    </row>
    <row r="5365" spans="19:20" x14ac:dyDescent="0.25">
      <c r="S5365" s="78">
        <v>32752</v>
      </c>
      <c r="T5365" s="29">
        <v>13.84</v>
      </c>
    </row>
    <row r="5366" spans="19:20" x14ac:dyDescent="0.25">
      <c r="S5366" s="78">
        <v>32753</v>
      </c>
      <c r="T5366" s="29">
        <v>13.84</v>
      </c>
    </row>
    <row r="5367" spans="19:20" x14ac:dyDescent="0.25">
      <c r="S5367" s="78">
        <v>32754</v>
      </c>
      <c r="T5367" s="29">
        <v>13.84</v>
      </c>
    </row>
    <row r="5368" spans="19:20" x14ac:dyDescent="0.25">
      <c r="S5368" s="78">
        <v>32755</v>
      </c>
      <c r="T5368" s="29">
        <v>13.88</v>
      </c>
    </row>
    <row r="5369" spans="19:20" x14ac:dyDescent="0.25">
      <c r="S5369" s="78">
        <v>32756</v>
      </c>
      <c r="T5369" s="29">
        <v>13.88</v>
      </c>
    </row>
    <row r="5370" spans="19:20" x14ac:dyDescent="0.25">
      <c r="S5370" s="78">
        <v>32757</v>
      </c>
      <c r="T5370" s="29">
        <v>13.88</v>
      </c>
    </row>
    <row r="5371" spans="19:20" x14ac:dyDescent="0.25">
      <c r="S5371" s="78">
        <v>32758</v>
      </c>
      <c r="T5371" s="29">
        <v>13.88</v>
      </c>
    </row>
    <row r="5372" spans="19:20" x14ac:dyDescent="0.25">
      <c r="S5372" s="78">
        <v>32759</v>
      </c>
      <c r="T5372" s="29">
        <v>13.75</v>
      </c>
    </row>
    <row r="5373" spans="19:20" x14ac:dyDescent="0.25">
      <c r="S5373" s="78">
        <v>32760</v>
      </c>
      <c r="T5373" s="29">
        <v>13.75</v>
      </c>
    </row>
    <row r="5374" spans="19:20" x14ac:dyDescent="0.25">
      <c r="S5374" s="78">
        <v>32761</v>
      </c>
      <c r="T5374" s="29">
        <v>13.75</v>
      </c>
    </row>
    <row r="5375" spans="19:20" x14ac:dyDescent="0.25">
      <c r="S5375" s="78">
        <v>32762</v>
      </c>
      <c r="T5375" s="29">
        <v>13.75</v>
      </c>
    </row>
    <row r="5376" spans="19:20" x14ac:dyDescent="0.25">
      <c r="S5376" s="78">
        <v>32763</v>
      </c>
      <c r="T5376" s="29">
        <v>13.75</v>
      </c>
    </row>
    <row r="5377" spans="19:20" x14ac:dyDescent="0.25">
      <c r="S5377" s="78">
        <v>32764</v>
      </c>
      <c r="T5377" s="29">
        <v>13.75</v>
      </c>
    </row>
    <row r="5378" spans="19:20" x14ac:dyDescent="0.25">
      <c r="S5378" s="78">
        <v>32765</v>
      </c>
      <c r="T5378" s="29">
        <v>13.75</v>
      </c>
    </row>
    <row r="5379" spans="19:20" x14ac:dyDescent="0.25">
      <c r="S5379" s="78">
        <v>32766</v>
      </c>
      <c r="T5379" s="29">
        <v>13.75</v>
      </c>
    </row>
    <row r="5380" spans="19:20" x14ac:dyDescent="0.25">
      <c r="S5380" s="78">
        <v>32767</v>
      </c>
      <c r="T5380" s="29">
        <v>13.75</v>
      </c>
    </row>
    <row r="5381" spans="19:20" x14ac:dyDescent="0.25">
      <c r="S5381" s="78">
        <v>32768</v>
      </c>
      <c r="T5381" s="29">
        <v>13.75</v>
      </c>
    </row>
    <row r="5382" spans="19:20" x14ac:dyDescent="0.25">
      <c r="S5382" s="78">
        <v>32769</v>
      </c>
      <c r="T5382" s="29">
        <v>13.75</v>
      </c>
    </row>
    <row r="5383" spans="19:20" x14ac:dyDescent="0.25">
      <c r="S5383" s="78">
        <v>32770</v>
      </c>
      <c r="T5383" s="29">
        <v>13.75</v>
      </c>
    </row>
    <row r="5384" spans="19:20" x14ac:dyDescent="0.25">
      <c r="S5384" s="78">
        <v>32771</v>
      </c>
      <c r="T5384" s="29">
        <v>13.75</v>
      </c>
    </row>
    <row r="5385" spans="19:20" x14ac:dyDescent="0.25">
      <c r="S5385" s="78">
        <v>32772</v>
      </c>
      <c r="T5385" s="29">
        <v>13.75</v>
      </c>
    </row>
    <row r="5386" spans="19:20" x14ac:dyDescent="0.25">
      <c r="S5386" s="78">
        <v>32773</v>
      </c>
      <c r="T5386" s="29">
        <v>13.75</v>
      </c>
    </row>
    <row r="5387" spans="19:20" x14ac:dyDescent="0.25">
      <c r="S5387" s="78">
        <v>32774</v>
      </c>
      <c r="T5387" s="29">
        <v>13.75</v>
      </c>
    </row>
    <row r="5388" spans="19:20" x14ac:dyDescent="0.25">
      <c r="S5388" s="78">
        <v>32775</v>
      </c>
      <c r="T5388" s="29">
        <v>13.75</v>
      </c>
    </row>
    <row r="5389" spans="19:20" x14ac:dyDescent="0.25">
      <c r="S5389" s="78">
        <v>32776</v>
      </c>
      <c r="T5389" s="29">
        <v>13.75</v>
      </c>
    </row>
    <row r="5390" spans="19:20" x14ac:dyDescent="0.25">
      <c r="S5390" s="78">
        <v>32777</v>
      </c>
      <c r="T5390" s="29">
        <v>13.75</v>
      </c>
    </row>
    <row r="5391" spans="19:20" x14ac:dyDescent="0.25">
      <c r="S5391" s="78">
        <v>32778</v>
      </c>
      <c r="T5391" s="29">
        <v>13.75</v>
      </c>
    </row>
    <row r="5392" spans="19:20" x14ac:dyDescent="0.25">
      <c r="S5392" s="78">
        <v>32779</v>
      </c>
      <c r="T5392" s="29">
        <v>13.75</v>
      </c>
    </row>
    <row r="5393" spans="19:21" x14ac:dyDescent="0.25">
      <c r="S5393" s="78">
        <v>32780</v>
      </c>
      <c r="T5393" s="29">
        <v>13.75</v>
      </c>
    </row>
    <row r="5394" spans="19:21" x14ac:dyDescent="0.25">
      <c r="S5394" s="78">
        <v>32781</v>
      </c>
      <c r="T5394" s="29">
        <v>13.75</v>
      </c>
      <c r="U5394" s="40">
        <f>AVERAGE(T5303:T5394)</f>
        <v>13.759565217391305</v>
      </c>
    </row>
    <row r="5395" spans="19:21" x14ac:dyDescent="0.25">
      <c r="S5395" s="78">
        <v>32782</v>
      </c>
      <c r="T5395" s="29">
        <v>13.75</v>
      </c>
    </row>
    <row r="5396" spans="19:21" x14ac:dyDescent="0.25">
      <c r="S5396" s="78">
        <v>32783</v>
      </c>
      <c r="T5396" s="29">
        <v>13.75</v>
      </c>
    </row>
    <row r="5397" spans="19:21" x14ac:dyDescent="0.25">
      <c r="S5397" s="78">
        <v>32784</v>
      </c>
      <c r="T5397" s="29">
        <v>13.75</v>
      </c>
    </row>
    <row r="5398" spans="19:21" x14ac:dyDescent="0.25">
      <c r="S5398" s="78">
        <v>32785</v>
      </c>
      <c r="T5398" s="29">
        <v>13.75</v>
      </c>
    </row>
    <row r="5399" spans="19:21" x14ac:dyDescent="0.25">
      <c r="S5399" s="78">
        <v>32786</v>
      </c>
      <c r="T5399" s="29">
        <v>13.75</v>
      </c>
    </row>
    <row r="5400" spans="19:21" x14ac:dyDescent="0.25">
      <c r="S5400" s="78">
        <v>32787</v>
      </c>
      <c r="T5400" s="29">
        <v>14.88</v>
      </c>
    </row>
    <row r="5401" spans="19:21" x14ac:dyDescent="0.25">
      <c r="S5401" s="78">
        <v>32788</v>
      </c>
      <c r="T5401" s="29">
        <v>14.88</v>
      </c>
    </row>
    <row r="5402" spans="19:21" x14ac:dyDescent="0.25">
      <c r="S5402" s="78">
        <v>32789</v>
      </c>
      <c r="T5402" s="29">
        <v>14.88</v>
      </c>
    </row>
    <row r="5403" spans="19:21" x14ac:dyDescent="0.25">
      <c r="S5403" s="78">
        <v>32790</v>
      </c>
      <c r="T5403" s="29">
        <v>14.88</v>
      </c>
    </row>
    <row r="5404" spans="19:21" x14ac:dyDescent="0.25">
      <c r="S5404" s="78">
        <v>32791</v>
      </c>
      <c r="T5404" s="29">
        <v>14.88</v>
      </c>
    </row>
    <row r="5405" spans="19:21" x14ac:dyDescent="0.25">
      <c r="S5405" s="78">
        <v>32792</v>
      </c>
      <c r="T5405" s="29">
        <v>14.88</v>
      </c>
    </row>
    <row r="5406" spans="19:21" x14ac:dyDescent="0.25">
      <c r="S5406" s="78">
        <v>32793</v>
      </c>
      <c r="T5406" s="29">
        <v>14.88</v>
      </c>
    </row>
    <row r="5407" spans="19:21" x14ac:dyDescent="0.25">
      <c r="S5407" s="78">
        <v>32794</v>
      </c>
      <c r="T5407" s="29">
        <v>14.88</v>
      </c>
    </row>
    <row r="5408" spans="19:21" x14ac:dyDescent="0.25">
      <c r="S5408" s="78">
        <v>32795</v>
      </c>
      <c r="T5408" s="29">
        <v>14.88</v>
      </c>
    </row>
    <row r="5409" spans="19:20" x14ac:dyDescent="0.25">
      <c r="S5409" s="78">
        <v>32796</v>
      </c>
      <c r="T5409" s="29">
        <v>14.88</v>
      </c>
    </row>
    <row r="5410" spans="19:20" x14ac:dyDescent="0.25">
      <c r="S5410" s="78">
        <v>32797</v>
      </c>
      <c r="T5410" s="29">
        <v>14.88</v>
      </c>
    </row>
    <row r="5411" spans="19:20" x14ac:dyDescent="0.25">
      <c r="S5411" s="78">
        <v>32798</v>
      </c>
      <c r="T5411" s="29">
        <v>14.88</v>
      </c>
    </row>
    <row r="5412" spans="19:20" x14ac:dyDescent="0.25">
      <c r="S5412" s="78">
        <v>32799</v>
      </c>
      <c r="T5412" s="29">
        <v>14.88</v>
      </c>
    </row>
    <row r="5413" spans="19:20" x14ac:dyDescent="0.25">
      <c r="S5413" s="78">
        <v>32800</v>
      </c>
      <c r="T5413" s="29">
        <v>14.88</v>
      </c>
    </row>
    <row r="5414" spans="19:20" x14ac:dyDescent="0.25">
      <c r="S5414" s="78">
        <v>32801</v>
      </c>
      <c r="T5414" s="29">
        <v>14.88</v>
      </c>
    </row>
    <row r="5415" spans="19:20" x14ac:dyDescent="0.25">
      <c r="S5415" s="78">
        <v>32802</v>
      </c>
      <c r="T5415" s="29">
        <v>14.88</v>
      </c>
    </row>
    <row r="5416" spans="19:20" x14ac:dyDescent="0.25">
      <c r="S5416" s="78">
        <v>32803</v>
      </c>
      <c r="T5416" s="29">
        <v>14.88</v>
      </c>
    </row>
    <row r="5417" spans="19:20" x14ac:dyDescent="0.25">
      <c r="S5417" s="78">
        <v>32804</v>
      </c>
      <c r="T5417" s="29">
        <v>14.88</v>
      </c>
    </row>
    <row r="5418" spans="19:20" x14ac:dyDescent="0.25">
      <c r="S5418" s="78">
        <v>32805</v>
      </c>
      <c r="T5418" s="29">
        <v>14.88</v>
      </c>
    </row>
    <row r="5419" spans="19:20" x14ac:dyDescent="0.25">
      <c r="S5419" s="78">
        <v>32806</v>
      </c>
      <c r="T5419" s="29">
        <v>14.88</v>
      </c>
    </row>
    <row r="5420" spans="19:20" x14ac:dyDescent="0.25">
      <c r="S5420" s="78">
        <v>32807</v>
      </c>
      <c r="T5420" s="29">
        <v>14.88</v>
      </c>
    </row>
    <row r="5421" spans="19:20" x14ac:dyDescent="0.25">
      <c r="S5421" s="78">
        <v>32808</v>
      </c>
      <c r="T5421" s="29">
        <v>14.88</v>
      </c>
    </row>
    <row r="5422" spans="19:20" x14ac:dyDescent="0.25">
      <c r="S5422" s="78">
        <v>32809</v>
      </c>
      <c r="T5422" s="29">
        <v>14.88</v>
      </c>
    </row>
    <row r="5423" spans="19:20" x14ac:dyDescent="0.25">
      <c r="S5423" s="78">
        <v>32810</v>
      </c>
      <c r="T5423" s="29">
        <v>14.88</v>
      </c>
    </row>
    <row r="5424" spans="19:20" x14ac:dyDescent="0.25">
      <c r="S5424" s="78">
        <v>32811</v>
      </c>
      <c r="T5424" s="29">
        <v>14.88</v>
      </c>
    </row>
    <row r="5425" spans="19:20" x14ac:dyDescent="0.25">
      <c r="S5425" s="78">
        <v>32812</v>
      </c>
      <c r="T5425" s="29">
        <v>14.88</v>
      </c>
    </row>
    <row r="5426" spans="19:20" x14ac:dyDescent="0.25">
      <c r="S5426" s="78">
        <v>32813</v>
      </c>
      <c r="T5426" s="29">
        <v>14.88</v>
      </c>
    </row>
    <row r="5427" spans="19:20" x14ac:dyDescent="0.25">
      <c r="S5427" s="78">
        <v>32814</v>
      </c>
      <c r="T5427" s="29">
        <v>14.88</v>
      </c>
    </row>
    <row r="5428" spans="19:20" x14ac:dyDescent="0.25">
      <c r="S5428" s="78">
        <v>32815</v>
      </c>
      <c r="T5428" s="29">
        <v>14.88</v>
      </c>
    </row>
    <row r="5429" spans="19:20" x14ac:dyDescent="0.25">
      <c r="S5429" s="78">
        <v>32816</v>
      </c>
      <c r="T5429" s="29">
        <v>14.88</v>
      </c>
    </row>
    <row r="5430" spans="19:20" x14ac:dyDescent="0.25">
      <c r="S5430" s="78">
        <v>32817</v>
      </c>
      <c r="T5430" s="29">
        <v>14.88</v>
      </c>
    </row>
    <row r="5431" spans="19:20" x14ac:dyDescent="0.25">
      <c r="S5431" s="78">
        <v>32818</v>
      </c>
      <c r="T5431" s="29">
        <v>14.88</v>
      </c>
    </row>
    <row r="5432" spans="19:20" x14ac:dyDescent="0.25">
      <c r="S5432" s="78">
        <v>32819</v>
      </c>
      <c r="T5432" s="29">
        <v>14.88</v>
      </c>
    </row>
    <row r="5433" spans="19:20" x14ac:dyDescent="0.25">
      <c r="S5433" s="78">
        <v>32820</v>
      </c>
      <c r="T5433" s="29">
        <v>14.88</v>
      </c>
    </row>
    <row r="5434" spans="19:20" x14ac:dyDescent="0.25">
      <c r="S5434" s="78">
        <v>32821</v>
      </c>
      <c r="T5434" s="29">
        <v>14.88</v>
      </c>
    </row>
    <row r="5435" spans="19:20" x14ac:dyDescent="0.25">
      <c r="S5435" s="78">
        <v>32822</v>
      </c>
      <c r="T5435" s="29">
        <v>14.88</v>
      </c>
    </row>
    <row r="5436" spans="19:20" x14ac:dyDescent="0.25">
      <c r="S5436" s="78">
        <v>32823</v>
      </c>
      <c r="T5436" s="29">
        <v>14.88</v>
      </c>
    </row>
    <row r="5437" spans="19:20" x14ac:dyDescent="0.25">
      <c r="S5437" s="78">
        <v>32824</v>
      </c>
      <c r="T5437" s="29">
        <v>14.88</v>
      </c>
    </row>
    <row r="5438" spans="19:20" x14ac:dyDescent="0.25">
      <c r="S5438" s="78">
        <v>32825</v>
      </c>
      <c r="T5438" s="29">
        <v>14.88</v>
      </c>
    </row>
    <row r="5439" spans="19:20" x14ac:dyDescent="0.25">
      <c r="S5439" s="78">
        <v>32826</v>
      </c>
      <c r="T5439" s="29">
        <v>14.88</v>
      </c>
    </row>
    <row r="5440" spans="19:20" x14ac:dyDescent="0.25">
      <c r="S5440" s="78">
        <v>32827</v>
      </c>
      <c r="T5440" s="29">
        <v>14.88</v>
      </c>
    </row>
    <row r="5441" spans="19:20" x14ac:dyDescent="0.25">
      <c r="S5441" s="78">
        <v>32828</v>
      </c>
      <c r="T5441" s="29">
        <v>14.88</v>
      </c>
    </row>
    <row r="5442" spans="19:20" x14ac:dyDescent="0.25">
      <c r="S5442" s="78">
        <v>32829</v>
      </c>
      <c r="T5442" s="29">
        <v>14.88</v>
      </c>
    </row>
    <row r="5443" spans="19:20" x14ac:dyDescent="0.25">
      <c r="S5443" s="78">
        <v>32830</v>
      </c>
      <c r="T5443" s="29">
        <v>14.88</v>
      </c>
    </row>
    <row r="5444" spans="19:20" x14ac:dyDescent="0.25">
      <c r="S5444" s="78">
        <v>32831</v>
      </c>
      <c r="T5444" s="29">
        <v>14.88</v>
      </c>
    </row>
    <row r="5445" spans="19:20" x14ac:dyDescent="0.25">
      <c r="S5445" s="78">
        <v>32832</v>
      </c>
      <c r="T5445" s="29">
        <v>14.88</v>
      </c>
    </row>
    <row r="5446" spans="19:20" x14ac:dyDescent="0.25">
      <c r="S5446" s="78">
        <v>32833</v>
      </c>
      <c r="T5446" s="29">
        <v>14.88</v>
      </c>
    </row>
    <row r="5447" spans="19:20" x14ac:dyDescent="0.25">
      <c r="S5447" s="78">
        <v>32834</v>
      </c>
      <c r="T5447" s="29">
        <v>14.88</v>
      </c>
    </row>
    <row r="5448" spans="19:20" x14ac:dyDescent="0.25">
      <c r="S5448" s="78">
        <v>32835</v>
      </c>
      <c r="T5448" s="29">
        <v>14.88</v>
      </c>
    </row>
    <row r="5449" spans="19:20" x14ac:dyDescent="0.25">
      <c r="S5449" s="78">
        <v>32836</v>
      </c>
      <c r="T5449" s="29">
        <v>14.88</v>
      </c>
    </row>
    <row r="5450" spans="19:20" x14ac:dyDescent="0.25">
      <c r="S5450" s="78">
        <v>32837</v>
      </c>
      <c r="T5450" s="29">
        <v>14.88</v>
      </c>
    </row>
    <row r="5451" spans="19:20" x14ac:dyDescent="0.25">
      <c r="S5451" s="78">
        <v>32838</v>
      </c>
      <c r="T5451" s="29">
        <v>14.88</v>
      </c>
    </row>
    <row r="5452" spans="19:20" x14ac:dyDescent="0.25">
      <c r="S5452" s="78">
        <v>32839</v>
      </c>
      <c r="T5452" s="29">
        <v>14.88</v>
      </c>
    </row>
    <row r="5453" spans="19:20" x14ac:dyDescent="0.25">
      <c r="S5453" s="78">
        <v>32840</v>
      </c>
      <c r="T5453" s="29">
        <v>14.88</v>
      </c>
    </row>
    <row r="5454" spans="19:20" x14ac:dyDescent="0.25">
      <c r="S5454" s="78">
        <v>32841</v>
      </c>
      <c r="T5454" s="29">
        <v>14.88</v>
      </c>
    </row>
    <row r="5455" spans="19:20" x14ac:dyDescent="0.25">
      <c r="S5455" s="78">
        <v>32842</v>
      </c>
      <c r="T5455" s="29">
        <v>14.88</v>
      </c>
    </row>
    <row r="5456" spans="19:20" x14ac:dyDescent="0.25">
      <c r="S5456" s="78">
        <v>32843</v>
      </c>
      <c r="T5456" s="29">
        <v>14.88</v>
      </c>
    </row>
    <row r="5457" spans="19:20" x14ac:dyDescent="0.25">
      <c r="S5457" s="78">
        <v>32844</v>
      </c>
      <c r="T5457" s="29">
        <v>14.88</v>
      </c>
    </row>
    <row r="5458" spans="19:20" x14ac:dyDescent="0.25">
      <c r="S5458" s="78">
        <v>32845</v>
      </c>
      <c r="T5458" s="29">
        <v>14.88</v>
      </c>
    </row>
    <row r="5459" spans="19:20" x14ac:dyDescent="0.25">
      <c r="S5459" s="78">
        <v>32846</v>
      </c>
      <c r="T5459" s="29">
        <v>14.88</v>
      </c>
    </row>
    <row r="5460" spans="19:20" x14ac:dyDescent="0.25">
      <c r="S5460" s="78">
        <v>32847</v>
      </c>
      <c r="T5460" s="29">
        <v>14.88</v>
      </c>
    </row>
    <row r="5461" spans="19:20" x14ac:dyDescent="0.25">
      <c r="S5461" s="78">
        <v>32848</v>
      </c>
      <c r="T5461" s="29">
        <v>14.88</v>
      </c>
    </row>
    <row r="5462" spans="19:20" x14ac:dyDescent="0.25">
      <c r="S5462" s="78">
        <v>32849</v>
      </c>
      <c r="T5462" s="29">
        <v>14.88</v>
      </c>
    </row>
    <row r="5463" spans="19:20" x14ac:dyDescent="0.25">
      <c r="S5463" s="78">
        <v>32850</v>
      </c>
      <c r="T5463" s="29">
        <v>14.88</v>
      </c>
    </row>
    <row r="5464" spans="19:20" x14ac:dyDescent="0.25">
      <c r="S5464" s="78">
        <v>32851</v>
      </c>
      <c r="T5464" s="29">
        <v>14.88</v>
      </c>
    </row>
    <row r="5465" spans="19:20" x14ac:dyDescent="0.25">
      <c r="S5465" s="78">
        <v>32852</v>
      </c>
      <c r="T5465" s="29">
        <v>14.88</v>
      </c>
    </row>
    <row r="5466" spans="19:20" x14ac:dyDescent="0.25">
      <c r="S5466" s="78">
        <v>32853</v>
      </c>
      <c r="T5466" s="29">
        <v>14.88</v>
      </c>
    </row>
    <row r="5467" spans="19:20" x14ac:dyDescent="0.25">
      <c r="S5467" s="78">
        <v>32854</v>
      </c>
      <c r="T5467" s="29">
        <v>14.88</v>
      </c>
    </row>
    <row r="5468" spans="19:20" x14ac:dyDescent="0.25">
      <c r="S5468" s="78">
        <v>32855</v>
      </c>
      <c r="T5468" s="29">
        <v>14.88</v>
      </c>
    </row>
    <row r="5469" spans="19:20" x14ac:dyDescent="0.25">
      <c r="S5469" s="78">
        <v>32856</v>
      </c>
      <c r="T5469" s="29">
        <v>14.88</v>
      </c>
    </row>
    <row r="5470" spans="19:20" x14ac:dyDescent="0.25">
      <c r="S5470" s="78">
        <v>32857</v>
      </c>
      <c r="T5470" s="29">
        <v>14.88</v>
      </c>
    </row>
    <row r="5471" spans="19:20" x14ac:dyDescent="0.25">
      <c r="S5471" s="78">
        <v>32858</v>
      </c>
      <c r="T5471" s="29">
        <v>14.88</v>
      </c>
    </row>
    <row r="5472" spans="19:20" x14ac:dyDescent="0.25">
      <c r="S5472" s="78">
        <v>32859</v>
      </c>
      <c r="T5472" s="29">
        <v>14.88</v>
      </c>
    </row>
    <row r="5473" spans="19:21" x14ac:dyDescent="0.25">
      <c r="S5473" s="78">
        <v>32860</v>
      </c>
      <c r="T5473" s="29">
        <v>14.88</v>
      </c>
    </row>
    <row r="5474" spans="19:21" x14ac:dyDescent="0.25">
      <c r="S5474" s="78">
        <v>32861</v>
      </c>
      <c r="T5474" s="29">
        <v>14.88</v>
      </c>
    </row>
    <row r="5475" spans="19:21" x14ac:dyDescent="0.25">
      <c r="S5475" s="78">
        <v>32862</v>
      </c>
      <c r="T5475" s="29">
        <v>14.88</v>
      </c>
    </row>
    <row r="5476" spans="19:21" x14ac:dyDescent="0.25">
      <c r="S5476" s="78">
        <v>32863</v>
      </c>
      <c r="T5476" s="29">
        <v>14.88</v>
      </c>
    </row>
    <row r="5477" spans="19:21" x14ac:dyDescent="0.25">
      <c r="S5477" s="78">
        <v>32864</v>
      </c>
      <c r="T5477" s="29">
        <v>14.88</v>
      </c>
    </row>
    <row r="5478" spans="19:21" x14ac:dyDescent="0.25">
      <c r="S5478" s="78">
        <v>32865</v>
      </c>
      <c r="T5478" s="29">
        <v>14.88</v>
      </c>
    </row>
    <row r="5479" spans="19:21" x14ac:dyDescent="0.25">
      <c r="S5479" s="78">
        <v>32866</v>
      </c>
      <c r="T5479" s="29">
        <v>14.88</v>
      </c>
    </row>
    <row r="5480" spans="19:21" x14ac:dyDescent="0.25">
      <c r="S5480" s="78">
        <v>32867</v>
      </c>
      <c r="T5480" s="29">
        <v>14.88</v>
      </c>
    </row>
    <row r="5481" spans="19:21" x14ac:dyDescent="0.25">
      <c r="S5481" s="78">
        <v>32868</v>
      </c>
      <c r="T5481" s="29">
        <v>14.88</v>
      </c>
    </row>
    <row r="5482" spans="19:21" x14ac:dyDescent="0.25">
      <c r="S5482" s="78">
        <v>32869</v>
      </c>
      <c r="T5482" s="29">
        <v>14.88</v>
      </c>
    </row>
    <row r="5483" spans="19:21" x14ac:dyDescent="0.25">
      <c r="S5483" s="78">
        <v>32870</v>
      </c>
      <c r="T5483" s="29">
        <v>14.88</v>
      </c>
    </row>
    <row r="5484" spans="19:21" x14ac:dyDescent="0.25">
      <c r="S5484" s="78">
        <v>32871</v>
      </c>
      <c r="T5484" s="29">
        <v>14.88</v>
      </c>
    </row>
    <row r="5485" spans="19:21" x14ac:dyDescent="0.25">
      <c r="S5485" s="78">
        <v>32872</v>
      </c>
      <c r="T5485" s="29">
        <v>14.88</v>
      </c>
    </row>
    <row r="5486" spans="19:21" x14ac:dyDescent="0.25">
      <c r="S5486" s="78">
        <v>32873</v>
      </c>
      <c r="T5486" s="29">
        <v>14.88</v>
      </c>
      <c r="U5486" s="40">
        <f>AVERAGE(T5395:T5486)</f>
        <v>14.818586956521763</v>
      </c>
    </row>
    <row r="5487" spans="19:21" x14ac:dyDescent="0.25">
      <c r="S5487" s="78">
        <v>32874</v>
      </c>
      <c r="T5487" s="29">
        <v>14.88</v>
      </c>
    </row>
    <row r="5488" spans="19:21" x14ac:dyDescent="0.25">
      <c r="S5488" s="78">
        <v>32875</v>
      </c>
      <c r="T5488" s="29">
        <v>14.88</v>
      </c>
    </row>
    <row r="5489" spans="19:20" x14ac:dyDescent="0.25">
      <c r="S5489" s="78">
        <v>32876</v>
      </c>
      <c r="T5489" s="29">
        <v>14.88</v>
      </c>
    </row>
    <row r="5490" spans="19:20" x14ac:dyDescent="0.25">
      <c r="S5490" s="78">
        <v>32877</v>
      </c>
      <c r="T5490" s="29">
        <v>14.88</v>
      </c>
    </row>
    <row r="5491" spans="19:20" x14ac:dyDescent="0.25">
      <c r="S5491" s="78">
        <v>32878</v>
      </c>
      <c r="T5491" s="29">
        <v>14.88</v>
      </c>
    </row>
    <row r="5492" spans="19:20" x14ac:dyDescent="0.25">
      <c r="S5492" s="78">
        <v>32879</v>
      </c>
      <c r="T5492" s="29">
        <v>14.88</v>
      </c>
    </row>
    <row r="5493" spans="19:20" x14ac:dyDescent="0.25">
      <c r="S5493" s="78">
        <v>32880</v>
      </c>
      <c r="T5493" s="29">
        <v>14.88</v>
      </c>
    </row>
    <row r="5494" spans="19:20" x14ac:dyDescent="0.25">
      <c r="S5494" s="78">
        <v>32881</v>
      </c>
      <c r="T5494" s="29">
        <v>14.88</v>
      </c>
    </row>
    <row r="5495" spans="19:20" x14ac:dyDescent="0.25">
      <c r="S5495" s="78">
        <v>32882</v>
      </c>
      <c r="T5495" s="29">
        <v>14.88</v>
      </c>
    </row>
    <row r="5496" spans="19:20" x14ac:dyDescent="0.25">
      <c r="S5496" s="78">
        <v>32883</v>
      </c>
      <c r="T5496" s="29">
        <v>14.88</v>
      </c>
    </row>
    <row r="5497" spans="19:20" x14ac:dyDescent="0.25">
      <c r="S5497" s="78">
        <v>32884</v>
      </c>
      <c r="T5497" s="29">
        <v>14.88</v>
      </c>
    </row>
    <row r="5498" spans="19:20" x14ac:dyDescent="0.25">
      <c r="S5498" s="78">
        <v>32885</v>
      </c>
      <c r="T5498" s="29">
        <v>14.88</v>
      </c>
    </row>
    <row r="5499" spans="19:20" x14ac:dyDescent="0.25">
      <c r="S5499" s="78">
        <v>32886</v>
      </c>
      <c r="T5499" s="29">
        <v>14.88</v>
      </c>
    </row>
    <row r="5500" spans="19:20" x14ac:dyDescent="0.25">
      <c r="S5500" s="78">
        <v>32887</v>
      </c>
      <c r="T5500" s="29">
        <v>14.88</v>
      </c>
    </row>
    <row r="5501" spans="19:20" x14ac:dyDescent="0.25">
      <c r="S5501" s="78">
        <v>32888</v>
      </c>
      <c r="T5501" s="29">
        <v>14.88</v>
      </c>
    </row>
    <row r="5502" spans="19:20" x14ac:dyDescent="0.25">
      <c r="S5502" s="78">
        <v>32889</v>
      </c>
      <c r="T5502" s="29">
        <v>14.88</v>
      </c>
    </row>
    <row r="5503" spans="19:20" x14ac:dyDescent="0.25">
      <c r="S5503" s="78">
        <v>32890</v>
      </c>
      <c r="T5503" s="29">
        <v>14.88</v>
      </c>
    </row>
    <row r="5504" spans="19:20" x14ac:dyDescent="0.25">
      <c r="S5504" s="78">
        <v>32891</v>
      </c>
      <c r="T5504" s="29">
        <v>14.88</v>
      </c>
    </row>
    <row r="5505" spans="19:20" x14ac:dyDescent="0.25">
      <c r="S5505" s="78">
        <v>32892</v>
      </c>
      <c r="T5505" s="29">
        <v>14.88</v>
      </c>
    </row>
    <row r="5506" spans="19:20" x14ac:dyDescent="0.25">
      <c r="S5506" s="78">
        <v>32893</v>
      </c>
      <c r="T5506" s="29">
        <v>14.88</v>
      </c>
    </row>
    <row r="5507" spans="19:20" x14ac:dyDescent="0.25">
      <c r="S5507" s="78">
        <v>32894</v>
      </c>
      <c r="T5507" s="29">
        <v>14.88</v>
      </c>
    </row>
    <row r="5508" spans="19:20" x14ac:dyDescent="0.25">
      <c r="S5508" s="78">
        <v>32895</v>
      </c>
      <c r="T5508" s="29">
        <v>14.88</v>
      </c>
    </row>
    <row r="5509" spans="19:20" x14ac:dyDescent="0.25">
      <c r="S5509" s="78">
        <v>32896</v>
      </c>
      <c r="T5509" s="29">
        <v>14.88</v>
      </c>
    </row>
    <row r="5510" spans="19:20" x14ac:dyDescent="0.25">
      <c r="S5510" s="78">
        <v>32897</v>
      </c>
      <c r="T5510" s="29">
        <v>14.88</v>
      </c>
    </row>
    <row r="5511" spans="19:20" x14ac:dyDescent="0.25">
      <c r="S5511" s="78">
        <v>32898</v>
      </c>
      <c r="T5511" s="29">
        <v>14.88</v>
      </c>
    </row>
    <row r="5512" spans="19:20" x14ac:dyDescent="0.25">
      <c r="S5512" s="78">
        <v>32899</v>
      </c>
      <c r="T5512" s="29">
        <v>14.88</v>
      </c>
    </row>
    <row r="5513" spans="19:20" x14ac:dyDescent="0.25">
      <c r="S5513" s="78">
        <v>32900</v>
      </c>
      <c r="T5513" s="29">
        <v>14.88</v>
      </c>
    </row>
    <row r="5514" spans="19:20" x14ac:dyDescent="0.25">
      <c r="S5514" s="78">
        <v>32901</v>
      </c>
      <c r="T5514" s="29">
        <v>14.88</v>
      </c>
    </row>
    <row r="5515" spans="19:20" x14ac:dyDescent="0.25">
      <c r="S5515" s="78">
        <v>32902</v>
      </c>
      <c r="T5515" s="29">
        <v>14.88</v>
      </c>
    </row>
    <row r="5516" spans="19:20" x14ac:dyDescent="0.25">
      <c r="S5516" s="78">
        <v>32903</v>
      </c>
      <c r="T5516" s="29">
        <v>14.88</v>
      </c>
    </row>
    <row r="5517" spans="19:20" x14ac:dyDescent="0.25">
      <c r="S5517" s="78">
        <v>32904</v>
      </c>
      <c r="T5517" s="29">
        <v>14.88</v>
      </c>
    </row>
    <row r="5518" spans="19:20" x14ac:dyDescent="0.25">
      <c r="S5518" s="78">
        <v>32905</v>
      </c>
      <c r="T5518" s="29">
        <v>14.88</v>
      </c>
    </row>
    <row r="5519" spans="19:20" x14ac:dyDescent="0.25">
      <c r="S5519" s="78">
        <v>32906</v>
      </c>
      <c r="T5519" s="29">
        <v>14.88</v>
      </c>
    </row>
    <row r="5520" spans="19:20" x14ac:dyDescent="0.25">
      <c r="S5520" s="78">
        <v>32907</v>
      </c>
      <c r="T5520" s="29">
        <v>14.88</v>
      </c>
    </row>
    <row r="5521" spans="19:20" x14ac:dyDescent="0.25">
      <c r="S5521" s="78">
        <v>32908</v>
      </c>
      <c r="T5521" s="29">
        <v>14.88</v>
      </c>
    </row>
    <row r="5522" spans="19:20" x14ac:dyDescent="0.25">
      <c r="S5522" s="78">
        <v>32909</v>
      </c>
      <c r="T5522" s="29">
        <v>14.88</v>
      </c>
    </row>
    <row r="5523" spans="19:20" x14ac:dyDescent="0.25">
      <c r="S5523" s="78">
        <v>32910</v>
      </c>
      <c r="T5523" s="29">
        <v>14.88</v>
      </c>
    </row>
    <row r="5524" spans="19:20" x14ac:dyDescent="0.25">
      <c r="S5524" s="78">
        <v>32911</v>
      </c>
      <c r="T5524" s="29">
        <v>14.88</v>
      </c>
    </row>
    <row r="5525" spans="19:20" x14ac:dyDescent="0.25">
      <c r="S5525" s="78">
        <v>32912</v>
      </c>
      <c r="T5525" s="29">
        <v>14.88</v>
      </c>
    </row>
    <row r="5526" spans="19:20" x14ac:dyDescent="0.25">
      <c r="S5526" s="78">
        <v>32913</v>
      </c>
      <c r="T5526" s="29">
        <v>14.88</v>
      </c>
    </row>
    <row r="5527" spans="19:20" x14ac:dyDescent="0.25">
      <c r="S5527" s="78">
        <v>32914</v>
      </c>
      <c r="T5527" s="29">
        <v>14.88</v>
      </c>
    </row>
    <row r="5528" spans="19:20" x14ac:dyDescent="0.25">
      <c r="S5528" s="78">
        <v>32915</v>
      </c>
      <c r="T5528" s="29">
        <v>14.88</v>
      </c>
    </row>
    <row r="5529" spans="19:20" x14ac:dyDescent="0.25">
      <c r="S5529" s="78">
        <v>32916</v>
      </c>
      <c r="T5529" s="29">
        <v>14.88</v>
      </c>
    </row>
    <row r="5530" spans="19:20" x14ac:dyDescent="0.25">
      <c r="S5530" s="78">
        <v>32917</v>
      </c>
      <c r="T5530" s="29">
        <v>14.88</v>
      </c>
    </row>
    <row r="5531" spans="19:20" x14ac:dyDescent="0.25">
      <c r="S5531" s="78">
        <v>32918</v>
      </c>
      <c r="T5531" s="29">
        <v>14.88</v>
      </c>
    </row>
    <row r="5532" spans="19:20" x14ac:dyDescent="0.25">
      <c r="S5532" s="78">
        <v>32919</v>
      </c>
      <c r="T5532" s="29">
        <v>14.88</v>
      </c>
    </row>
    <row r="5533" spans="19:20" x14ac:dyDescent="0.25">
      <c r="S5533" s="78">
        <v>32920</v>
      </c>
      <c r="T5533" s="29">
        <v>14.88</v>
      </c>
    </row>
    <row r="5534" spans="19:20" x14ac:dyDescent="0.25">
      <c r="S5534" s="78">
        <v>32921</v>
      </c>
      <c r="T5534" s="29">
        <v>14.88</v>
      </c>
    </row>
    <row r="5535" spans="19:20" x14ac:dyDescent="0.25">
      <c r="S5535" s="78">
        <v>32922</v>
      </c>
      <c r="T5535" s="29">
        <v>14.88</v>
      </c>
    </row>
    <row r="5536" spans="19:20" x14ac:dyDescent="0.25">
      <c r="S5536" s="78">
        <v>32923</v>
      </c>
      <c r="T5536" s="29">
        <v>14.88</v>
      </c>
    </row>
    <row r="5537" spans="19:20" x14ac:dyDescent="0.25">
      <c r="S5537" s="78">
        <v>32924</v>
      </c>
      <c r="T5537" s="29">
        <v>14.88</v>
      </c>
    </row>
    <row r="5538" spans="19:20" x14ac:dyDescent="0.25">
      <c r="S5538" s="78">
        <v>32925</v>
      </c>
      <c r="T5538" s="29">
        <v>14.88</v>
      </c>
    </row>
    <row r="5539" spans="19:20" x14ac:dyDescent="0.25">
      <c r="S5539" s="78">
        <v>32926</v>
      </c>
      <c r="T5539" s="29">
        <v>14.88</v>
      </c>
    </row>
    <row r="5540" spans="19:20" x14ac:dyDescent="0.25">
      <c r="S5540" s="78">
        <v>32927</v>
      </c>
      <c r="T5540" s="29">
        <v>14.88</v>
      </c>
    </row>
    <row r="5541" spans="19:20" x14ac:dyDescent="0.25">
      <c r="S5541" s="78">
        <v>32928</v>
      </c>
      <c r="T5541" s="29">
        <v>14.88</v>
      </c>
    </row>
    <row r="5542" spans="19:20" x14ac:dyDescent="0.25">
      <c r="S5542" s="78">
        <v>32929</v>
      </c>
      <c r="T5542" s="29">
        <v>14.88</v>
      </c>
    </row>
    <row r="5543" spans="19:20" x14ac:dyDescent="0.25">
      <c r="S5543" s="78">
        <v>32930</v>
      </c>
      <c r="T5543" s="29">
        <v>14.88</v>
      </c>
    </row>
    <row r="5544" spans="19:20" x14ac:dyDescent="0.25">
      <c r="S5544" s="78">
        <v>32931</v>
      </c>
      <c r="T5544" s="29">
        <v>14.88</v>
      </c>
    </row>
    <row r="5545" spans="19:20" x14ac:dyDescent="0.25">
      <c r="S5545" s="78">
        <v>32932</v>
      </c>
      <c r="T5545" s="29">
        <v>14.88</v>
      </c>
    </row>
    <row r="5546" spans="19:20" x14ac:dyDescent="0.25">
      <c r="S5546" s="78">
        <v>32933</v>
      </c>
      <c r="T5546" s="29">
        <v>14.88</v>
      </c>
    </row>
    <row r="5547" spans="19:20" x14ac:dyDescent="0.25">
      <c r="S5547" s="78">
        <v>32934</v>
      </c>
      <c r="T5547" s="29">
        <v>14.88</v>
      </c>
    </row>
    <row r="5548" spans="19:20" x14ac:dyDescent="0.25">
      <c r="S5548" s="78">
        <v>32935</v>
      </c>
      <c r="T5548" s="29">
        <v>14.88</v>
      </c>
    </row>
    <row r="5549" spans="19:20" x14ac:dyDescent="0.25">
      <c r="S5549" s="78">
        <v>32936</v>
      </c>
      <c r="T5549" s="29">
        <v>14.88</v>
      </c>
    </row>
    <row r="5550" spans="19:20" x14ac:dyDescent="0.25">
      <c r="S5550" s="78">
        <v>32937</v>
      </c>
      <c r="T5550" s="29">
        <v>14.88</v>
      </c>
    </row>
    <row r="5551" spans="19:20" x14ac:dyDescent="0.25">
      <c r="S5551" s="78">
        <v>32938</v>
      </c>
      <c r="T5551" s="29">
        <v>14.88</v>
      </c>
    </row>
    <row r="5552" spans="19:20" x14ac:dyDescent="0.25">
      <c r="S5552" s="78">
        <v>32939</v>
      </c>
      <c r="T5552" s="29">
        <v>14.88</v>
      </c>
    </row>
    <row r="5553" spans="19:20" x14ac:dyDescent="0.25">
      <c r="S5553" s="78">
        <v>32940</v>
      </c>
      <c r="T5553" s="29">
        <v>14.88</v>
      </c>
    </row>
    <row r="5554" spans="19:20" x14ac:dyDescent="0.25">
      <c r="S5554" s="78">
        <v>32941</v>
      </c>
      <c r="T5554" s="29">
        <v>14.88</v>
      </c>
    </row>
    <row r="5555" spans="19:20" x14ac:dyDescent="0.25">
      <c r="S5555" s="78">
        <v>32942</v>
      </c>
      <c r="T5555" s="29">
        <v>14.88</v>
      </c>
    </row>
    <row r="5556" spans="19:20" x14ac:dyDescent="0.25">
      <c r="S5556" s="78">
        <v>32943</v>
      </c>
      <c r="T5556" s="29">
        <v>14.88</v>
      </c>
    </row>
    <row r="5557" spans="19:20" x14ac:dyDescent="0.25">
      <c r="S5557" s="78">
        <v>32944</v>
      </c>
      <c r="T5557" s="29">
        <v>14.88</v>
      </c>
    </row>
    <row r="5558" spans="19:20" x14ac:dyDescent="0.25">
      <c r="S5558" s="78">
        <v>32945</v>
      </c>
      <c r="T5558" s="29">
        <v>14.88</v>
      </c>
    </row>
    <row r="5559" spans="19:20" x14ac:dyDescent="0.25">
      <c r="S5559" s="78">
        <v>32946</v>
      </c>
      <c r="T5559" s="29">
        <v>14.88</v>
      </c>
    </row>
    <row r="5560" spans="19:20" x14ac:dyDescent="0.25">
      <c r="S5560" s="78">
        <v>32947</v>
      </c>
      <c r="T5560" s="29">
        <v>14.88</v>
      </c>
    </row>
    <row r="5561" spans="19:20" x14ac:dyDescent="0.25">
      <c r="S5561" s="78">
        <v>32948</v>
      </c>
      <c r="T5561" s="29">
        <v>14.88</v>
      </c>
    </row>
    <row r="5562" spans="19:20" x14ac:dyDescent="0.25">
      <c r="S5562" s="78">
        <v>32949</v>
      </c>
      <c r="T5562" s="29">
        <v>14.88</v>
      </c>
    </row>
    <row r="5563" spans="19:20" x14ac:dyDescent="0.25">
      <c r="S5563" s="78">
        <v>32950</v>
      </c>
      <c r="T5563" s="29">
        <v>14.88</v>
      </c>
    </row>
    <row r="5564" spans="19:20" x14ac:dyDescent="0.25">
      <c r="S5564" s="78">
        <v>32951</v>
      </c>
      <c r="T5564" s="29">
        <v>14.88</v>
      </c>
    </row>
    <row r="5565" spans="19:20" x14ac:dyDescent="0.25">
      <c r="S5565" s="78">
        <v>32952</v>
      </c>
      <c r="T5565" s="29">
        <v>14.88</v>
      </c>
    </row>
    <row r="5566" spans="19:20" x14ac:dyDescent="0.25">
      <c r="S5566" s="78">
        <v>32953</v>
      </c>
      <c r="T5566" s="29">
        <v>14.88</v>
      </c>
    </row>
    <row r="5567" spans="19:20" x14ac:dyDescent="0.25">
      <c r="S5567" s="78">
        <v>32954</v>
      </c>
      <c r="T5567" s="29">
        <v>14.88</v>
      </c>
    </row>
    <row r="5568" spans="19:20" x14ac:dyDescent="0.25">
      <c r="S5568" s="78">
        <v>32955</v>
      </c>
      <c r="T5568" s="29">
        <v>14.88</v>
      </c>
    </row>
    <row r="5569" spans="19:21" x14ac:dyDescent="0.25">
      <c r="S5569" s="78">
        <v>32956</v>
      </c>
      <c r="T5569" s="29">
        <v>14.88</v>
      </c>
    </row>
    <row r="5570" spans="19:21" x14ac:dyDescent="0.25">
      <c r="S5570" s="78">
        <v>32957</v>
      </c>
      <c r="T5570" s="29">
        <v>14.88</v>
      </c>
    </row>
    <row r="5571" spans="19:21" x14ac:dyDescent="0.25">
      <c r="S5571" s="78">
        <v>32958</v>
      </c>
      <c r="T5571" s="29">
        <v>14.88</v>
      </c>
    </row>
    <row r="5572" spans="19:21" x14ac:dyDescent="0.25">
      <c r="S5572" s="78">
        <v>32959</v>
      </c>
      <c r="T5572" s="29">
        <v>14.88</v>
      </c>
    </row>
    <row r="5573" spans="19:21" x14ac:dyDescent="0.25">
      <c r="S5573" s="78">
        <v>32960</v>
      </c>
      <c r="T5573" s="29">
        <v>14.88</v>
      </c>
    </row>
    <row r="5574" spans="19:21" x14ac:dyDescent="0.25">
      <c r="S5574" s="78">
        <v>32961</v>
      </c>
      <c r="T5574" s="29">
        <v>14.88</v>
      </c>
    </row>
    <row r="5575" spans="19:21" x14ac:dyDescent="0.25">
      <c r="S5575" s="78">
        <v>32962</v>
      </c>
      <c r="T5575" s="29">
        <v>14.88</v>
      </c>
    </row>
    <row r="5576" spans="19:21" x14ac:dyDescent="0.25">
      <c r="S5576" s="78">
        <v>32963</v>
      </c>
      <c r="T5576" s="29">
        <v>14.88</v>
      </c>
      <c r="U5576" s="39">
        <f>AVERAGE(T5487:T5576)</f>
        <v>14.880000000000024</v>
      </c>
    </row>
    <row r="5577" spans="19:21" x14ac:dyDescent="0.25">
      <c r="S5577" s="78">
        <v>32964</v>
      </c>
      <c r="T5577" s="29">
        <v>14.88</v>
      </c>
    </row>
    <row r="5578" spans="19:21" x14ac:dyDescent="0.25">
      <c r="S5578" s="78">
        <v>32965</v>
      </c>
      <c r="T5578" s="29">
        <v>14.88</v>
      </c>
    </row>
    <row r="5579" spans="19:21" x14ac:dyDescent="0.25">
      <c r="S5579" s="78">
        <v>32966</v>
      </c>
      <c r="T5579" s="29">
        <v>14.88</v>
      </c>
    </row>
    <row r="5580" spans="19:21" x14ac:dyDescent="0.25">
      <c r="S5580" s="78">
        <v>32967</v>
      </c>
      <c r="T5580" s="29">
        <v>14.88</v>
      </c>
    </row>
    <row r="5581" spans="19:21" x14ac:dyDescent="0.25">
      <c r="S5581" s="78">
        <v>32968</v>
      </c>
      <c r="T5581" s="29">
        <v>14.88</v>
      </c>
    </row>
    <row r="5582" spans="19:21" x14ac:dyDescent="0.25">
      <c r="S5582" s="78">
        <v>32969</v>
      </c>
      <c r="T5582" s="29">
        <v>14.88</v>
      </c>
    </row>
    <row r="5583" spans="19:21" x14ac:dyDescent="0.25">
      <c r="S5583" s="78">
        <v>32970</v>
      </c>
      <c r="T5583" s="29">
        <v>14.88</v>
      </c>
    </row>
    <row r="5584" spans="19:21" x14ac:dyDescent="0.25">
      <c r="S5584" s="78">
        <v>32971</v>
      </c>
      <c r="T5584" s="29">
        <v>14.88</v>
      </c>
    </row>
    <row r="5585" spans="19:20" x14ac:dyDescent="0.25">
      <c r="S5585" s="78">
        <v>32972</v>
      </c>
      <c r="T5585" s="29">
        <v>14.88</v>
      </c>
    </row>
    <row r="5586" spans="19:20" x14ac:dyDescent="0.25">
      <c r="S5586" s="78">
        <v>32973</v>
      </c>
      <c r="T5586" s="29">
        <v>14.88</v>
      </c>
    </row>
    <row r="5587" spans="19:20" x14ac:dyDescent="0.25">
      <c r="S5587" s="78">
        <v>32974</v>
      </c>
      <c r="T5587" s="29">
        <v>14.88</v>
      </c>
    </row>
    <row r="5588" spans="19:20" x14ac:dyDescent="0.25">
      <c r="S5588" s="78">
        <v>32975</v>
      </c>
      <c r="T5588" s="29">
        <v>14.88</v>
      </c>
    </row>
    <row r="5589" spans="19:20" x14ac:dyDescent="0.25">
      <c r="S5589" s="78">
        <v>32976</v>
      </c>
      <c r="T5589" s="29">
        <v>14.88</v>
      </c>
    </row>
    <row r="5590" spans="19:20" x14ac:dyDescent="0.25">
      <c r="S5590" s="78">
        <v>32977</v>
      </c>
      <c r="T5590" s="29">
        <v>14.88</v>
      </c>
    </row>
    <row r="5591" spans="19:20" x14ac:dyDescent="0.25">
      <c r="S5591" s="78">
        <v>32978</v>
      </c>
      <c r="T5591" s="29">
        <v>14.88</v>
      </c>
    </row>
    <row r="5592" spans="19:20" x14ac:dyDescent="0.25">
      <c r="S5592" s="78">
        <v>32979</v>
      </c>
      <c r="T5592" s="29">
        <v>14.88</v>
      </c>
    </row>
    <row r="5593" spans="19:20" x14ac:dyDescent="0.25">
      <c r="S5593" s="78">
        <v>32980</v>
      </c>
      <c r="T5593" s="29">
        <v>14.88</v>
      </c>
    </row>
    <row r="5594" spans="19:20" x14ac:dyDescent="0.25">
      <c r="S5594" s="78">
        <v>32981</v>
      </c>
      <c r="T5594" s="29">
        <v>14.88</v>
      </c>
    </row>
    <row r="5595" spans="19:20" x14ac:dyDescent="0.25">
      <c r="S5595" s="78">
        <v>32982</v>
      </c>
      <c r="T5595" s="29">
        <v>14.88</v>
      </c>
    </row>
    <row r="5596" spans="19:20" x14ac:dyDescent="0.25">
      <c r="S5596" s="78">
        <v>32983</v>
      </c>
      <c r="T5596" s="29">
        <v>14.88</v>
      </c>
    </row>
    <row r="5597" spans="19:20" x14ac:dyDescent="0.25">
      <c r="S5597" s="78">
        <v>32984</v>
      </c>
      <c r="T5597" s="29">
        <v>14.88</v>
      </c>
    </row>
    <row r="5598" spans="19:20" x14ac:dyDescent="0.25">
      <c r="S5598" s="78">
        <v>32985</v>
      </c>
      <c r="T5598" s="29">
        <v>14.88</v>
      </c>
    </row>
    <row r="5599" spans="19:20" x14ac:dyDescent="0.25">
      <c r="S5599" s="78">
        <v>32986</v>
      </c>
      <c r="T5599" s="29">
        <v>14.88</v>
      </c>
    </row>
    <row r="5600" spans="19:20" x14ac:dyDescent="0.25">
      <c r="S5600" s="78">
        <v>32987</v>
      </c>
      <c r="T5600" s="29">
        <v>14.88</v>
      </c>
    </row>
    <row r="5601" spans="19:20" x14ac:dyDescent="0.25">
      <c r="S5601" s="78">
        <v>32988</v>
      </c>
      <c r="T5601" s="29">
        <v>14.88</v>
      </c>
    </row>
    <row r="5602" spans="19:20" x14ac:dyDescent="0.25">
      <c r="S5602" s="78">
        <v>32989</v>
      </c>
      <c r="T5602" s="29">
        <v>14.88</v>
      </c>
    </row>
    <row r="5603" spans="19:20" x14ac:dyDescent="0.25">
      <c r="S5603" s="78">
        <v>32990</v>
      </c>
      <c r="T5603" s="29">
        <v>14.88</v>
      </c>
    </row>
    <row r="5604" spans="19:20" x14ac:dyDescent="0.25">
      <c r="S5604" s="78">
        <v>32991</v>
      </c>
      <c r="T5604" s="29">
        <v>14.88</v>
      </c>
    </row>
    <row r="5605" spans="19:20" x14ac:dyDescent="0.25">
      <c r="S5605" s="78">
        <v>32992</v>
      </c>
      <c r="T5605" s="29">
        <v>14.88</v>
      </c>
    </row>
    <row r="5606" spans="19:20" x14ac:dyDescent="0.25">
      <c r="S5606" s="78">
        <v>32993</v>
      </c>
      <c r="T5606" s="29">
        <v>14.88</v>
      </c>
    </row>
    <row r="5607" spans="19:20" x14ac:dyDescent="0.25">
      <c r="S5607" s="78">
        <v>32994</v>
      </c>
      <c r="T5607" s="29">
        <v>14.88</v>
      </c>
    </row>
    <row r="5608" spans="19:20" x14ac:dyDescent="0.25">
      <c r="S5608" s="78">
        <v>32995</v>
      </c>
      <c r="T5608" s="29">
        <v>14.88</v>
      </c>
    </row>
    <row r="5609" spans="19:20" x14ac:dyDescent="0.25">
      <c r="S5609" s="78">
        <v>32996</v>
      </c>
      <c r="T5609" s="29">
        <v>14.88</v>
      </c>
    </row>
    <row r="5610" spans="19:20" x14ac:dyDescent="0.25">
      <c r="S5610" s="78">
        <v>32997</v>
      </c>
      <c r="T5610" s="29">
        <v>14.88</v>
      </c>
    </row>
    <row r="5611" spans="19:20" x14ac:dyDescent="0.25">
      <c r="S5611" s="78">
        <v>32998</v>
      </c>
      <c r="T5611" s="29">
        <v>14.88</v>
      </c>
    </row>
    <row r="5612" spans="19:20" x14ac:dyDescent="0.25">
      <c r="S5612" s="78">
        <v>32999</v>
      </c>
      <c r="T5612" s="29">
        <v>14.88</v>
      </c>
    </row>
    <row r="5613" spans="19:20" x14ac:dyDescent="0.25">
      <c r="S5613" s="78">
        <v>33000</v>
      </c>
      <c r="T5613" s="29">
        <v>14.88</v>
      </c>
    </row>
    <row r="5614" spans="19:20" x14ac:dyDescent="0.25">
      <c r="S5614" s="78">
        <v>33001</v>
      </c>
      <c r="T5614" s="29">
        <v>14.88</v>
      </c>
    </row>
    <row r="5615" spans="19:20" x14ac:dyDescent="0.25">
      <c r="S5615" s="78">
        <v>33002</v>
      </c>
      <c r="T5615" s="29">
        <v>14.88</v>
      </c>
    </row>
    <row r="5616" spans="19:20" x14ac:dyDescent="0.25">
      <c r="S5616" s="78">
        <v>33003</v>
      </c>
      <c r="T5616" s="29">
        <v>14.88</v>
      </c>
    </row>
    <row r="5617" spans="19:20" x14ac:dyDescent="0.25">
      <c r="S5617" s="78">
        <v>33004</v>
      </c>
      <c r="T5617" s="29">
        <v>14.88</v>
      </c>
    </row>
    <row r="5618" spans="19:20" x14ac:dyDescent="0.25">
      <c r="S5618" s="78">
        <v>33005</v>
      </c>
      <c r="T5618" s="29">
        <v>14.88</v>
      </c>
    </row>
    <row r="5619" spans="19:20" x14ac:dyDescent="0.25">
      <c r="S5619" s="78">
        <v>33006</v>
      </c>
      <c r="T5619" s="29">
        <v>14.88</v>
      </c>
    </row>
    <row r="5620" spans="19:20" x14ac:dyDescent="0.25">
      <c r="S5620" s="78">
        <v>33007</v>
      </c>
      <c r="T5620" s="29">
        <v>14.88</v>
      </c>
    </row>
    <row r="5621" spans="19:20" x14ac:dyDescent="0.25">
      <c r="S5621" s="78">
        <v>33008</v>
      </c>
      <c r="T5621" s="29">
        <v>14.88</v>
      </c>
    </row>
    <row r="5622" spans="19:20" x14ac:dyDescent="0.25">
      <c r="S5622" s="78">
        <v>33009</v>
      </c>
      <c r="T5622" s="29">
        <v>14.88</v>
      </c>
    </row>
    <row r="5623" spans="19:20" x14ac:dyDescent="0.25">
      <c r="S5623" s="78">
        <v>33010</v>
      </c>
      <c r="T5623" s="29">
        <v>14.88</v>
      </c>
    </row>
    <row r="5624" spans="19:20" x14ac:dyDescent="0.25">
      <c r="S5624" s="78">
        <v>33011</v>
      </c>
      <c r="T5624" s="29">
        <v>14.88</v>
      </c>
    </row>
    <row r="5625" spans="19:20" x14ac:dyDescent="0.25">
      <c r="S5625" s="78">
        <v>33012</v>
      </c>
      <c r="T5625" s="29">
        <v>14.88</v>
      </c>
    </row>
    <row r="5626" spans="19:20" x14ac:dyDescent="0.25">
      <c r="S5626" s="78">
        <v>33013</v>
      </c>
      <c r="T5626" s="29">
        <v>14.88</v>
      </c>
    </row>
    <row r="5627" spans="19:20" x14ac:dyDescent="0.25">
      <c r="S5627" s="78">
        <v>33014</v>
      </c>
      <c r="T5627" s="29">
        <v>14.88</v>
      </c>
    </row>
    <row r="5628" spans="19:20" x14ac:dyDescent="0.25">
      <c r="S5628" s="78">
        <v>33015</v>
      </c>
      <c r="T5628" s="29">
        <v>14.88</v>
      </c>
    </row>
    <row r="5629" spans="19:20" x14ac:dyDescent="0.25">
      <c r="S5629" s="78">
        <v>33016</v>
      </c>
      <c r="T5629" s="29">
        <v>14.88</v>
      </c>
    </row>
    <row r="5630" spans="19:20" x14ac:dyDescent="0.25">
      <c r="S5630" s="78">
        <v>33017</v>
      </c>
      <c r="T5630" s="29">
        <v>14.88</v>
      </c>
    </row>
    <row r="5631" spans="19:20" x14ac:dyDescent="0.25">
      <c r="S5631" s="78">
        <v>33018</v>
      </c>
      <c r="T5631" s="29">
        <v>14.88</v>
      </c>
    </row>
    <row r="5632" spans="19:20" x14ac:dyDescent="0.25">
      <c r="S5632" s="78">
        <v>33019</v>
      </c>
      <c r="T5632" s="29">
        <v>14.88</v>
      </c>
    </row>
    <row r="5633" spans="19:20" x14ac:dyDescent="0.25">
      <c r="S5633" s="78">
        <v>33020</v>
      </c>
      <c r="T5633" s="29">
        <v>14.88</v>
      </c>
    </row>
    <row r="5634" spans="19:20" x14ac:dyDescent="0.25">
      <c r="S5634" s="78">
        <v>33021</v>
      </c>
      <c r="T5634" s="29">
        <v>14.88</v>
      </c>
    </row>
    <row r="5635" spans="19:20" x14ac:dyDescent="0.25">
      <c r="S5635" s="78">
        <v>33022</v>
      </c>
      <c r="T5635" s="29">
        <v>14.88</v>
      </c>
    </row>
    <row r="5636" spans="19:20" x14ac:dyDescent="0.25">
      <c r="S5636" s="78">
        <v>33023</v>
      </c>
      <c r="T5636" s="29">
        <v>14.88</v>
      </c>
    </row>
    <row r="5637" spans="19:20" x14ac:dyDescent="0.25">
      <c r="S5637" s="78">
        <v>33024</v>
      </c>
      <c r="T5637" s="29">
        <v>14.88</v>
      </c>
    </row>
    <row r="5638" spans="19:20" x14ac:dyDescent="0.25">
      <c r="S5638" s="78">
        <v>33025</v>
      </c>
      <c r="T5638" s="29">
        <v>14.88</v>
      </c>
    </row>
    <row r="5639" spans="19:20" x14ac:dyDescent="0.25">
      <c r="S5639" s="78">
        <v>33026</v>
      </c>
      <c r="T5639" s="29">
        <v>14.88</v>
      </c>
    </row>
    <row r="5640" spans="19:20" x14ac:dyDescent="0.25">
      <c r="S5640" s="78">
        <v>33027</v>
      </c>
      <c r="T5640" s="29">
        <v>14.88</v>
      </c>
    </row>
    <row r="5641" spans="19:20" x14ac:dyDescent="0.25">
      <c r="S5641" s="78">
        <v>33028</v>
      </c>
      <c r="T5641" s="29">
        <v>14.88</v>
      </c>
    </row>
    <row r="5642" spans="19:20" x14ac:dyDescent="0.25">
      <c r="S5642" s="78">
        <v>33029</v>
      </c>
      <c r="T5642" s="29">
        <v>14.88</v>
      </c>
    </row>
    <row r="5643" spans="19:20" x14ac:dyDescent="0.25">
      <c r="S5643" s="78">
        <v>33030</v>
      </c>
      <c r="T5643" s="29">
        <v>14.88</v>
      </c>
    </row>
    <row r="5644" spans="19:20" x14ac:dyDescent="0.25">
      <c r="S5644" s="78">
        <v>33031</v>
      </c>
      <c r="T5644" s="29">
        <v>14.88</v>
      </c>
    </row>
    <row r="5645" spans="19:20" x14ac:dyDescent="0.25">
      <c r="S5645" s="78">
        <v>33032</v>
      </c>
      <c r="T5645" s="29">
        <v>14.88</v>
      </c>
    </row>
    <row r="5646" spans="19:20" x14ac:dyDescent="0.25">
      <c r="S5646" s="78">
        <v>33033</v>
      </c>
      <c r="T5646" s="29">
        <v>14.88</v>
      </c>
    </row>
    <row r="5647" spans="19:20" x14ac:dyDescent="0.25">
      <c r="S5647" s="78">
        <v>33034</v>
      </c>
      <c r="T5647" s="29">
        <v>14.88</v>
      </c>
    </row>
    <row r="5648" spans="19:20" x14ac:dyDescent="0.25">
      <c r="S5648" s="78">
        <v>33035</v>
      </c>
      <c r="T5648" s="29">
        <v>14.88</v>
      </c>
    </row>
    <row r="5649" spans="19:20" x14ac:dyDescent="0.25">
      <c r="S5649" s="78">
        <v>33036</v>
      </c>
      <c r="T5649" s="29">
        <v>14.88</v>
      </c>
    </row>
    <row r="5650" spans="19:20" x14ac:dyDescent="0.25">
      <c r="S5650" s="78">
        <v>33037</v>
      </c>
      <c r="T5650" s="29">
        <v>14.88</v>
      </c>
    </row>
    <row r="5651" spans="19:20" x14ac:dyDescent="0.25">
      <c r="S5651" s="78">
        <v>33038</v>
      </c>
      <c r="T5651" s="29">
        <v>14.88</v>
      </c>
    </row>
    <row r="5652" spans="19:20" x14ac:dyDescent="0.25">
      <c r="S5652" s="78">
        <v>33039</v>
      </c>
      <c r="T5652" s="29">
        <v>14.88</v>
      </c>
    </row>
    <row r="5653" spans="19:20" x14ac:dyDescent="0.25">
      <c r="S5653" s="78">
        <v>33040</v>
      </c>
      <c r="T5653" s="29">
        <v>14.88</v>
      </c>
    </row>
    <row r="5654" spans="19:20" x14ac:dyDescent="0.25">
      <c r="S5654" s="78">
        <v>33041</v>
      </c>
      <c r="T5654" s="29">
        <v>14.88</v>
      </c>
    </row>
    <row r="5655" spans="19:20" x14ac:dyDescent="0.25">
      <c r="S5655" s="78">
        <v>33042</v>
      </c>
      <c r="T5655" s="29">
        <v>14.88</v>
      </c>
    </row>
    <row r="5656" spans="19:20" x14ac:dyDescent="0.25">
      <c r="S5656" s="78">
        <v>33043</v>
      </c>
      <c r="T5656" s="29">
        <v>14.88</v>
      </c>
    </row>
    <row r="5657" spans="19:20" x14ac:dyDescent="0.25">
      <c r="S5657" s="78">
        <v>33044</v>
      </c>
      <c r="T5657" s="29">
        <v>14.88</v>
      </c>
    </row>
    <row r="5658" spans="19:20" x14ac:dyDescent="0.25">
      <c r="S5658" s="78">
        <v>33045</v>
      </c>
      <c r="T5658" s="29">
        <v>14.88</v>
      </c>
    </row>
    <row r="5659" spans="19:20" x14ac:dyDescent="0.25">
      <c r="S5659" s="78">
        <v>33046</v>
      </c>
      <c r="T5659" s="29">
        <v>14.88</v>
      </c>
    </row>
    <row r="5660" spans="19:20" x14ac:dyDescent="0.25">
      <c r="S5660" s="78">
        <v>33047</v>
      </c>
      <c r="T5660" s="29">
        <v>14.88</v>
      </c>
    </row>
    <row r="5661" spans="19:20" x14ac:dyDescent="0.25">
      <c r="S5661" s="78">
        <v>33048</v>
      </c>
      <c r="T5661" s="29">
        <v>14.88</v>
      </c>
    </row>
    <row r="5662" spans="19:20" x14ac:dyDescent="0.25">
      <c r="S5662" s="78">
        <v>33049</v>
      </c>
      <c r="T5662" s="29">
        <v>14.88</v>
      </c>
    </row>
    <row r="5663" spans="19:20" x14ac:dyDescent="0.25">
      <c r="S5663" s="78">
        <v>33050</v>
      </c>
      <c r="T5663" s="29">
        <v>14.88</v>
      </c>
    </row>
    <row r="5664" spans="19:20" x14ac:dyDescent="0.25">
      <c r="S5664" s="78">
        <v>33051</v>
      </c>
      <c r="T5664" s="29">
        <v>14.88</v>
      </c>
    </row>
    <row r="5665" spans="19:21" x14ac:dyDescent="0.25">
      <c r="S5665" s="78">
        <v>33052</v>
      </c>
      <c r="T5665" s="29">
        <v>14.88</v>
      </c>
    </row>
    <row r="5666" spans="19:21" x14ac:dyDescent="0.25">
      <c r="S5666" s="78">
        <v>33053</v>
      </c>
      <c r="T5666" s="29">
        <v>14.88</v>
      </c>
    </row>
    <row r="5667" spans="19:21" x14ac:dyDescent="0.25">
      <c r="S5667" s="78">
        <v>33054</v>
      </c>
      <c r="T5667" s="29">
        <v>14.88</v>
      </c>
      <c r="U5667" s="40">
        <f>AVERAGE(T5577:T5667)</f>
        <v>14.880000000000024</v>
      </c>
    </row>
    <row r="5668" spans="19:21" x14ac:dyDescent="0.25">
      <c r="S5668" s="78">
        <v>33055</v>
      </c>
      <c r="T5668" s="29">
        <v>14.88</v>
      </c>
    </row>
    <row r="5669" spans="19:21" x14ac:dyDescent="0.25">
      <c r="S5669" s="78">
        <v>33056</v>
      </c>
      <c r="T5669" s="29">
        <v>14.88</v>
      </c>
    </row>
    <row r="5670" spans="19:21" x14ac:dyDescent="0.25">
      <c r="S5670" s="78">
        <v>33057</v>
      </c>
      <c r="T5670" s="29">
        <v>14.88</v>
      </c>
    </row>
    <row r="5671" spans="19:21" x14ac:dyDescent="0.25">
      <c r="S5671" s="78">
        <v>33058</v>
      </c>
      <c r="T5671" s="29">
        <v>14.88</v>
      </c>
    </row>
    <row r="5672" spans="19:21" x14ac:dyDescent="0.25">
      <c r="S5672" s="78">
        <v>33059</v>
      </c>
      <c r="T5672" s="29">
        <v>14.88</v>
      </c>
    </row>
    <row r="5673" spans="19:21" x14ac:dyDescent="0.25">
      <c r="S5673" s="78">
        <v>33060</v>
      </c>
      <c r="T5673" s="29">
        <v>14.88</v>
      </c>
    </row>
    <row r="5674" spans="19:21" x14ac:dyDescent="0.25">
      <c r="S5674" s="78">
        <v>33061</v>
      </c>
      <c r="T5674" s="29">
        <v>14.88</v>
      </c>
    </row>
    <row r="5675" spans="19:21" x14ac:dyDescent="0.25">
      <c r="S5675" s="78">
        <v>33062</v>
      </c>
      <c r="T5675" s="29">
        <v>14.88</v>
      </c>
    </row>
    <row r="5676" spans="19:21" x14ac:dyDescent="0.25">
      <c r="S5676" s="78">
        <v>33063</v>
      </c>
      <c r="T5676" s="29">
        <v>14.88</v>
      </c>
    </row>
    <row r="5677" spans="19:21" x14ac:dyDescent="0.25">
      <c r="S5677" s="78">
        <v>33064</v>
      </c>
      <c r="T5677" s="29">
        <v>14.88</v>
      </c>
    </row>
    <row r="5678" spans="19:21" x14ac:dyDescent="0.25">
      <c r="S5678" s="78">
        <v>33065</v>
      </c>
      <c r="T5678" s="29">
        <v>14.88</v>
      </c>
    </row>
    <row r="5679" spans="19:21" x14ac:dyDescent="0.25">
      <c r="S5679" s="78">
        <v>33066</v>
      </c>
      <c r="T5679" s="29">
        <v>14.88</v>
      </c>
    </row>
    <row r="5680" spans="19:21" x14ac:dyDescent="0.25">
      <c r="S5680" s="78">
        <v>33067</v>
      </c>
      <c r="T5680" s="29">
        <v>14.88</v>
      </c>
    </row>
    <row r="5681" spans="19:20" x14ac:dyDescent="0.25">
      <c r="S5681" s="78">
        <v>33068</v>
      </c>
      <c r="T5681" s="29">
        <v>14.88</v>
      </c>
    </row>
    <row r="5682" spans="19:20" x14ac:dyDescent="0.25">
      <c r="S5682" s="78">
        <v>33069</v>
      </c>
      <c r="T5682" s="29">
        <v>14.88</v>
      </c>
    </row>
    <row r="5683" spans="19:20" x14ac:dyDescent="0.25">
      <c r="S5683" s="78">
        <v>33070</v>
      </c>
      <c r="T5683" s="29">
        <v>14.88</v>
      </c>
    </row>
    <row r="5684" spans="19:20" x14ac:dyDescent="0.25">
      <c r="S5684" s="78">
        <v>33071</v>
      </c>
      <c r="T5684" s="29">
        <v>14.88</v>
      </c>
    </row>
    <row r="5685" spans="19:20" x14ac:dyDescent="0.25">
      <c r="S5685" s="78">
        <v>33072</v>
      </c>
      <c r="T5685" s="29">
        <v>14.88</v>
      </c>
    </row>
    <row r="5686" spans="19:20" x14ac:dyDescent="0.25">
      <c r="S5686" s="78">
        <v>33073</v>
      </c>
      <c r="T5686" s="29">
        <v>14.88</v>
      </c>
    </row>
    <row r="5687" spans="19:20" x14ac:dyDescent="0.25">
      <c r="S5687" s="78">
        <v>33074</v>
      </c>
      <c r="T5687" s="29">
        <v>14.88</v>
      </c>
    </row>
    <row r="5688" spans="19:20" x14ac:dyDescent="0.25">
      <c r="S5688" s="78">
        <v>33075</v>
      </c>
      <c r="T5688" s="29">
        <v>14.88</v>
      </c>
    </row>
    <row r="5689" spans="19:20" x14ac:dyDescent="0.25">
      <c r="S5689" s="78">
        <v>33076</v>
      </c>
      <c r="T5689" s="29">
        <v>14.88</v>
      </c>
    </row>
    <row r="5690" spans="19:20" x14ac:dyDescent="0.25">
      <c r="S5690" s="78">
        <v>33077</v>
      </c>
      <c r="T5690" s="29">
        <v>14.88</v>
      </c>
    </row>
    <row r="5691" spans="19:20" x14ac:dyDescent="0.25">
      <c r="S5691" s="78">
        <v>33078</v>
      </c>
      <c r="T5691" s="29">
        <v>14.88</v>
      </c>
    </row>
    <row r="5692" spans="19:20" x14ac:dyDescent="0.25">
      <c r="S5692" s="78">
        <v>33079</v>
      </c>
      <c r="T5692" s="29">
        <v>14.88</v>
      </c>
    </row>
    <row r="5693" spans="19:20" x14ac:dyDescent="0.25">
      <c r="S5693" s="78">
        <v>33080</v>
      </c>
      <c r="T5693" s="29">
        <v>14.88</v>
      </c>
    </row>
    <row r="5694" spans="19:20" x14ac:dyDescent="0.25">
      <c r="S5694" s="78">
        <v>33081</v>
      </c>
      <c r="T5694" s="29">
        <v>14.88</v>
      </c>
    </row>
    <row r="5695" spans="19:20" x14ac:dyDescent="0.25">
      <c r="S5695" s="78">
        <v>33082</v>
      </c>
      <c r="T5695" s="29">
        <v>14.88</v>
      </c>
    </row>
    <row r="5696" spans="19:20" x14ac:dyDescent="0.25">
      <c r="S5696" s="78">
        <v>33083</v>
      </c>
      <c r="T5696" s="29">
        <v>14.88</v>
      </c>
    </row>
    <row r="5697" spans="19:20" x14ac:dyDescent="0.25">
      <c r="S5697" s="78">
        <v>33084</v>
      </c>
      <c r="T5697" s="29">
        <v>14.88</v>
      </c>
    </row>
    <row r="5698" spans="19:20" x14ac:dyDescent="0.25">
      <c r="S5698" s="78">
        <v>33085</v>
      </c>
      <c r="T5698" s="29">
        <v>14.88</v>
      </c>
    </row>
    <row r="5699" spans="19:20" x14ac:dyDescent="0.25">
      <c r="S5699" s="78">
        <v>33086</v>
      </c>
      <c r="T5699" s="29">
        <v>14.88</v>
      </c>
    </row>
    <row r="5700" spans="19:20" x14ac:dyDescent="0.25">
      <c r="S5700" s="78">
        <v>33087</v>
      </c>
      <c r="T5700" s="29">
        <v>14.88</v>
      </c>
    </row>
    <row r="5701" spans="19:20" x14ac:dyDescent="0.25">
      <c r="S5701" s="78">
        <v>33088</v>
      </c>
      <c r="T5701" s="29">
        <v>14.88</v>
      </c>
    </row>
    <row r="5702" spans="19:20" x14ac:dyDescent="0.25">
      <c r="S5702" s="78">
        <v>33089</v>
      </c>
      <c r="T5702" s="29">
        <v>14.88</v>
      </c>
    </row>
    <row r="5703" spans="19:20" x14ac:dyDescent="0.25">
      <c r="S5703" s="78">
        <v>33090</v>
      </c>
      <c r="T5703" s="29">
        <v>14.88</v>
      </c>
    </row>
    <row r="5704" spans="19:20" x14ac:dyDescent="0.25">
      <c r="S5704" s="78">
        <v>33091</v>
      </c>
      <c r="T5704" s="29">
        <v>14.88</v>
      </c>
    </row>
    <row r="5705" spans="19:20" x14ac:dyDescent="0.25">
      <c r="S5705" s="78">
        <v>33092</v>
      </c>
      <c r="T5705" s="29">
        <v>14.88</v>
      </c>
    </row>
    <row r="5706" spans="19:20" x14ac:dyDescent="0.25">
      <c r="S5706" s="78">
        <v>33093</v>
      </c>
      <c r="T5706" s="29">
        <v>14.88</v>
      </c>
    </row>
    <row r="5707" spans="19:20" x14ac:dyDescent="0.25">
      <c r="S5707" s="78">
        <v>33094</v>
      </c>
      <c r="T5707" s="29">
        <v>14.88</v>
      </c>
    </row>
    <row r="5708" spans="19:20" x14ac:dyDescent="0.25">
      <c r="S5708" s="78">
        <v>33095</v>
      </c>
      <c r="T5708" s="29">
        <v>14.88</v>
      </c>
    </row>
    <row r="5709" spans="19:20" x14ac:dyDescent="0.25">
      <c r="S5709" s="78">
        <v>33096</v>
      </c>
      <c r="T5709" s="29">
        <v>14.88</v>
      </c>
    </row>
    <row r="5710" spans="19:20" x14ac:dyDescent="0.25">
      <c r="S5710" s="78">
        <v>33097</v>
      </c>
      <c r="T5710" s="29">
        <v>14.88</v>
      </c>
    </row>
    <row r="5711" spans="19:20" x14ac:dyDescent="0.25">
      <c r="S5711" s="78">
        <v>33098</v>
      </c>
      <c r="T5711" s="29">
        <v>14.88</v>
      </c>
    </row>
    <row r="5712" spans="19:20" x14ac:dyDescent="0.25">
      <c r="S5712" s="78">
        <v>33099</v>
      </c>
      <c r="T5712" s="29">
        <v>14.88</v>
      </c>
    </row>
    <row r="5713" spans="19:20" x14ac:dyDescent="0.25">
      <c r="S5713" s="78">
        <v>33100</v>
      </c>
      <c r="T5713" s="29">
        <v>14.88</v>
      </c>
    </row>
    <row r="5714" spans="19:20" x14ac:dyDescent="0.25">
      <c r="S5714" s="78">
        <v>33101</v>
      </c>
      <c r="T5714" s="29">
        <v>14.88</v>
      </c>
    </row>
    <row r="5715" spans="19:20" x14ac:dyDescent="0.25">
      <c r="S5715" s="78">
        <v>33102</v>
      </c>
      <c r="T5715" s="29">
        <v>14.88</v>
      </c>
    </row>
    <row r="5716" spans="19:20" x14ac:dyDescent="0.25">
      <c r="S5716" s="78">
        <v>33103</v>
      </c>
      <c r="T5716" s="29">
        <v>14.88</v>
      </c>
    </row>
    <row r="5717" spans="19:20" x14ac:dyDescent="0.25">
      <c r="S5717" s="78">
        <v>33104</v>
      </c>
      <c r="T5717" s="29">
        <v>14.88</v>
      </c>
    </row>
    <row r="5718" spans="19:20" x14ac:dyDescent="0.25">
      <c r="S5718" s="78">
        <v>33105</v>
      </c>
      <c r="T5718" s="29">
        <v>14.88</v>
      </c>
    </row>
    <row r="5719" spans="19:20" x14ac:dyDescent="0.25">
      <c r="S5719" s="78">
        <v>33106</v>
      </c>
      <c r="T5719" s="29">
        <v>14.88</v>
      </c>
    </row>
    <row r="5720" spans="19:20" x14ac:dyDescent="0.25">
      <c r="S5720" s="78">
        <v>33107</v>
      </c>
      <c r="T5720" s="29">
        <v>14.88</v>
      </c>
    </row>
    <row r="5721" spans="19:20" x14ac:dyDescent="0.25">
      <c r="S5721" s="78">
        <v>33108</v>
      </c>
      <c r="T5721" s="29">
        <v>14.88</v>
      </c>
    </row>
    <row r="5722" spans="19:20" x14ac:dyDescent="0.25">
      <c r="S5722" s="78">
        <v>33109</v>
      </c>
      <c r="T5722" s="29">
        <v>14.88</v>
      </c>
    </row>
    <row r="5723" spans="19:20" x14ac:dyDescent="0.25">
      <c r="S5723" s="78">
        <v>33110</v>
      </c>
      <c r="T5723" s="29">
        <v>14.88</v>
      </c>
    </row>
    <row r="5724" spans="19:20" x14ac:dyDescent="0.25">
      <c r="S5724" s="78">
        <v>33111</v>
      </c>
      <c r="T5724" s="29">
        <v>14.88</v>
      </c>
    </row>
    <row r="5725" spans="19:20" x14ac:dyDescent="0.25">
      <c r="S5725" s="78">
        <v>33112</v>
      </c>
      <c r="T5725" s="29">
        <v>14.88</v>
      </c>
    </row>
    <row r="5726" spans="19:20" x14ac:dyDescent="0.25">
      <c r="S5726" s="78">
        <v>33113</v>
      </c>
      <c r="T5726" s="29">
        <v>14.88</v>
      </c>
    </row>
    <row r="5727" spans="19:20" x14ac:dyDescent="0.25">
      <c r="S5727" s="78">
        <v>33114</v>
      </c>
      <c r="T5727" s="29">
        <v>14.88</v>
      </c>
    </row>
    <row r="5728" spans="19:20" x14ac:dyDescent="0.25">
      <c r="S5728" s="78">
        <v>33115</v>
      </c>
      <c r="T5728" s="29">
        <v>14.88</v>
      </c>
    </row>
    <row r="5729" spans="19:20" x14ac:dyDescent="0.25">
      <c r="S5729" s="78">
        <v>33116</v>
      </c>
      <c r="T5729" s="29">
        <v>14.88</v>
      </c>
    </row>
    <row r="5730" spans="19:20" x14ac:dyDescent="0.25">
      <c r="S5730" s="78">
        <v>33117</v>
      </c>
      <c r="T5730" s="29">
        <v>14.88</v>
      </c>
    </row>
    <row r="5731" spans="19:20" x14ac:dyDescent="0.25">
      <c r="S5731" s="78">
        <v>33118</v>
      </c>
      <c r="T5731" s="29">
        <v>14.88</v>
      </c>
    </row>
    <row r="5732" spans="19:20" x14ac:dyDescent="0.25">
      <c r="S5732" s="78">
        <v>33119</v>
      </c>
      <c r="T5732" s="29">
        <v>14.88</v>
      </c>
    </row>
    <row r="5733" spans="19:20" x14ac:dyDescent="0.25">
      <c r="S5733" s="78">
        <v>33120</v>
      </c>
      <c r="T5733" s="29">
        <v>14.88</v>
      </c>
    </row>
    <row r="5734" spans="19:20" x14ac:dyDescent="0.25">
      <c r="S5734" s="78">
        <v>33121</v>
      </c>
      <c r="T5734" s="29">
        <v>14.88</v>
      </c>
    </row>
    <row r="5735" spans="19:20" x14ac:dyDescent="0.25">
      <c r="S5735" s="78">
        <v>33122</v>
      </c>
      <c r="T5735" s="29">
        <v>14.88</v>
      </c>
    </row>
    <row r="5736" spans="19:20" x14ac:dyDescent="0.25">
      <c r="S5736" s="78">
        <v>33123</v>
      </c>
      <c r="T5736" s="29">
        <v>14.88</v>
      </c>
    </row>
    <row r="5737" spans="19:20" x14ac:dyDescent="0.25">
      <c r="S5737" s="78">
        <v>33124</v>
      </c>
      <c r="T5737" s="29">
        <v>14.88</v>
      </c>
    </row>
    <row r="5738" spans="19:20" x14ac:dyDescent="0.25">
      <c r="S5738" s="78">
        <v>33125</v>
      </c>
      <c r="T5738" s="29">
        <v>14.88</v>
      </c>
    </row>
    <row r="5739" spans="19:20" x14ac:dyDescent="0.25">
      <c r="S5739" s="78">
        <v>33126</v>
      </c>
      <c r="T5739" s="29">
        <v>14.88</v>
      </c>
    </row>
    <row r="5740" spans="19:20" x14ac:dyDescent="0.25">
      <c r="S5740" s="78">
        <v>33127</v>
      </c>
      <c r="T5740" s="29">
        <v>14.88</v>
      </c>
    </row>
    <row r="5741" spans="19:20" x14ac:dyDescent="0.25">
      <c r="S5741" s="78">
        <v>33128</v>
      </c>
      <c r="T5741" s="29">
        <v>14.88</v>
      </c>
    </row>
    <row r="5742" spans="19:20" x14ac:dyDescent="0.25">
      <c r="S5742" s="78">
        <v>33129</v>
      </c>
      <c r="T5742" s="29">
        <v>14.88</v>
      </c>
    </row>
    <row r="5743" spans="19:20" x14ac:dyDescent="0.25">
      <c r="S5743" s="78">
        <v>33130</v>
      </c>
      <c r="T5743" s="29">
        <v>14.88</v>
      </c>
    </row>
    <row r="5744" spans="19:20" x14ac:dyDescent="0.25">
      <c r="S5744" s="78">
        <v>33131</v>
      </c>
      <c r="T5744" s="29">
        <v>14.88</v>
      </c>
    </row>
    <row r="5745" spans="19:21" x14ac:dyDescent="0.25">
      <c r="S5745" s="78">
        <v>33132</v>
      </c>
      <c r="T5745" s="29">
        <v>14.88</v>
      </c>
    </row>
    <row r="5746" spans="19:21" x14ac:dyDescent="0.25">
      <c r="S5746" s="78">
        <v>33133</v>
      </c>
      <c r="T5746" s="29">
        <v>14.88</v>
      </c>
    </row>
    <row r="5747" spans="19:21" x14ac:dyDescent="0.25">
      <c r="S5747" s="78">
        <v>33134</v>
      </c>
      <c r="T5747" s="29">
        <v>14.88</v>
      </c>
    </row>
    <row r="5748" spans="19:21" x14ac:dyDescent="0.25">
      <c r="S5748" s="78">
        <v>33135</v>
      </c>
      <c r="T5748" s="29">
        <v>14.88</v>
      </c>
    </row>
    <row r="5749" spans="19:21" x14ac:dyDescent="0.25">
      <c r="S5749" s="78">
        <v>33136</v>
      </c>
      <c r="T5749" s="29">
        <v>14.88</v>
      </c>
    </row>
    <row r="5750" spans="19:21" x14ac:dyDescent="0.25">
      <c r="S5750" s="78">
        <v>33137</v>
      </c>
      <c r="T5750" s="29">
        <v>14.88</v>
      </c>
    </row>
    <row r="5751" spans="19:21" x14ac:dyDescent="0.25">
      <c r="S5751" s="78">
        <v>33138</v>
      </c>
      <c r="T5751" s="29">
        <v>14.88</v>
      </c>
    </row>
    <row r="5752" spans="19:21" x14ac:dyDescent="0.25">
      <c r="S5752" s="78">
        <v>33139</v>
      </c>
      <c r="T5752" s="29">
        <v>14.88</v>
      </c>
    </row>
    <row r="5753" spans="19:21" x14ac:dyDescent="0.25">
      <c r="S5753" s="78">
        <v>33140</v>
      </c>
      <c r="T5753" s="29">
        <v>14.88</v>
      </c>
    </row>
    <row r="5754" spans="19:21" x14ac:dyDescent="0.25">
      <c r="S5754" s="78">
        <v>33141</v>
      </c>
      <c r="T5754" s="29">
        <v>14.88</v>
      </c>
    </row>
    <row r="5755" spans="19:21" x14ac:dyDescent="0.25">
      <c r="S5755" s="78">
        <v>33142</v>
      </c>
      <c r="T5755" s="29">
        <v>14.88</v>
      </c>
    </row>
    <row r="5756" spans="19:21" x14ac:dyDescent="0.25">
      <c r="S5756" s="78">
        <v>33143</v>
      </c>
      <c r="T5756" s="29">
        <v>14.88</v>
      </c>
    </row>
    <row r="5757" spans="19:21" x14ac:dyDescent="0.25">
      <c r="S5757" s="78">
        <v>33144</v>
      </c>
      <c r="T5757" s="29">
        <v>14.88</v>
      </c>
    </row>
    <row r="5758" spans="19:21" x14ac:dyDescent="0.25">
      <c r="S5758" s="78">
        <v>33145</v>
      </c>
      <c r="T5758" s="29">
        <v>14.88</v>
      </c>
    </row>
    <row r="5759" spans="19:21" x14ac:dyDescent="0.25">
      <c r="S5759" s="78">
        <v>33146</v>
      </c>
      <c r="T5759" s="29">
        <v>14.88</v>
      </c>
      <c r="U5759" s="40">
        <f>AVERAGE(T5668:T5759)</f>
        <v>14.880000000000026</v>
      </c>
    </row>
    <row r="5760" spans="19:21" x14ac:dyDescent="0.25">
      <c r="S5760" s="78">
        <v>33147</v>
      </c>
      <c r="T5760" s="29">
        <v>14.88</v>
      </c>
    </row>
    <row r="5761" spans="19:20" x14ac:dyDescent="0.25">
      <c r="S5761" s="78">
        <v>33148</v>
      </c>
      <c r="T5761" s="29">
        <v>14.88</v>
      </c>
    </row>
    <row r="5762" spans="19:20" x14ac:dyDescent="0.25">
      <c r="S5762" s="78">
        <v>33149</v>
      </c>
      <c r="T5762" s="29">
        <v>14.88</v>
      </c>
    </row>
    <row r="5763" spans="19:20" x14ac:dyDescent="0.25">
      <c r="S5763" s="78">
        <v>33150</v>
      </c>
      <c r="T5763" s="29">
        <v>14.88</v>
      </c>
    </row>
    <row r="5764" spans="19:20" x14ac:dyDescent="0.25">
      <c r="S5764" s="78">
        <v>33151</v>
      </c>
      <c r="T5764" s="29">
        <v>14.88</v>
      </c>
    </row>
    <row r="5765" spans="19:20" x14ac:dyDescent="0.25">
      <c r="S5765" s="78">
        <v>33152</v>
      </c>
      <c r="T5765" s="29">
        <v>14.88</v>
      </c>
    </row>
    <row r="5766" spans="19:20" x14ac:dyDescent="0.25">
      <c r="S5766" s="78">
        <v>33153</v>
      </c>
      <c r="T5766" s="29">
        <v>14.88</v>
      </c>
    </row>
    <row r="5767" spans="19:20" x14ac:dyDescent="0.25">
      <c r="S5767" s="78">
        <v>33154</v>
      </c>
      <c r="T5767" s="29">
        <v>13.88</v>
      </c>
    </row>
    <row r="5768" spans="19:20" x14ac:dyDescent="0.25">
      <c r="S5768" s="78">
        <v>33155</v>
      </c>
      <c r="T5768" s="29">
        <v>13.88</v>
      </c>
    </row>
    <row r="5769" spans="19:20" x14ac:dyDescent="0.25">
      <c r="S5769" s="78">
        <v>33156</v>
      </c>
      <c r="T5769" s="29">
        <v>13.88</v>
      </c>
    </row>
    <row r="5770" spans="19:20" x14ac:dyDescent="0.25">
      <c r="S5770" s="78">
        <v>33157</v>
      </c>
      <c r="T5770" s="29">
        <v>13.88</v>
      </c>
    </row>
    <row r="5771" spans="19:20" x14ac:dyDescent="0.25">
      <c r="S5771" s="78">
        <v>33158</v>
      </c>
      <c r="T5771" s="29">
        <v>13.88</v>
      </c>
    </row>
    <row r="5772" spans="19:20" x14ac:dyDescent="0.25">
      <c r="S5772" s="78">
        <v>33159</v>
      </c>
      <c r="T5772" s="29">
        <v>13.88</v>
      </c>
    </row>
    <row r="5773" spans="19:20" x14ac:dyDescent="0.25">
      <c r="S5773" s="78">
        <v>33160</v>
      </c>
      <c r="T5773" s="29">
        <v>13.88</v>
      </c>
    </row>
    <row r="5774" spans="19:20" x14ac:dyDescent="0.25">
      <c r="S5774" s="78">
        <v>33161</v>
      </c>
      <c r="T5774" s="29">
        <v>13.88</v>
      </c>
    </row>
    <row r="5775" spans="19:20" x14ac:dyDescent="0.25">
      <c r="S5775" s="78">
        <v>33162</v>
      </c>
      <c r="T5775" s="29">
        <v>13.88</v>
      </c>
    </row>
    <row r="5776" spans="19:20" x14ac:dyDescent="0.25">
      <c r="S5776" s="78">
        <v>33163</v>
      </c>
      <c r="T5776" s="29">
        <v>13.88</v>
      </c>
    </row>
    <row r="5777" spans="19:20" x14ac:dyDescent="0.25">
      <c r="S5777" s="78">
        <v>33164</v>
      </c>
      <c r="T5777" s="29">
        <v>13.88</v>
      </c>
    </row>
    <row r="5778" spans="19:20" x14ac:dyDescent="0.25">
      <c r="S5778" s="78">
        <v>33165</v>
      </c>
      <c r="T5778" s="29">
        <v>13.88</v>
      </c>
    </row>
    <row r="5779" spans="19:20" x14ac:dyDescent="0.25">
      <c r="S5779" s="78">
        <v>33166</v>
      </c>
      <c r="T5779" s="29">
        <v>13.88</v>
      </c>
    </row>
    <row r="5780" spans="19:20" x14ac:dyDescent="0.25">
      <c r="S5780" s="78">
        <v>33167</v>
      </c>
      <c r="T5780" s="29">
        <v>13.88</v>
      </c>
    </row>
    <row r="5781" spans="19:20" x14ac:dyDescent="0.25">
      <c r="S5781" s="78">
        <v>33168</v>
      </c>
      <c r="T5781" s="29">
        <v>13.88</v>
      </c>
    </row>
    <row r="5782" spans="19:20" x14ac:dyDescent="0.25">
      <c r="S5782" s="78">
        <v>33169</v>
      </c>
      <c r="T5782" s="29">
        <v>13.88</v>
      </c>
    </row>
    <row r="5783" spans="19:20" x14ac:dyDescent="0.25">
      <c r="S5783" s="78">
        <v>33170</v>
      </c>
      <c r="T5783" s="29">
        <v>13.88</v>
      </c>
    </row>
    <row r="5784" spans="19:20" x14ac:dyDescent="0.25">
      <c r="S5784" s="78">
        <v>33171</v>
      </c>
      <c r="T5784" s="29">
        <v>13.88</v>
      </c>
    </row>
    <row r="5785" spans="19:20" x14ac:dyDescent="0.25">
      <c r="S5785" s="78">
        <v>33172</v>
      </c>
      <c r="T5785" s="29">
        <v>13.88</v>
      </c>
    </row>
    <row r="5786" spans="19:20" x14ac:dyDescent="0.25">
      <c r="S5786" s="78">
        <v>33173</v>
      </c>
      <c r="T5786" s="29">
        <v>13.88</v>
      </c>
    </row>
    <row r="5787" spans="19:20" x14ac:dyDescent="0.25">
      <c r="S5787" s="78">
        <v>33174</v>
      </c>
      <c r="T5787" s="29">
        <v>13.88</v>
      </c>
    </row>
    <row r="5788" spans="19:20" x14ac:dyDescent="0.25">
      <c r="S5788" s="78">
        <v>33175</v>
      </c>
      <c r="T5788" s="29">
        <v>13.88</v>
      </c>
    </row>
    <row r="5789" spans="19:20" x14ac:dyDescent="0.25">
      <c r="S5789" s="78">
        <v>33176</v>
      </c>
      <c r="T5789" s="29">
        <v>13.88</v>
      </c>
    </row>
    <row r="5790" spans="19:20" x14ac:dyDescent="0.25">
      <c r="S5790" s="78">
        <v>33177</v>
      </c>
      <c r="T5790" s="29">
        <v>13.88</v>
      </c>
    </row>
    <row r="5791" spans="19:20" x14ac:dyDescent="0.25">
      <c r="S5791" s="78">
        <v>33178</v>
      </c>
      <c r="T5791" s="29">
        <v>13.88</v>
      </c>
    </row>
    <row r="5792" spans="19:20" x14ac:dyDescent="0.25">
      <c r="S5792" s="78">
        <v>33179</v>
      </c>
      <c r="T5792" s="29">
        <v>13.88</v>
      </c>
    </row>
    <row r="5793" spans="19:20" x14ac:dyDescent="0.25">
      <c r="S5793" s="78">
        <v>33180</v>
      </c>
      <c r="T5793" s="29">
        <v>13.88</v>
      </c>
    </row>
    <row r="5794" spans="19:20" x14ac:dyDescent="0.25">
      <c r="S5794" s="78">
        <v>33181</v>
      </c>
      <c r="T5794" s="29">
        <v>13.88</v>
      </c>
    </row>
    <row r="5795" spans="19:20" x14ac:dyDescent="0.25">
      <c r="S5795" s="78">
        <v>33182</v>
      </c>
      <c r="T5795" s="29">
        <v>13.88</v>
      </c>
    </row>
    <row r="5796" spans="19:20" x14ac:dyDescent="0.25">
      <c r="S5796" s="78">
        <v>33183</v>
      </c>
      <c r="T5796" s="29">
        <v>13.88</v>
      </c>
    </row>
    <row r="5797" spans="19:20" x14ac:dyDescent="0.25">
      <c r="S5797" s="78">
        <v>33184</v>
      </c>
      <c r="T5797" s="29">
        <v>13.88</v>
      </c>
    </row>
    <row r="5798" spans="19:20" x14ac:dyDescent="0.25">
      <c r="S5798" s="78">
        <v>33185</v>
      </c>
      <c r="T5798" s="29">
        <v>13.88</v>
      </c>
    </row>
    <row r="5799" spans="19:20" x14ac:dyDescent="0.25">
      <c r="S5799" s="78">
        <v>33186</v>
      </c>
      <c r="T5799" s="29">
        <v>13.88</v>
      </c>
    </row>
    <row r="5800" spans="19:20" x14ac:dyDescent="0.25">
      <c r="S5800" s="78">
        <v>33187</v>
      </c>
      <c r="T5800" s="29">
        <v>13.88</v>
      </c>
    </row>
    <row r="5801" spans="19:20" x14ac:dyDescent="0.25">
      <c r="S5801" s="78">
        <v>33188</v>
      </c>
      <c r="T5801" s="29">
        <v>13.88</v>
      </c>
    </row>
    <row r="5802" spans="19:20" x14ac:dyDescent="0.25">
      <c r="S5802" s="78">
        <v>33189</v>
      </c>
      <c r="T5802" s="29">
        <v>13.88</v>
      </c>
    </row>
    <row r="5803" spans="19:20" x14ac:dyDescent="0.25">
      <c r="S5803" s="78">
        <v>33190</v>
      </c>
      <c r="T5803" s="29">
        <v>13.88</v>
      </c>
    </row>
    <row r="5804" spans="19:20" x14ac:dyDescent="0.25">
      <c r="S5804" s="78">
        <v>33191</v>
      </c>
      <c r="T5804" s="29">
        <v>13.88</v>
      </c>
    </row>
    <row r="5805" spans="19:20" x14ac:dyDescent="0.25">
      <c r="S5805" s="78">
        <v>33192</v>
      </c>
      <c r="T5805" s="29">
        <v>13.88</v>
      </c>
    </row>
    <row r="5806" spans="19:20" x14ac:dyDescent="0.25">
      <c r="S5806" s="78">
        <v>33193</v>
      </c>
      <c r="T5806" s="29">
        <v>13.88</v>
      </c>
    </row>
    <row r="5807" spans="19:20" x14ac:dyDescent="0.25">
      <c r="S5807" s="78">
        <v>33194</v>
      </c>
      <c r="T5807" s="29">
        <v>13.88</v>
      </c>
    </row>
    <row r="5808" spans="19:20" x14ac:dyDescent="0.25">
      <c r="S5808" s="78">
        <v>33195</v>
      </c>
      <c r="T5808" s="29">
        <v>13.88</v>
      </c>
    </row>
    <row r="5809" spans="19:20" x14ac:dyDescent="0.25">
      <c r="S5809" s="78">
        <v>33196</v>
      </c>
      <c r="T5809" s="29">
        <v>13.88</v>
      </c>
    </row>
    <row r="5810" spans="19:20" x14ac:dyDescent="0.25">
      <c r="S5810" s="78">
        <v>33197</v>
      </c>
      <c r="T5810" s="29">
        <v>13.88</v>
      </c>
    </row>
    <row r="5811" spans="19:20" x14ac:dyDescent="0.25">
      <c r="S5811" s="78">
        <v>33198</v>
      </c>
      <c r="T5811" s="29">
        <v>13.88</v>
      </c>
    </row>
    <row r="5812" spans="19:20" x14ac:dyDescent="0.25">
      <c r="S5812" s="78">
        <v>33199</v>
      </c>
      <c r="T5812" s="29">
        <v>13.88</v>
      </c>
    </row>
    <row r="5813" spans="19:20" x14ac:dyDescent="0.25">
      <c r="S5813" s="78">
        <v>33200</v>
      </c>
      <c r="T5813" s="29">
        <v>13.88</v>
      </c>
    </row>
    <row r="5814" spans="19:20" x14ac:dyDescent="0.25">
      <c r="S5814" s="78">
        <v>33201</v>
      </c>
      <c r="T5814" s="29">
        <v>13.88</v>
      </c>
    </row>
    <row r="5815" spans="19:20" x14ac:dyDescent="0.25">
      <c r="S5815" s="78">
        <v>33202</v>
      </c>
      <c r="T5815" s="29">
        <v>13.88</v>
      </c>
    </row>
    <row r="5816" spans="19:20" x14ac:dyDescent="0.25">
      <c r="S5816" s="78">
        <v>33203</v>
      </c>
      <c r="T5816" s="29">
        <v>13.88</v>
      </c>
    </row>
    <row r="5817" spans="19:20" x14ac:dyDescent="0.25">
      <c r="S5817" s="78">
        <v>33204</v>
      </c>
      <c r="T5817" s="29">
        <v>13.88</v>
      </c>
    </row>
    <row r="5818" spans="19:20" x14ac:dyDescent="0.25">
      <c r="S5818" s="78">
        <v>33205</v>
      </c>
      <c r="T5818" s="29">
        <v>13.88</v>
      </c>
    </row>
    <row r="5819" spans="19:20" x14ac:dyDescent="0.25">
      <c r="S5819" s="78">
        <v>33206</v>
      </c>
      <c r="T5819" s="29">
        <v>13.88</v>
      </c>
    </row>
    <row r="5820" spans="19:20" x14ac:dyDescent="0.25">
      <c r="S5820" s="78">
        <v>33207</v>
      </c>
      <c r="T5820" s="29">
        <v>13.88</v>
      </c>
    </row>
    <row r="5821" spans="19:20" x14ac:dyDescent="0.25">
      <c r="S5821" s="78">
        <v>33208</v>
      </c>
      <c r="T5821" s="29">
        <v>13.88</v>
      </c>
    </row>
    <row r="5822" spans="19:20" x14ac:dyDescent="0.25">
      <c r="S5822" s="78">
        <v>33209</v>
      </c>
      <c r="T5822" s="29">
        <v>13.88</v>
      </c>
    </row>
    <row r="5823" spans="19:20" x14ac:dyDescent="0.25">
      <c r="S5823" s="78">
        <v>33210</v>
      </c>
      <c r="T5823" s="29">
        <v>13.88</v>
      </c>
    </row>
    <row r="5824" spans="19:20" x14ac:dyDescent="0.25">
      <c r="S5824" s="78">
        <v>33211</v>
      </c>
      <c r="T5824" s="29">
        <v>13.88</v>
      </c>
    </row>
    <row r="5825" spans="19:20" x14ac:dyDescent="0.25">
      <c r="S5825" s="78">
        <v>33212</v>
      </c>
      <c r="T5825" s="29">
        <v>13.88</v>
      </c>
    </row>
    <row r="5826" spans="19:20" x14ac:dyDescent="0.25">
      <c r="S5826" s="78">
        <v>33213</v>
      </c>
      <c r="T5826" s="29">
        <v>13.88</v>
      </c>
    </row>
    <row r="5827" spans="19:20" x14ac:dyDescent="0.25">
      <c r="S5827" s="78">
        <v>33214</v>
      </c>
      <c r="T5827" s="29">
        <v>13.88</v>
      </c>
    </row>
    <row r="5828" spans="19:20" x14ac:dyDescent="0.25">
      <c r="S5828" s="78">
        <v>33215</v>
      </c>
      <c r="T5828" s="29">
        <v>13.88</v>
      </c>
    </row>
    <row r="5829" spans="19:20" x14ac:dyDescent="0.25">
      <c r="S5829" s="78">
        <v>33216</v>
      </c>
      <c r="T5829" s="29">
        <v>13.88</v>
      </c>
    </row>
    <row r="5830" spans="19:20" x14ac:dyDescent="0.25">
      <c r="S5830" s="78">
        <v>33217</v>
      </c>
      <c r="T5830" s="29">
        <v>13.88</v>
      </c>
    </row>
    <row r="5831" spans="19:20" x14ac:dyDescent="0.25">
      <c r="S5831" s="78">
        <v>33218</v>
      </c>
      <c r="T5831" s="29">
        <v>13.88</v>
      </c>
    </row>
    <row r="5832" spans="19:20" x14ac:dyDescent="0.25">
      <c r="S5832" s="78">
        <v>33219</v>
      </c>
      <c r="T5832" s="29">
        <v>13.88</v>
      </c>
    </row>
    <row r="5833" spans="19:20" x14ac:dyDescent="0.25">
      <c r="S5833" s="78">
        <v>33220</v>
      </c>
      <c r="T5833" s="29">
        <v>13.88</v>
      </c>
    </row>
    <row r="5834" spans="19:20" x14ac:dyDescent="0.25">
      <c r="S5834" s="78">
        <v>33221</v>
      </c>
      <c r="T5834" s="29">
        <v>13.88</v>
      </c>
    </row>
    <row r="5835" spans="19:20" x14ac:dyDescent="0.25">
      <c r="S5835" s="78">
        <v>33222</v>
      </c>
      <c r="T5835" s="29">
        <v>13.88</v>
      </c>
    </row>
    <row r="5836" spans="19:20" x14ac:dyDescent="0.25">
      <c r="S5836" s="78">
        <v>33223</v>
      </c>
      <c r="T5836" s="29">
        <v>13.88</v>
      </c>
    </row>
    <row r="5837" spans="19:20" x14ac:dyDescent="0.25">
      <c r="S5837" s="78">
        <v>33224</v>
      </c>
      <c r="T5837" s="29">
        <v>13.88</v>
      </c>
    </row>
    <row r="5838" spans="19:20" x14ac:dyDescent="0.25">
      <c r="S5838" s="78">
        <v>33225</v>
      </c>
      <c r="T5838" s="29">
        <v>13.88</v>
      </c>
    </row>
    <row r="5839" spans="19:20" x14ac:dyDescent="0.25">
      <c r="S5839" s="78">
        <v>33226</v>
      </c>
      <c r="T5839" s="29">
        <v>13.88</v>
      </c>
    </row>
    <row r="5840" spans="19:20" x14ac:dyDescent="0.25">
      <c r="S5840" s="78">
        <v>33227</v>
      </c>
      <c r="T5840" s="29">
        <v>13.88</v>
      </c>
    </row>
    <row r="5841" spans="19:21" x14ac:dyDescent="0.25">
      <c r="S5841" s="78">
        <v>33228</v>
      </c>
      <c r="T5841" s="29">
        <v>13.88</v>
      </c>
    </row>
    <row r="5842" spans="19:21" x14ac:dyDescent="0.25">
      <c r="S5842" s="78">
        <v>33229</v>
      </c>
      <c r="T5842" s="29">
        <v>13.88</v>
      </c>
    </row>
    <row r="5843" spans="19:21" x14ac:dyDescent="0.25">
      <c r="S5843" s="78">
        <v>33230</v>
      </c>
      <c r="T5843" s="29">
        <v>13.88</v>
      </c>
    </row>
    <row r="5844" spans="19:21" x14ac:dyDescent="0.25">
      <c r="S5844" s="78">
        <v>33231</v>
      </c>
      <c r="T5844" s="29">
        <v>13.88</v>
      </c>
    </row>
    <row r="5845" spans="19:21" x14ac:dyDescent="0.25">
      <c r="S5845" s="78">
        <v>33232</v>
      </c>
      <c r="T5845" s="29">
        <v>13.88</v>
      </c>
    </row>
    <row r="5846" spans="19:21" x14ac:dyDescent="0.25">
      <c r="S5846" s="78">
        <v>33233</v>
      </c>
      <c r="T5846" s="29">
        <v>13.88</v>
      </c>
    </row>
    <row r="5847" spans="19:21" x14ac:dyDescent="0.25">
      <c r="S5847" s="78">
        <v>33234</v>
      </c>
      <c r="T5847" s="29">
        <v>13.88</v>
      </c>
    </row>
    <row r="5848" spans="19:21" x14ac:dyDescent="0.25">
      <c r="S5848" s="78">
        <v>33235</v>
      </c>
      <c r="T5848" s="29">
        <v>13.88</v>
      </c>
    </row>
    <row r="5849" spans="19:21" x14ac:dyDescent="0.25">
      <c r="S5849" s="78">
        <v>33236</v>
      </c>
      <c r="T5849" s="29">
        <v>13.88</v>
      </c>
    </row>
    <row r="5850" spans="19:21" x14ac:dyDescent="0.25">
      <c r="S5850" s="78">
        <v>33237</v>
      </c>
      <c r="T5850" s="29">
        <v>13.88</v>
      </c>
    </row>
    <row r="5851" spans="19:21" x14ac:dyDescent="0.25">
      <c r="S5851" s="78">
        <v>33238</v>
      </c>
      <c r="T5851" s="29">
        <v>13.88</v>
      </c>
      <c r="U5851" s="40">
        <f>AVERAGE(T5760:T5851)</f>
        <v>13.956086956521759</v>
      </c>
    </row>
    <row r="5852" spans="19:21" x14ac:dyDescent="0.25">
      <c r="S5852" s="78">
        <v>33239</v>
      </c>
      <c r="T5852" s="29">
        <v>13.88</v>
      </c>
    </row>
    <row r="5853" spans="19:21" x14ac:dyDescent="0.25">
      <c r="S5853" s="78">
        <v>33240</v>
      </c>
      <c r="T5853" s="29">
        <v>13.88</v>
      </c>
    </row>
    <row r="5854" spans="19:21" x14ac:dyDescent="0.25">
      <c r="S5854" s="78">
        <v>33241</v>
      </c>
      <c r="T5854" s="29">
        <v>13.88</v>
      </c>
    </row>
    <row r="5855" spans="19:21" x14ac:dyDescent="0.25">
      <c r="S5855" s="78">
        <v>33242</v>
      </c>
      <c r="T5855" s="29">
        <v>13.88</v>
      </c>
    </row>
    <row r="5856" spans="19:21" x14ac:dyDescent="0.25">
      <c r="S5856" s="78">
        <v>33243</v>
      </c>
      <c r="T5856" s="29">
        <v>13.88</v>
      </c>
    </row>
    <row r="5857" spans="19:20" x14ac:dyDescent="0.25">
      <c r="S5857" s="78">
        <v>33244</v>
      </c>
      <c r="T5857" s="29">
        <v>13.88</v>
      </c>
    </row>
    <row r="5858" spans="19:20" x14ac:dyDescent="0.25">
      <c r="S5858" s="78">
        <v>33245</v>
      </c>
      <c r="T5858" s="29">
        <v>13.88</v>
      </c>
    </row>
    <row r="5859" spans="19:20" x14ac:dyDescent="0.25">
      <c r="S5859" s="78">
        <v>33246</v>
      </c>
      <c r="T5859" s="29">
        <v>13.88</v>
      </c>
    </row>
    <row r="5860" spans="19:20" x14ac:dyDescent="0.25">
      <c r="S5860" s="78">
        <v>33247</v>
      </c>
      <c r="T5860" s="29">
        <v>13.88</v>
      </c>
    </row>
    <row r="5861" spans="19:20" x14ac:dyDescent="0.25">
      <c r="S5861" s="78">
        <v>33248</v>
      </c>
      <c r="T5861" s="29">
        <v>13.88</v>
      </c>
    </row>
    <row r="5862" spans="19:20" x14ac:dyDescent="0.25">
      <c r="S5862" s="78">
        <v>33249</v>
      </c>
      <c r="T5862" s="29">
        <v>13.88</v>
      </c>
    </row>
    <row r="5863" spans="19:20" x14ac:dyDescent="0.25">
      <c r="S5863" s="78">
        <v>33250</v>
      </c>
      <c r="T5863" s="29">
        <v>13.88</v>
      </c>
    </row>
    <row r="5864" spans="19:20" x14ac:dyDescent="0.25">
      <c r="S5864" s="78">
        <v>33251</v>
      </c>
      <c r="T5864" s="29">
        <v>13.88</v>
      </c>
    </row>
    <row r="5865" spans="19:20" x14ac:dyDescent="0.25">
      <c r="S5865" s="78">
        <v>33252</v>
      </c>
      <c r="T5865" s="29">
        <v>13.88</v>
      </c>
    </row>
    <row r="5866" spans="19:20" x14ac:dyDescent="0.25">
      <c r="S5866" s="78">
        <v>33253</v>
      </c>
      <c r="T5866" s="29">
        <v>13.88</v>
      </c>
    </row>
    <row r="5867" spans="19:20" x14ac:dyDescent="0.25">
      <c r="S5867" s="78">
        <v>33254</v>
      </c>
      <c r="T5867" s="29">
        <v>13.88</v>
      </c>
    </row>
    <row r="5868" spans="19:20" x14ac:dyDescent="0.25">
      <c r="S5868" s="78">
        <v>33255</v>
      </c>
      <c r="T5868" s="29">
        <v>13.88</v>
      </c>
    </row>
    <row r="5869" spans="19:20" x14ac:dyDescent="0.25">
      <c r="S5869" s="78">
        <v>33256</v>
      </c>
      <c r="T5869" s="29">
        <v>13.88</v>
      </c>
    </row>
    <row r="5870" spans="19:20" x14ac:dyDescent="0.25">
      <c r="S5870" s="78">
        <v>33257</v>
      </c>
      <c r="T5870" s="29">
        <v>13.88</v>
      </c>
    </row>
    <row r="5871" spans="19:20" x14ac:dyDescent="0.25">
      <c r="S5871" s="78">
        <v>33258</v>
      </c>
      <c r="T5871" s="29">
        <v>13.88</v>
      </c>
    </row>
    <row r="5872" spans="19:20" x14ac:dyDescent="0.25">
      <c r="S5872" s="78">
        <v>33259</v>
      </c>
      <c r="T5872" s="29">
        <v>13.88</v>
      </c>
    </row>
    <row r="5873" spans="19:20" x14ac:dyDescent="0.25">
      <c r="S5873" s="78">
        <v>33260</v>
      </c>
      <c r="T5873" s="29">
        <v>13.88</v>
      </c>
    </row>
    <row r="5874" spans="19:20" x14ac:dyDescent="0.25">
      <c r="S5874" s="78">
        <v>33261</v>
      </c>
      <c r="T5874" s="29">
        <v>13.88</v>
      </c>
    </row>
    <row r="5875" spans="19:20" x14ac:dyDescent="0.25">
      <c r="S5875" s="78">
        <v>33262</v>
      </c>
      <c r="T5875" s="29">
        <v>13.88</v>
      </c>
    </row>
    <row r="5876" spans="19:20" x14ac:dyDescent="0.25">
      <c r="S5876" s="78">
        <v>33263</v>
      </c>
      <c r="T5876" s="29">
        <v>13.88</v>
      </c>
    </row>
    <row r="5877" spans="19:20" x14ac:dyDescent="0.25">
      <c r="S5877" s="78">
        <v>33264</v>
      </c>
      <c r="T5877" s="29">
        <v>13.88</v>
      </c>
    </row>
    <row r="5878" spans="19:20" x14ac:dyDescent="0.25">
      <c r="S5878" s="78">
        <v>33265</v>
      </c>
      <c r="T5878" s="29">
        <v>13.88</v>
      </c>
    </row>
    <row r="5879" spans="19:20" x14ac:dyDescent="0.25">
      <c r="S5879" s="78">
        <v>33266</v>
      </c>
      <c r="T5879" s="29">
        <v>13.88</v>
      </c>
    </row>
    <row r="5880" spans="19:20" x14ac:dyDescent="0.25">
      <c r="S5880" s="78">
        <v>33267</v>
      </c>
      <c r="T5880" s="29">
        <v>13.88</v>
      </c>
    </row>
    <row r="5881" spans="19:20" x14ac:dyDescent="0.25">
      <c r="S5881" s="78">
        <v>33268</v>
      </c>
      <c r="T5881" s="29">
        <v>13.88</v>
      </c>
    </row>
    <row r="5882" spans="19:20" x14ac:dyDescent="0.25">
      <c r="S5882" s="78">
        <v>33269</v>
      </c>
      <c r="T5882" s="29">
        <v>13.88</v>
      </c>
    </row>
    <row r="5883" spans="19:20" x14ac:dyDescent="0.25">
      <c r="S5883" s="78">
        <v>33270</v>
      </c>
      <c r="T5883" s="29">
        <v>13.88</v>
      </c>
    </row>
    <row r="5884" spans="19:20" x14ac:dyDescent="0.25">
      <c r="S5884" s="78">
        <v>33271</v>
      </c>
      <c r="T5884" s="29">
        <v>13.88</v>
      </c>
    </row>
    <row r="5885" spans="19:20" x14ac:dyDescent="0.25">
      <c r="S5885" s="78">
        <v>33272</v>
      </c>
      <c r="T5885" s="29">
        <v>13.88</v>
      </c>
    </row>
    <row r="5886" spans="19:20" x14ac:dyDescent="0.25">
      <c r="S5886" s="78">
        <v>33273</v>
      </c>
      <c r="T5886" s="29">
        <v>13.88</v>
      </c>
    </row>
    <row r="5887" spans="19:20" x14ac:dyDescent="0.25">
      <c r="S5887" s="78">
        <v>33274</v>
      </c>
      <c r="T5887" s="29">
        <v>13.88</v>
      </c>
    </row>
    <row r="5888" spans="19:20" x14ac:dyDescent="0.25">
      <c r="S5888" s="78">
        <v>33275</v>
      </c>
      <c r="T5888" s="29">
        <v>13.88</v>
      </c>
    </row>
    <row r="5889" spans="19:20" x14ac:dyDescent="0.25">
      <c r="S5889" s="78">
        <v>33276</v>
      </c>
      <c r="T5889" s="29">
        <v>13.88</v>
      </c>
    </row>
    <row r="5890" spans="19:20" x14ac:dyDescent="0.25">
      <c r="S5890" s="78">
        <v>33277</v>
      </c>
      <c r="T5890" s="29">
        <v>13.88</v>
      </c>
    </row>
    <row r="5891" spans="19:20" x14ac:dyDescent="0.25">
      <c r="S5891" s="78">
        <v>33278</v>
      </c>
      <c r="T5891" s="29">
        <v>13.88</v>
      </c>
    </row>
    <row r="5892" spans="19:20" x14ac:dyDescent="0.25">
      <c r="S5892" s="78">
        <v>33279</v>
      </c>
      <c r="T5892" s="29">
        <v>13.88</v>
      </c>
    </row>
    <row r="5893" spans="19:20" x14ac:dyDescent="0.25">
      <c r="S5893" s="78">
        <v>33280</v>
      </c>
      <c r="T5893" s="29">
        <v>13.88</v>
      </c>
    </row>
    <row r="5894" spans="19:20" x14ac:dyDescent="0.25">
      <c r="S5894" s="78">
        <v>33281</v>
      </c>
      <c r="T5894" s="29">
        <v>13.88</v>
      </c>
    </row>
    <row r="5895" spans="19:20" x14ac:dyDescent="0.25">
      <c r="S5895" s="78">
        <v>33282</v>
      </c>
      <c r="T5895" s="29">
        <v>13.38</v>
      </c>
    </row>
    <row r="5896" spans="19:20" x14ac:dyDescent="0.25">
      <c r="S5896" s="78">
        <v>33283</v>
      </c>
      <c r="T5896" s="29">
        <v>13.38</v>
      </c>
    </row>
    <row r="5897" spans="19:20" x14ac:dyDescent="0.25">
      <c r="S5897" s="78">
        <v>33284</v>
      </c>
      <c r="T5897" s="29">
        <v>13.38</v>
      </c>
    </row>
    <row r="5898" spans="19:20" x14ac:dyDescent="0.25">
      <c r="S5898" s="78">
        <v>33285</v>
      </c>
      <c r="T5898" s="29">
        <v>13.38</v>
      </c>
    </row>
    <row r="5899" spans="19:20" x14ac:dyDescent="0.25">
      <c r="S5899" s="78">
        <v>33286</v>
      </c>
      <c r="T5899" s="29">
        <v>13.38</v>
      </c>
    </row>
    <row r="5900" spans="19:20" x14ac:dyDescent="0.25">
      <c r="S5900" s="78">
        <v>33287</v>
      </c>
      <c r="T5900" s="29">
        <v>13.38</v>
      </c>
    </row>
    <row r="5901" spans="19:20" x14ac:dyDescent="0.25">
      <c r="S5901" s="78">
        <v>33288</v>
      </c>
      <c r="T5901" s="29">
        <v>13.38</v>
      </c>
    </row>
    <row r="5902" spans="19:20" x14ac:dyDescent="0.25">
      <c r="S5902" s="78">
        <v>33289</v>
      </c>
      <c r="T5902" s="29">
        <v>13.38</v>
      </c>
    </row>
    <row r="5903" spans="19:20" x14ac:dyDescent="0.25">
      <c r="S5903" s="78">
        <v>33290</v>
      </c>
      <c r="T5903" s="29">
        <v>13.38</v>
      </c>
    </row>
    <row r="5904" spans="19:20" x14ac:dyDescent="0.25">
      <c r="S5904" s="78">
        <v>33291</v>
      </c>
      <c r="T5904" s="29">
        <v>13.38</v>
      </c>
    </row>
    <row r="5905" spans="19:20" x14ac:dyDescent="0.25">
      <c r="S5905" s="78">
        <v>33292</v>
      </c>
      <c r="T5905" s="29">
        <v>13.38</v>
      </c>
    </row>
    <row r="5906" spans="19:20" x14ac:dyDescent="0.25">
      <c r="S5906" s="78">
        <v>33293</v>
      </c>
      <c r="T5906" s="29">
        <v>13.38</v>
      </c>
    </row>
    <row r="5907" spans="19:20" x14ac:dyDescent="0.25">
      <c r="S5907" s="78">
        <v>33294</v>
      </c>
      <c r="T5907" s="29">
        <v>13.38</v>
      </c>
    </row>
    <row r="5908" spans="19:20" x14ac:dyDescent="0.25">
      <c r="S5908" s="78">
        <v>33295</v>
      </c>
      <c r="T5908" s="29">
        <v>13.38</v>
      </c>
    </row>
    <row r="5909" spans="19:20" x14ac:dyDescent="0.25">
      <c r="S5909" s="78">
        <v>33296</v>
      </c>
      <c r="T5909" s="29">
        <v>12.88</v>
      </c>
    </row>
    <row r="5910" spans="19:20" x14ac:dyDescent="0.25">
      <c r="S5910" s="78">
        <v>33297</v>
      </c>
      <c r="T5910" s="29">
        <v>12.88</v>
      </c>
    </row>
    <row r="5911" spans="19:20" x14ac:dyDescent="0.25">
      <c r="S5911" s="78">
        <v>33298</v>
      </c>
      <c r="T5911" s="29">
        <v>12.88</v>
      </c>
    </row>
    <row r="5912" spans="19:20" x14ac:dyDescent="0.25">
      <c r="S5912" s="78">
        <v>33299</v>
      </c>
      <c r="T5912" s="29">
        <v>12.88</v>
      </c>
    </row>
    <row r="5913" spans="19:20" x14ac:dyDescent="0.25">
      <c r="S5913" s="78">
        <v>33300</v>
      </c>
      <c r="T5913" s="29">
        <v>12.88</v>
      </c>
    </row>
    <row r="5914" spans="19:20" x14ac:dyDescent="0.25">
      <c r="S5914" s="78">
        <v>33301</v>
      </c>
      <c r="T5914" s="29">
        <v>12.88</v>
      </c>
    </row>
    <row r="5915" spans="19:20" x14ac:dyDescent="0.25">
      <c r="S5915" s="78">
        <v>33302</v>
      </c>
      <c r="T5915" s="29">
        <v>12.88</v>
      </c>
    </row>
    <row r="5916" spans="19:20" x14ac:dyDescent="0.25">
      <c r="S5916" s="78">
        <v>33303</v>
      </c>
      <c r="T5916" s="29">
        <v>12.88</v>
      </c>
    </row>
    <row r="5917" spans="19:20" x14ac:dyDescent="0.25">
      <c r="S5917" s="78">
        <v>33304</v>
      </c>
      <c r="T5917" s="29">
        <v>12.88</v>
      </c>
    </row>
    <row r="5918" spans="19:20" x14ac:dyDescent="0.25">
      <c r="S5918" s="78">
        <v>33305</v>
      </c>
      <c r="T5918" s="29">
        <v>12.88</v>
      </c>
    </row>
    <row r="5919" spans="19:20" x14ac:dyDescent="0.25">
      <c r="S5919" s="78">
        <v>33306</v>
      </c>
      <c r="T5919" s="29">
        <v>12.88</v>
      </c>
    </row>
    <row r="5920" spans="19:20" x14ac:dyDescent="0.25">
      <c r="S5920" s="78">
        <v>33307</v>
      </c>
      <c r="T5920" s="29">
        <v>12.88</v>
      </c>
    </row>
    <row r="5921" spans="19:20" x14ac:dyDescent="0.25">
      <c r="S5921" s="78">
        <v>33308</v>
      </c>
      <c r="T5921" s="29">
        <v>12.88</v>
      </c>
    </row>
    <row r="5922" spans="19:20" x14ac:dyDescent="0.25">
      <c r="S5922" s="78">
        <v>33309</v>
      </c>
      <c r="T5922" s="29">
        <v>12.88</v>
      </c>
    </row>
    <row r="5923" spans="19:20" x14ac:dyDescent="0.25">
      <c r="S5923" s="78">
        <v>33310</v>
      </c>
      <c r="T5923" s="29">
        <v>12.88</v>
      </c>
    </row>
    <row r="5924" spans="19:20" x14ac:dyDescent="0.25">
      <c r="S5924" s="78">
        <v>33311</v>
      </c>
      <c r="T5924" s="29">
        <v>12.88</v>
      </c>
    </row>
    <row r="5925" spans="19:20" x14ac:dyDescent="0.25">
      <c r="S5925" s="78">
        <v>33312</v>
      </c>
      <c r="T5925" s="29">
        <v>12.88</v>
      </c>
    </row>
    <row r="5926" spans="19:20" x14ac:dyDescent="0.25">
      <c r="S5926" s="78">
        <v>33313</v>
      </c>
      <c r="T5926" s="29">
        <v>12.88</v>
      </c>
    </row>
    <row r="5927" spans="19:20" x14ac:dyDescent="0.25">
      <c r="S5927" s="78">
        <v>33314</v>
      </c>
      <c r="T5927" s="29">
        <v>12.88</v>
      </c>
    </row>
    <row r="5928" spans="19:20" x14ac:dyDescent="0.25">
      <c r="S5928" s="78">
        <v>33315</v>
      </c>
      <c r="T5928" s="29">
        <v>12.88</v>
      </c>
    </row>
    <row r="5929" spans="19:20" x14ac:dyDescent="0.25">
      <c r="S5929" s="78">
        <v>33316</v>
      </c>
      <c r="T5929" s="29">
        <v>12.88</v>
      </c>
    </row>
    <row r="5930" spans="19:20" x14ac:dyDescent="0.25">
      <c r="S5930" s="78">
        <v>33317</v>
      </c>
      <c r="T5930" s="29">
        <v>12.88</v>
      </c>
    </row>
    <row r="5931" spans="19:20" x14ac:dyDescent="0.25">
      <c r="S5931" s="78">
        <v>33318</v>
      </c>
      <c r="T5931" s="29">
        <v>12.88</v>
      </c>
    </row>
    <row r="5932" spans="19:20" x14ac:dyDescent="0.25">
      <c r="S5932" s="78">
        <v>33319</v>
      </c>
      <c r="T5932" s="29">
        <v>12.38</v>
      </c>
    </row>
    <row r="5933" spans="19:20" x14ac:dyDescent="0.25">
      <c r="S5933" s="78">
        <v>33320</v>
      </c>
      <c r="T5933" s="29">
        <v>12.38</v>
      </c>
    </row>
    <row r="5934" spans="19:20" x14ac:dyDescent="0.25">
      <c r="S5934" s="78">
        <v>33321</v>
      </c>
      <c r="T5934" s="29">
        <v>12.38</v>
      </c>
    </row>
    <row r="5935" spans="19:20" x14ac:dyDescent="0.25">
      <c r="S5935" s="78">
        <v>33322</v>
      </c>
      <c r="T5935" s="29">
        <v>12.38</v>
      </c>
    </row>
    <row r="5936" spans="19:20" x14ac:dyDescent="0.25">
      <c r="S5936" s="78">
        <v>33323</v>
      </c>
      <c r="T5936" s="29">
        <v>12.38</v>
      </c>
    </row>
    <row r="5937" spans="19:21" x14ac:dyDescent="0.25">
      <c r="S5937" s="78">
        <v>33324</v>
      </c>
      <c r="T5937" s="29">
        <v>12.38</v>
      </c>
    </row>
    <row r="5938" spans="19:21" x14ac:dyDescent="0.25">
      <c r="S5938" s="78">
        <v>33325</v>
      </c>
      <c r="T5938" s="29">
        <v>12.38</v>
      </c>
    </row>
    <row r="5939" spans="19:21" x14ac:dyDescent="0.25">
      <c r="S5939" s="78">
        <v>33326</v>
      </c>
      <c r="T5939" s="29">
        <v>12.38</v>
      </c>
    </row>
    <row r="5940" spans="19:21" x14ac:dyDescent="0.25">
      <c r="S5940" s="78">
        <v>33327</v>
      </c>
      <c r="T5940" s="29">
        <v>12.38</v>
      </c>
    </row>
    <row r="5941" spans="19:21" x14ac:dyDescent="0.25">
      <c r="S5941" s="78">
        <v>33328</v>
      </c>
      <c r="T5941" s="29">
        <v>12.38</v>
      </c>
      <c r="U5941" s="39">
        <f>AVERAGE(T5852:T5941)</f>
        <v>13.380000000000015</v>
      </c>
    </row>
    <row r="5942" spans="19:21" x14ac:dyDescent="0.25">
      <c r="S5942" s="78">
        <v>33329</v>
      </c>
      <c r="T5942" s="29">
        <v>12.38</v>
      </c>
    </row>
    <row r="5943" spans="19:21" x14ac:dyDescent="0.25">
      <c r="S5943" s="78">
        <v>33330</v>
      </c>
      <c r="T5943" s="29">
        <v>12.38</v>
      </c>
    </row>
    <row r="5944" spans="19:21" x14ac:dyDescent="0.25">
      <c r="S5944" s="78">
        <v>33331</v>
      </c>
      <c r="T5944" s="29">
        <v>12.38</v>
      </c>
    </row>
    <row r="5945" spans="19:21" x14ac:dyDescent="0.25">
      <c r="S5945" s="78">
        <v>33332</v>
      </c>
      <c r="T5945" s="29">
        <v>12.38</v>
      </c>
    </row>
    <row r="5946" spans="19:21" x14ac:dyDescent="0.25">
      <c r="S5946" s="78">
        <v>33333</v>
      </c>
      <c r="T5946" s="29">
        <v>12.38</v>
      </c>
    </row>
    <row r="5947" spans="19:21" x14ac:dyDescent="0.25">
      <c r="S5947" s="78">
        <v>33334</v>
      </c>
      <c r="T5947" s="29">
        <v>12.38</v>
      </c>
    </row>
    <row r="5948" spans="19:21" x14ac:dyDescent="0.25">
      <c r="S5948" s="78">
        <v>33335</v>
      </c>
      <c r="T5948" s="29">
        <v>12.38</v>
      </c>
    </row>
    <row r="5949" spans="19:21" x14ac:dyDescent="0.25">
      <c r="S5949" s="78">
        <v>33336</v>
      </c>
      <c r="T5949" s="29">
        <v>12.38</v>
      </c>
    </row>
    <row r="5950" spans="19:21" x14ac:dyDescent="0.25">
      <c r="S5950" s="78">
        <v>33337</v>
      </c>
      <c r="T5950" s="29">
        <v>12.38</v>
      </c>
    </row>
    <row r="5951" spans="19:21" x14ac:dyDescent="0.25">
      <c r="S5951" s="78">
        <v>33338</v>
      </c>
      <c r="T5951" s="29">
        <v>12.38</v>
      </c>
    </row>
    <row r="5952" spans="19:21" x14ac:dyDescent="0.25">
      <c r="S5952" s="78">
        <v>33339</v>
      </c>
      <c r="T5952" s="29">
        <v>12.38</v>
      </c>
    </row>
    <row r="5953" spans="19:20" x14ac:dyDescent="0.25">
      <c r="S5953" s="78">
        <v>33340</v>
      </c>
      <c r="T5953" s="29">
        <v>11.88</v>
      </c>
    </row>
    <row r="5954" spans="19:20" x14ac:dyDescent="0.25">
      <c r="S5954" s="78">
        <v>33341</v>
      </c>
      <c r="T5954" s="29">
        <v>11.88</v>
      </c>
    </row>
    <row r="5955" spans="19:20" x14ac:dyDescent="0.25">
      <c r="S5955" s="78">
        <v>33342</v>
      </c>
      <c r="T5955" s="29">
        <v>11.88</v>
      </c>
    </row>
    <row r="5956" spans="19:20" x14ac:dyDescent="0.25">
      <c r="S5956" s="78">
        <v>33343</v>
      </c>
      <c r="T5956" s="29">
        <v>11.88</v>
      </c>
    </row>
    <row r="5957" spans="19:20" x14ac:dyDescent="0.25">
      <c r="S5957" s="78">
        <v>33344</v>
      </c>
      <c r="T5957" s="29">
        <v>11.88</v>
      </c>
    </row>
    <row r="5958" spans="19:20" x14ac:dyDescent="0.25">
      <c r="S5958" s="78">
        <v>33345</v>
      </c>
      <c r="T5958" s="29">
        <v>11.88</v>
      </c>
    </row>
    <row r="5959" spans="19:20" x14ac:dyDescent="0.25">
      <c r="S5959" s="78">
        <v>33346</v>
      </c>
      <c r="T5959" s="29">
        <v>11.88</v>
      </c>
    </row>
    <row r="5960" spans="19:20" x14ac:dyDescent="0.25">
      <c r="S5960" s="78">
        <v>33347</v>
      </c>
      <c r="T5960" s="29">
        <v>11.88</v>
      </c>
    </row>
    <row r="5961" spans="19:20" x14ac:dyDescent="0.25">
      <c r="S5961" s="78">
        <v>33348</v>
      </c>
      <c r="T5961" s="29">
        <v>11.88</v>
      </c>
    </row>
    <row r="5962" spans="19:20" x14ac:dyDescent="0.25">
      <c r="S5962" s="78">
        <v>33349</v>
      </c>
      <c r="T5962" s="29">
        <v>11.88</v>
      </c>
    </row>
    <row r="5963" spans="19:20" x14ac:dyDescent="0.25">
      <c r="S5963" s="78">
        <v>33350</v>
      </c>
      <c r="T5963" s="29">
        <v>11.88</v>
      </c>
    </row>
    <row r="5964" spans="19:20" x14ac:dyDescent="0.25">
      <c r="S5964" s="78">
        <v>33351</v>
      </c>
      <c r="T5964" s="29">
        <v>11.88</v>
      </c>
    </row>
    <row r="5965" spans="19:20" x14ac:dyDescent="0.25">
      <c r="S5965" s="78">
        <v>33352</v>
      </c>
      <c r="T5965" s="29">
        <v>11.88</v>
      </c>
    </row>
    <row r="5966" spans="19:20" x14ac:dyDescent="0.25">
      <c r="S5966" s="78">
        <v>33353</v>
      </c>
      <c r="T5966" s="29">
        <v>11.88</v>
      </c>
    </row>
    <row r="5967" spans="19:20" x14ac:dyDescent="0.25">
      <c r="S5967" s="78">
        <v>33354</v>
      </c>
      <c r="T5967" s="29">
        <v>11.88</v>
      </c>
    </row>
    <row r="5968" spans="19:20" x14ac:dyDescent="0.25">
      <c r="S5968" s="78">
        <v>33355</v>
      </c>
      <c r="T5968" s="29">
        <v>11.88</v>
      </c>
    </row>
    <row r="5969" spans="19:20" x14ac:dyDescent="0.25">
      <c r="S5969" s="78">
        <v>33356</v>
      </c>
      <c r="T5969" s="29">
        <v>11.88</v>
      </c>
    </row>
    <row r="5970" spans="19:20" x14ac:dyDescent="0.25">
      <c r="S5970" s="78">
        <v>33357</v>
      </c>
      <c r="T5970" s="29">
        <v>11.88</v>
      </c>
    </row>
    <row r="5971" spans="19:20" x14ac:dyDescent="0.25">
      <c r="S5971" s="78">
        <v>33358</v>
      </c>
      <c r="T5971" s="29">
        <v>11.88</v>
      </c>
    </row>
    <row r="5972" spans="19:20" x14ac:dyDescent="0.25">
      <c r="S5972" s="78">
        <v>33359</v>
      </c>
      <c r="T5972" s="29">
        <v>11.88</v>
      </c>
    </row>
    <row r="5973" spans="19:20" x14ac:dyDescent="0.25">
      <c r="S5973" s="78">
        <v>33360</v>
      </c>
      <c r="T5973" s="29">
        <v>11.88</v>
      </c>
    </row>
    <row r="5974" spans="19:20" x14ac:dyDescent="0.25">
      <c r="S5974" s="78">
        <v>33361</v>
      </c>
      <c r="T5974" s="29">
        <v>11.88</v>
      </c>
    </row>
    <row r="5975" spans="19:20" x14ac:dyDescent="0.25">
      <c r="S5975" s="78">
        <v>33362</v>
      </c>
      <c r="T5975" s="29">
        <v>11.88</v>
      </c>
    </row>
    <row r="5976" spans="19:20" x14ac:dyDescent="0.25">
      <c r="S5976" s="78">
        <v>33363</v>
      </c>
      <c r="T5976" s="29">
        <v>11.88</v>
      </c>
    </row>
    <row r="5977" spans="19:20" x14ac:dyDescent="0.25">
      <c r="S5977" s="78">
        <v>33364</v>
      </c>
      <c r="T5977" s="29">
        <v>11.88</v>
      </c>
    </row>
    <row r="5978" spans="19:20" x14ac:dyDescent="0.25">
      <c r="S5978" s="78">
        <v>33365</v>
      </c>
      <c r="T5978" s="29">
        <v>11.88</v>
      </c>
    </row>
    <row r="5979" spans="19:20" x14ac:dyDescent="0.25">
      <c r="S5979" s="78">
        <v>33366</v>
      </c>
      <c r="T5979" s="29">
        <v>11.88</v>
      </c>
    </row>
    <row r="5980" spans="19:20" x14ac:dyDescent="0.25">
      <c r="S5980" s="78">
        <v>33367</v>
      </c>
      <c r="T5980" s="29">
        <v>11.88</v>
      </c>
    </row>
    <row r="5981" spans="19:20" x14ac:dyDescent="0.25">
      <c r="S5981" s="78">
        <v>33368</v>
      </c>
      <c r="T5981" s="29">
        <v>11.88</v>
      </c>
    </row>
    <row r="5982" spans="19:20" x14ac:dyDescent="0.25">
      <c r="S5982" s="78">
        <v>33369</v>
      </c>
      <c r="T5982" s="29">
        <v>11.88</v>
      </c>
    </row>
    <row r="5983" spans="19:20" x14ac:dyDescent="0.25">
      <c r="S5983" s="78">
        <v>33370</v>
      </c>
      <c r="T5983" s="29">
        <v>11.88</v>
      </c>
    </row>
    <row r="5984" spans="19:20" x14ac:dyDescent="0.25">
      <c r="S5984" s="78">
        <v>33371</v>
      </c>
      <c r="T5984" s="29">
        <v>11.88</v>
      </c>
    </row>
    <row r="5985" spans="19:20" x14ac:dyDescent="0.25">
      <c r="S5985" s="78">
        <v>33372</v>
      </c>
      <c r="T5985" s="29">
        <v>11.88</v>
      </c>
    </row>
    <row r="5986" spans="19:20" x14ac:dyDescent="0.25">
      <c r="S5986" s="78">
        <v>33373</v>
      </c>
      <c r="T5986" s="29">
        <v>11.88</v>
      </c>
    </row>
    <row r="5987" spans="19:20" x14ac:dyDescent="0.25">
      <c r="S5987" s="78">
        <v>33374</v>
      </c>
      <c r="T5987" s="29">
        <v>11.88</v>
      </c>
    </row>
    <row r="5988" spans="19:20" x14ac:dyDescent="0.25">
      <c r="S5988" s="78">
        <v>33375</v>
      </c>
      <c r="T5988" s="29">
        <v>11.88</v>
      </c>
    </row>
    <row r="5989" spans="19:20" x14ac:dyDescent="0.25">
      <c r="S5989" s="78">
        <v>33376</v>
      </c>
      <c r="T5989" s="29">
        <v>11.88</v>
      </c>
    </row>
    <row r="5990" spans="19:20" x14ac:dyDescent="0.25">
      <c r="S5990" s="78">
        <v>33377</v>
      </c>
      <c r="T5990" s="29">
        <v>11.88</v>
      </c>
    </row>
    <row r="5991" spans="19:20" x14ac:dyDescent="0.25">
      <c r="S5991" s="78">
        <v>33378</v>
      </c>
      <c r="T5991" s="29">
        <v>11.88</v>
      </c>
    </row>
    <row r="5992" spans="19:20" x14ac:dyDescent="0.25">
      <c r="S5992" s="78">
        <v>33379</v>
      </c>
      <c r="T5992" s="29">
        <v>11.88</v>
      </c>
    </row>
    <row r="5993" spans="19:20" x14ac:dyDescent="0.25">
      <c r="S5993" s="78">
        <v>33380</v>
      </c>
      <c r="T5993" s="29">
        <v>11.88</v>
      </c>
    </row>
    <row r="5994" spans="19:20" x14ac:dyDescent="0.25">
      <c r="S5994" s="78">
        <v>33381</v>
      </c>
      <c r="T5994" s="29">
        <v>11.88</v>
      </c>
    </row>
    <row r="5995" spans="19:20" x14ac:dyDescent="0.25">
      <c r="S5995" s="78">
        <v>33382</v>
      </c>
      <c r="T5995" s="29">
        <v>11.38</v>
      </c>
    </row>
    <row r="5996" spans="19:20" x14ac:dyDescent="0.25">
      <c r="S5996" s="78">
        <v>33383</v>
      </c>
      <c r="T5996" s="29">
        <v>11.38</v>
      </c>
    </row>
    <row r="5997" spans="19:20" x14ac:dyDescent="0.25">
      <c r="S5997" s="78">
        <v>33384</v>
      </c>
      <c r="T5997" s="29">
        <v>11.38</v>
      </c>
    </row>
    <row r="5998" spans="19:20" x14ac:dyDescent="0.25">
      <c r="S5998" s="78">
        <v>33385</v>
      </c>
      <c r="T5998" s="29">
        <v>11.38</v>
      </c>
    </row>
    <row r="5999" spans="19:20" x14ac:dyDescent="0.25">
      <c r="S5999" s="78">
        <v>33386</v>
      </c>
      <c r="T5999" s="29">
        <v>11.38</v>
      </c>
    </row>
    <row r="6000" spans="19:20" x14ac:dyDescent="0.25">
      <c r="S6000" s="78">
        <v>33387</v>
      </c>
      <c r="T6000" s="29">
        <v>11.38</v>
      </c>
    </row>
    <row r="6001" spans="19:20" x14ac:dyDescent="0.25">
      <c r="S6001" s="78">
        <v>33388</v>
      </c>
      <c r="T6001" s="29">
        <v>11.38</v>
      </c>
    </row>
    <row r="6002" spans="19:20" x14ac:dyDescent="0.25">
      <c r="S6002" s="78">
        <v>33389</v>
      </c>
      <c r="T6002" s="29">
        <v>11.38</v>
      </c>
    </row>
    <row r="6003" spans="19:20" x14ac:dyDescent="0.25">
      <c r="S6003" s="78">
        <v>33390</v>
      </c>
      <c r="T6003" s="29">
        <v>11.38</v>
      </c>
    </row>
    <row r="6004" spans="19:20" x14ac:dyDescent="0.25">
      <c r="S6004" s="78">
        <v>33391</v>
      </c>
      <c r="T6004" s="29">
        <v>11.38</v>
      </c>
    </row>
    <row r="6005" spans="19:20" x14ac:dyDescent="0.25">
      <c r="S6005" s="78">
        <v>33392</v>
      </c>
      <c r="T6005" s="29">
        <v>11.38</v>
      </c>
    </row>
    <row r="6006" spans="19:20" x14ac:dyDescent="0.25">
      <c r="S6006" s="78">
        <v>33393</v>
      </c>
      <c r="T6006" s="29">
        <v>11.38</v>
      </c>
    </row>
    <row r="6007" spans="19:20" x14ac:dyDescent="0.25">
      <c r="S6007" s="78">
        <v>33394</v>
      </c>
      <c r="T6007" s="29">
        <v>11.38</v>
      </c>
    </row>
    <row r="6008" spans="19:20" x14ac:dyDescent="0.25">
      <c r="S6008" s="78">
        <v>33395</v>
      </c>
      <c r="T6008" s="29">
        <v>11.38</v>
      </c>
    </row>
    <row r="6009" spans="19:20" x14ac:dyDescent="0.25">
      <c r="S6009" s="78">
        <v>33396</v>
      </c>
      <c r="T6009" s="29">
        <v>11.38</v>
      </c>
    </row>
    <row r="6010" spans="19:20" x14ac:dyDescent="0.25">
      <c r="S6010" s="78">
        <v>33397</v>
      </c>
      <c r="T6010" s="29">
        <v>11.38</v>
      </c>
    </row>
    <row r="6011" spans="19:20" x14ac:dyDescent="0.25">
      <c r="S6011" s="78">
        <v>33398</v>
      </c>
      <c r="T6011" s="29">
        <v>11.38</v>
      </c>
    </row>
    <row r="6012" spans="19:20" x14ac:dyDescent="0.25">
      <c r="S6012" s="78">
        <v>33399</v>
      </c>
      <c r="T6012" s="29">
        <v>11.38</v>
      </c>
    </row>
    <row r="6013" spans="19:20" x14ac:dyDescent="0.25">
      <c r="S6013" s="78">
        <v>33400</v>
      </c>
      <c r="T6013" s="29">
        <v>11.38</v>
      </c>
    </row>
    <row r="6014" spans="19:20" x14ac:dyDescent="0.25">
      <c r="S6014" s="78">
        <v>33401</v>
      </c>
      <c r="T6014" s="29">
        <v>11.38</v>
      </c>
    </row>
    <row r="6015" spans="19:20" x14ac:dyDescent="0.25">
      <c r="S6015" s="78">
        <v>33402</v>
      </c>
      <c r="T6015" s="29">
        <v>11.38</v>
      </c>
    </row>
    <row r="6016" spans="19:20" x14ac:dyDescent="0.25">
      <c r="S6016" s="78">
        <v>33403</v>
      </c>
      <c r="T6016" s="29">
        <v>11.38</v>
      </c>
    </row>
    <row r="6017" spans="19:21" x14ac:dyDescent="0.25">
      <c r="S6017" s="78">
        <v>33404</v>
      </c>
      <c r="T6017" s="29">
        <v>11.38</v>
      </c>
    </row>
    <row r="6018" spans="19:21" x14ac:dyDescent="0.25">
      <c r="S6018" s="78">
        <v>33405</v>
      </c>
      <c r="T6018" s="29">
        <v>11.38</v>
      </c>
    </row>
    <row r="6019" spans="19:21" x14ac:dyDescent="0.25">
      <c r="S6019" s="78">
        <v>33406</v>
      </c>
      <c r="T6019" s="29">
        <v>11.38</v>
      </c>
    </row>
    <row r="6020" spans="19:21" x14ac:dyDescent="0.25">
      <c r="S6020" s="78">
        <v>33407</v>
      </c>
      <c r="T6020" s="29">
        <v>11.38</v>
      </c>
    </row>
    <row r="6021" spans="19:21" x14ac:dyDescent="0.25">
      <c r="S6021" s="78">
        <v>33408</v>
      </c>
      <c r="T6021" s="29">
        <v>11.38</v>
      </c>
    </row>
    <row r="6022" spans="19:21" x14ac:dyDescent="0.25">
      <c r="S6022" s="78">
        <v>33409</v>
      </c>
      <c r="T6022" s="29">
        <v>11.38</v>
      </c>
    </row>
    <row r="6023" spans="19:21" x14ac:dyDescent="0.25">
      <c r="S6023" s="78">
        <v>33410</v>
      </c>
      <c r="T6023" s="29">
        <v>11.38</v>
      </c>
    </row>
    <row r="6024" spans="19:21" x14ac:dyDescent="0.25">
      <c r="S6024" s="78">
        <v>33411</v>
      </c>
      <c r="T6024" s="29">
        <v>11.38</v>
      </c>
    </row>
    <row r="6025" spans="19:21" x14ac:dyDescent="0.25">
      <c r="S6025" s="78">
        <v>33412</v>
      </c>
      <c r="T6025" s="29">
        <v>11.38</v>
      </c>
    </row>
    <row r="6026" spans="19:21" x14ac:dyDescent="0.25">
      <c r="S6026" s="78">
        <v>33413</v>
      </c>
      <c r="T6026" s="29">
        <v>11.38</v>
      </c>
    </row>
    <row r="6027" spans="19:21" x14ac:dyDescent="0.25">
      <c r="S6027" s="78">
        <v>33414</v>
      </c>
      <c r="T6027" s="29">
        <v>11.38</v>
      </c>
    </row>
    <row r="6028" spans="19:21" x14ac:dyDescent="0.25">
      <c r="S6028" s="78">
        <v>33415</v>
      </c>
      <c r="T6028" s="29">
        <v>11.38</v>
      </c>
    </row>
    <row r="6029" spans="19:21" x14ac:dyDescent="0.25">
      <c r="S6029" s="78">
        <v>33416</v>
      </c>
      <c r="T6029" s="29">
        <v>11.38</v>
      </c>
    </row>
    <row r="6030" spans="19:21" x14ac:dyDescent="0.25">
      <c r="S6030" s="78">
        <v>33417</v>
      </c>
      <c r="T6030" s="29">
        <v>11.38</v>
      </c>
    </row>
    <row r="6031" spans="19:21" x14ac:dyDescent="0.25">
      <c r="S6031" s="78">
        <v>33418</v>
      </c>
      <c r="T6031" s="29">
        <v>11.38</v>
      </c>
    </row>
    <row r="6032" spans="19:21" x14ac:dyDescent="0.25">
      <c r="S6032" s="78">
        <v>33419</v>
      </c>
      <c r="T6032" s="29">
        <v>11.38</v>
      </c>
      <c r="U6032" s="40">
        <f>AVERAGE(T5942:T6032)</f>
        <v>11.731648351648353</v>
      </c>
    </row>
    <row r="6033" spans="19:20" x14ac:dyDescent="0.25">
      <c r="S6033" s="78">
        <v>33420</v>
      </c>
      <c r="T6033" s="29">
        <v>11.38</v>
      </c>
    </row>
    <row r="6034" spans="19:20" x14ac:dyDescent="0.25">
      <c r="S6034" s="78">
        <v>33421</v>
      </c>
      <c r="T6034" s="29">
        <v>11.38</v>
      </c>
    </row>
    <row r="6035" spans="19:20" x14ac:dyDescent="0.25">
      <c r="S6035" s="78">
        <v>33422</v>
      </c>
      <c r="T6035" s="29">
        <v>11.38</v>
      </c>
    </row>
    <row r="6036" spans="19:20" x14ac:dyDescent="0.25">
      <c r="S6036" s="78">
        <v>33423</v>
      </c>
      <c r="T6036" s="29">
        <v>11.38</v>
      </c>
    </row>
    <row r="6037" spans="19:20" x14ac:dyDescent="0.25">
      <c r="S6037" s="78">
        <v>33424</v>
      </c>
      <c r="T6037" s="29">
        <v>11.38</v>
      </c>
    </row>
    <row r="6038" spans="19:20" x14ac:dyDescent="0.25">
      <c r="S6038" s="78">
        <v>33425</v>
      </c>
      <c r="T6038" s="29">
        <v>11.38</v>
      </c>
    </row>
    <row r="6039" spans="19:20" x14ac:dyDescent="0.25">
      <c r="S6039" s="78">
        <v>33426</v>
      </c>
      <c r="T6039" s="29">
        <v>11.38</v>
      </c>
    </row>
    <row r="6040" spans="19:20" x14ac:dyDescent="0.25">
      <c r="S6040" s="78">
        <v>33427</v>
      </c>
      <c r="T6040" s="29">
        <v>11.38</v>
      </c>
    </row>
    <row r="6041" spans="19:20" x14ac:dyDescent="0.25">
      <c r="S6041" s="78">
        <v>33428</v>
      </c>
      <c r="T6041" s="29">
        <v>11.38</v>
      </c>
    </row>
    <row r="6042" spans="19:20" x14ac:dyDescent="0.25">
      <c r="S6042" s="78">
        <v>33429</v>
      </c>
      <c r="T6042" s="29">
        <v>11.38</v>
      </c>
    </row>
    <row r="6043" spans="19:20" x14ac:dyDescent="0.25">
      <c r="S6043" s="78">
        <v>33430</v>
      </c>
      <c r="T6043" s="29">
        <v>11.38</v>
      </c>
    </row>
    <row r="6044" spans="19:20" x14ac:dyDescent="0.25">
      <c r="S6044" s="78">
        <v>33431</v>
      </c>
      <c r="T6044" s="29">
        <v>10.88</v>
      </c>
    </row>
    <row r="6045" spans="19:20" x14ac:dyDescent="0.25">
      <c r="S6045" s="78">
        <v>33432</v>
      </c>
      <c r="T6045" s="29">
        <v>10.88</v>
      </c>
    </row>
    <row r="6046" spans="19:20" x14ac:dyDescent="0.25">
      <c r="S6046" s="78">
        <v>33433</v>
      </c>
      <c r="T6046" s="29">
        <v>10.88</v>
      </c>
    </row>
    <row r="6047" spans="19:20" x14ac:dyDescent="0.25">
      <c r="S6047" s="78">
        <v>33434</v>
      </c>
      <c r="T6047" s="29">
        <v>10.88</v>
      </c>
    </row>
    <row r="6048" spans="19:20" x14ac:dyDescent="0.25">
      <c r="S6048" s="78">
        <v>33435</v>
      </c>
      <c r="T6048" s="29">
        <v>10.88</v>
      </c>
    </row>
    <row r="6049" spans="19:20" x14ac:dyDescent="0.25">
      <c r="S6049" s="78">
        <v>33436</v>
      </c>
      <c r="T6049" s="29">
        <v>10.88</v>
      </c>
    </row>
    <row r="6050" spans="19:20" x14ac:dyDescent="0.25">
      <c r="S6050" s="78">
        <v>33437</v>
      </c>
      <c r="T6050" s="29">
        <v>10.88</v>
      </c>
    </row>
    <row r="6051" spans="19:20" x14ac:dyDescent="0.25">
      <c r="S6051" s="78">
        <v>33438</v>
      </c>
      <c r="T6051" s="29">
        <v>10.88</v>
      </c>
    </row>
    <row r="6052" spans="19:20" x14ac:dyDescent="0.25">
      <c r="S6052" s="78">
        <v>33439</v>
      </c>
      <c r="T6052" s="29">
        <v>10.88</v>
      </c>
    </row>
    <row r="6053" spans="19:20" x14ac:dyDescent="0.25">
      <c r="S6053" s="78">
        <v>33440</v>
      </c>
      <c r="T6053" s="29">
        <v>10.88</v>
      </c>
    </row>
    <row r="6054" spans="19:20" x14ac:dyDescent="0.25">
      <c r="S6054" s="78">
        <v>33441</v>
      </c>
      <c r="T6054" s="29">
        <v>10.88</v>
      </c>
    </row>
    <row r="6055" spans="19:20" x14ac:dyDescent="0.25">
      <c r="S6055" s="78">
        <v>33442</v>
      </c>
      <c r="T6055" s="29">
        <v>10.88</v>
      </c>
    </row>
    <row r="6056" spans="19:20" x14ac:dyDescent="0.25">
      <c r="S6056" s="78">
        <v>33443</v>
      </c>
      <c r="T6056" s="29">
        <v>10.88</v>
      </c>
    </row>
    <row r="6057" spans="19:20" x14ac:dyDescent="0.25">
      <c r="S6057" s="78">
        <v>33444</v>
      </c>
      <c r="T6057" s="29">
        <v>10.88</v>
      </c>
    </row>
    <row r="6058" spans="19:20" x14ac:dyDescent="0.25">
      <c r="S6058" s="78">
        <v>33445</v>
      </c>
      <c r="T6058" s="29">
        <v>10.88</v>
      </c>
    </row>
    <row r="6059" spans="19:20" x14ac:dyDescent="0.25">
      <c r="S6059" s="78">
        <v>33446</v>
      </c>
      <c r="T6059" s="29">
        <v>10.88</v>
      </c>
    </row>
    <row r="6060" spans="19:20" x14ac:dyDescent="0.25">
      <c r="S6060" s="78">
        <v>33447</v>
      </c>
      <c r="T6060" s="29">
        <v>10.88</v>
      </c>
    </row>
    <row r="6061" spans="19:20" x14ac:dyDescent="0.25">
      <c r="S6061" s="78">
        <v>33448</v>
      </c>
      <c r="T6061" s="29">
        <v>10.88</v>
      </c>
    </row>
    <row r="6062" spans="19:20" x14ac:dyDescent="0.25">
      <c r="S6062" s="78">
        <v>33449</v>
      </c>
      <c r="T6062" s="29">
        <v>10.88</v>
      </c>
    </row>
    <row r="6063" spans="19:20" x14ac:dyDescent="0.25">
      <c r="S6063" s="78">
        <v>33450</v>
      </c>
      <c r="T6063" s="29">
        <v>10.88</v>
      </c>
    </row>
    <row r="6064" spans="19:20" x14ac:dyDescent="0.25">
      <c r="S6064" s="78">
        <v>33451</v>
      </c>
      <c r="T6064" s="29">
        <v>10.88</v>
      </c>
    </row>
    <row r="6065" spans="19:20" x14ac:dyDescent="0.25">
      <c r="S6065" s="78">
        <v>33452</v>
      </c>
      <c r="T6065" s="29">
        <v>10.88</v>
      </c>
    </row>
    <row r="6066" spans="19:20" x14ac:dyDescent="0.25">
      <c r="S6066" s="78">
        <v>33453</v>
      </c>
      <c r="T6066" s="29">
        <v>10.88</v>
      </c>
    </row>
    <row r="6067" spans="19:20" x14ac:dyDescent="0.25">
      <c r="S6067" s="78">
        <v>33454</v>
      </c>
      <c r="T6067" s="29">
        <v>10.88</v>
      </c>
    </row>
    <row r="6068" spans="19:20" x14ac:dyDescent="0.25">
      <c r="S6068" s="78">
        <v>33455</v>
      </c>
      <c r="T6068" s="29">
        <v>10.88</v>
      </c>
    </row>
    <row r="6069" spans="19:20" x14ac:dyDescent="0.25">
      <c r="S6069" s="78">
        <v>33456</v>
      </c>
      <c r="T6069" s="29">
        <v>10.88</v>
      </c>
    </row>
    <row r="6070" spans="19:20" x14ac:dyDescent="0.25">
      <c r="S6070" s="78">
        <v>33457</v>
      </c>
      <c r="T6070" s="29">
        <v>10.88</v>
      </c>
    </row>
    <row r="6071" spans="19:20" x14ac:dyDescent="0.25">
      <c r="S6071" s="78">
        <v>33458</v>
      </c>
      <c r="T6071" s="29">
        <v>10.88</v>
      </c>
    </row>
    <row r="6072" spans="19:20" x14ac:dyDescent="0.25">
      <c r="S6072" s="78">
        <v>33459</v>
      </c>
      <c r="T6072" s="29">
        <v>10.88</v>
      </c>
    </row>
    <row r="6073" spans="19:20" x14ac:dyDescent="0.25">
      <c r="S6073" s="78">
        <v>33460</v>
      </c>
      <c r="T6073" s="29">
        <v>10.88</v>
      </c>
    </row>
    <row r="6074" spans="19:20" x14ac:dyDescent="0.25">
      <c r="S6074" s="78">
        <v>33461</v>
      </c>
      <c r="T6074" s="29">
        <v>10.88</v>
      </c>
    </row>
    <row r="6075" spans="19:20" x14ac:dyDescent="0.25">
      <c r="S6075" s="78">
        <v>33462</v>
      </c>
      <c r="T6075" s="29">
        <v>10.88</v>
      </c>
    </row>
    <row r="6076" spans="19:20" x14ac:dyDescent="0.25">
      <c r="S6076" s="78">
        <v>33463</v>
      </c>
      <c r="T6076" s="29">
        <v>10.88</v>
      </c>
    </row>
    <row r="6077" spans="19:20" x14ac:dyDescent="0.25">
      <c r="S6077" s="78">
        <v>33464</v>
      </c>
      <c r="T6077" s="29">
        <v>10.88</v>
      </c>
    </row>
    <row r="6078" spans="19:20" x14ac:dyDescent="0.25">
      <c r="S6078" s="78">
        <v>33465</v>
      </c>
      <c r="T6078" s="29">
        <v>10.88</v>
      </c>
    </row>
    <row r="6079" spans="19:20" x14ac:dyDescent="0.25">
      <c r="S6079" s="78">
        <v>33466</v>
      </c>
      <c r="T6079" s="29">
        <v>10.88</v>
      </c>
    </row>
    <row r="6080" spans="19:20" x14ac:dyDescent="0.25">
      <c r="S6080" s="78">
        <v>33467</v>
      </c>
      <c r="T6080" s="29">
        <v>10.88</v>
      </c>
    </row>
    <row r="6081" spans="19:20" x14ac:dyDescent="0.25">
      <c r="S6081" s="78">
        <v>33468</v>
      </c>
      <c r="T6081" s="29">
        <v>10.88</v>
      </c>
    </row>
    <row r="6082" spans="19:20" x14ac:dyDescent="0.25">
      <c r="S6082" s="78">
        <v>33469</v>
      </c>
      <c r="T6082" s="29">
        <v>10.88</v>
      </c>
    </row>
    <row r="6083" spans="19:20" x14ac:dyDescent="0.25">
      <c r="S6083" s="78">
        <v>33470</v>
      </c>
      <c r="T6083" s="29">
        <v>10.88</v>
      </c>
    </row>
    <row r="6084" spans="19:20" x14ac:dyDescent="0.25">
      <c r="S6084" s="78">
        <v>33471</v>
      </c>
      <c r="T6084" s="29">
        <v>10.88</v>
      </c>
    </row>
    <row r="6085" spans="19:20" x14ac:dyDescent="0.25">
      <c r="S6085" s="78">
        <v>33472</v>
      </c>
      <c r="T6085" s="29">
        <v>10.88</v>
      </c>
    </row>
    <row r="6086" spans="19:20" x14ac:dyDescent="0.25">
      <c r="S6086" s="78">
        <v>33473</v>
      </c>
      <c r="T6086" s="29">
        <v>10.88</v>
      </c>
    </row>
    <row r="6087" spans="19:20" x14ac:dyDescent="0.25">
      <c r="S6087" s="78">
        <v>33474</v>
      </c>
      <c r="T6087" s="29">
        <v>10.88</v>
      </c>
    </row>
    <row r="6088" spans="19:20" x14ac:dyDescent="0.25">
      <c r="S6088" s="78">
        <v>33475</v>
      </c>
      <c r="T6088" s="29">
        <v>10.88</v>
      </c>
    </row>
    <row r="6089" spans="19:20" x14ac:dyDescent="0.25">
      <c r="S6089" s="78">
        <v>33476</v>
      </c>
      <c r="T6089" s="29">
        <v>10.88</v>
      </c>
    </row>
    <row r="6090" spans="19:20" x14ac:dyDescent="0.25">
      <c r="S6090" s="78">
        <v>33477</v>
      </c>
      <c r="T6090" s="29">
        <v>10.88</v>
      </c>
    </row>
    <row r="6091" spans="19:20" x14ac:dyDescent="0.25">
      <c r="S6091" s="78">
        <v>33478</v>
      </c>
      <c r="T6091" s="29">
        <v>10.88</v>
      </c>
    </row>
    <row r="6092" spans="19:20" x14ac:dyDescent="0.25">
      <c r="S6092" s="78">
        <v>33479</v>
      </c>
      <c r="T6092" s="29">
        <v>10.88</v>
      </c>
    </row>
    <row r="6093" spans="19:20" x14ac:dyDescent="0.25">
      <c r="S6093" s="78">
        <v>33480</v>
      </c>
      <c r="T6093" s="29">
        <v>10.88</v>
      </c>
    </row>
    <row r="6094" spans="19:20" x14ac:dyDescent="0.25">
      <c r="S6094" s="78">
        <v>33481</v>
      </c>
      <c r="T6094" s="29">
        <v>10.88</v>
      </c>
    </row>
    <row r="6095" spans="19:20" x14ac:dyDescent="0.25">
      <c r="S6095" s="78">
        <v>33482</v>
      </c>
      <c r="T6095" s="29">
        <v>10.88</v>
      </c>
    </row>
    <row r="6096" spans="19:20" x14ac:dyDescent="0.25">
      <c r="S6096" s="78">
        <v>33483</v>
      </c>
      <c r="T6096" s="29">
        <v>10.88</v>
      </c>
    </row>
    <row r="6097" spans="19:20" x14ac:dyDescent="0.25">
      <c r="S6097" s="78">
        <v>33484</v>
      </c>
      <c r="T6097" s="29">
        <v>10.88</v>
      </c>
    </row>
    <row r="6098" spans="19:20" x14ac:dyDescent="0.25">
      <c r="S6098" s="78">
        <v>33485</v>
      </c>
      <c r="T6098" s="29">
        <v>10.38</v>
      </c>
    </row>
    <row r="6099" spans="19:20" x14ac:dyDescent="0.25">
      <c r="S6099" s="78">
        <v>33486</v>
      </c>
      <c r="T6099" s="29">
        <v>10.38</v>
      </c>
    </row>
    <row r="6100" spans="19:20" x14ac:dyDescent="0.25">
      <c r="S6100" s="78">
        <v>33487</v>
      </c>
      <c r="T6100" s="29">
        <v>10.38</v>
      </c>
    </row>
    <row r="6101" spans="19:20" x14ac:dyDescent="0.25">
      <c r="S6101" s="78">
        <v>33488</v>
      </c>
      <c r="T6101" s="29">
        <v>10.38</v>
      </c>
    </row>
    <row r="6102" spans="19:20" x14ac:dyDescent="0.25">
      <c r="S6102" s="78">
        <v>33489</v>
      </c>
      <c r="T6102" s="29">
        <v>10.38</v>
      </c>
    </row>
    <row r="6103" spans="19:20" x14ac:dyDescent="0.25">
      <c r="S6103" s="78">
        <v>33490</v>
      </c>
      <c r="T6103" s="29">
        <v>10.38</v>
      </c>
    </row>
    <row r="6104" spans="19:20" x14ac:dyDescent="0.25">
      <c r="S6104" s="78">
        <v>33491</v>
      </c>
      <c r="T6104" s="29">
        <v>10.38</v>
      </c>
    </row>
    <row r="6105" spans="19:20" x14ac:dyDescent="0.25">
      <c r="S6105" s="78">
        <v>33492</v>
      </c>
      <c r="T6105" s="29">
        <v>10.38</v>
      </c>
    </row>
    <row r="6106" spans="19:20" x14ac:dyDescent="0.25">
      <c r="S6106" s="78">
        <v>33493</v>
      </c>
      <c r="T6106" s="29">
        <v>10.38</v>
      </c>
    </row>
    <row r="6107" spans="19:20" x14ac:dyDescent="0.25">
      <c r="S6107" s="78">
        <v>33494</v>
      </c>
      <c r="T6107" s="29">
        <v>10.38</v>
      </c>
    </row>
    <row r="6108" spans="19:20" x14ac:dyDescent="0.25">
      <c r="S6108" s="78">
        <v>33495</v>
      </c>
      <c r="T6108" s="29">
        <v>10.38</v>
      </c>
    </row>
    <row r="6109" spans="19:20" x14ac:dyDescent="0.25">
      <c r="S6109" s="78">
        <v>33496</v>
      </c>
      <c r="T6109" s="29">
        <v>10.38</v>
      </c>
    </row>
    <row r="6110" spans="19:20" x14ac:dyDescent="0.25">
      <c r="S6110" s="78">
        <v>33497</v>
      </c>
      <c r="T6110" s="29">
        <v>10.38</v>
      </c>
    </row>
    <row r="6111" spans="19:20" x14ac:dyDescent="0.25">
      <c r="S6111" s="78">
        <v>33498</v>
      </c>
      <c r="T6111" s="29">
        <v>10.38</v>
      </c>
    </row>
    <row r="6112" spans="19:20" x14ac:dyDescent="0.25">
      <c r="S6112" s="78">
        <v>33499</v>
      </c>
      <c r="T6112" s="29">
        <v>10.38</v>
      </c>
    </row>
    <row r="6113" spans="19:21" x14ac:dyDescent="0.25">
      <c r="S6113" s="78">
        <v>33500</v>
      </c>
      <c r="T6113" s="29">
        <v>10.38</v>
      </c>
    </row>
    <row r="6114" spans="19:21" x14ac:dyDescent="0.25">
      <c r="S6114" s="78">
        <v>33501</v>
      </c>
      <c r="T6114" s="29">
        <v>10.38</v>
      </c>
    </row>
    <row r="6115" spans="19:21" x14ac:dyDescent="0.25">
      <c r="S6115" s="78">
        <v>33502</v>
      </c>
      <c r="T6115" s="29">
        <v>10.38</v>
      </c>
    </row>
    <row r="6116" spans="19:21" x14ac:dyDescent="0.25">
      <c r="S6116" s="78">
        <v>33503</v>
      </c>
      <c r="T6116" s="29">
        <v>10.38</v>
      </c>
    </row>
    <row r="6117" spans="19:21" x14ac:dyDescent="0.25">
      <c r="S6117" s="78">
        <v>33504</v>
      </c>
      <c r="T6117" s="29">
        <v>10.38</v>
      </c>
    </row>
    <row r="6118" spans="19:21" x14ac:dyDescent="0.25">
      <c r="S6118" s="78">
        <v>33505</v>
      </c>
      <c r="T6118" s="29">
        <v>10.38</v>
      </c>
    </row>
    <row r="6119" spans="19:21" x14ac:dyDescent="0.25">
      <c r="S6119" s="78">
        <v>33506</v>
      </c>
      <c r="T6119" s="29">
        <v>10.38</v>
      </c>
    </row>
    <row r="6120" spans="19:21" x14ac:dyDescent="0.25">
      <c r="S6120" s="78">
        <v>33507</v>
      </c>
      <c r="T6120" s="29">
        <v>10.38</v>
      </c>
    </row>
    <row r="6121" spans="19:21" x14ac:dyDescent="0.25">
      <c r="S6121" s="78">
        <v>33508</v>
      </c>
      <c r="T6121" s="29">
        <v>10.38</v>
      </c>
    </row>
    <row r="6122" spans="19:21" x14ac:dyDescent="0.25">
      <c r="S6122" s="78">
        <v>33509</v>
      </c>
      <c r="T6122" s="29">
        <v>10.38</v>
      </c>
    </row>
    <row r="6123" spans="19:21" x14ac:dyDescent="0.25">
      <c r="S6123" s="78">
        <v>33510</v>
      </c>
      <c r="T6123" s="29">
        <v>10.38</v>
      </c>
    </row>
    <row r="6124" spans="19:21" x14ac:dyDescent="0.25">
      <c r="S6124" s="78">
        <v>33511</v>
      </c>
      <c r="T6124" s="29">
        <v>10.38</v>
      </c>
      <c r="U6124" s="40">
        <f>AVERAGE(T6033:T6124)</f>
        <v>10.793043478260866</v>
      </c>
    </row>
    <row r="6125" spans="19:21" x14ac:dyDescent="0.25">
      <c r="S6125" s="78">
        <v>33512</v>
      </c>
      <c r="T6125" s="29">
        <v>10.38</v>
      </c>
    </row>
    <row r="6126" spans="19:21" x14ac:dyDescent="0.25">
      <c r="S6126" s="78">
        <v>33513</v>
      </c>
      <c r="T6126" s="29">
        <v>10.38</v>
      </c>
    </row>
    <row r="6127" spans="19:21" x14ac:dyDescent="0.25">
      <c r="S6127" s="78">
        <v>33514</v>
      </c>
      <c r="T6127" s="29">
        <v>10.38</v>
      </c>
    </row>
    <row r="6128" spans="19:21" x14ac:dyDescent="0.25">
      <c r="S6128" s="78">
        <v>33515</v>
      </c>
      <c r="T6128" s="29">
        <v>10.38</v>
      </c>
    </row>
    <row r="6129" spans="19:20" x14ac:dyDescent="0.25">
      <c r="S6129" s="78">
        <v>33516</v>
      </c>
      <c r="T6129" s="29">
        <v>10.38</v>
      </c>
    </row>
    <row r="6130" spans="19:20" x14ac:dyDescent="0.25">
      <c r="S6130" s="78">
        <v>33517</v>
      </c>
      <c r="T6130" s="29">
        <v>10.38</v>
      </c>
    </row>
    <row r="6131" spans="19:20" x14ac:dyDescent="0.25">
      <c r="S6131" s="78">
        <v>33518</v>
      </c>
      <c r="T6131" s="29">
        <v>10.38</v>
      </c>
    </row>
    <row r="6132" spans="19:20" x14ac:dyDescent="0.25">
      <c r="S6132" s="78">
        <v>33519</v>
      </c>
      <c r="T6132" s="29">
        <v>10.38</v>
      </c>
    </row>
    <row r="6133" spans="19:20" x14ac:dyDescent="0.25">
      <c r="S6133" s="78">
        <v>33520</v>
      </c>
      <c r="T6133" s="29">
        <v>10.38</v>
      </c>
    </row>
    <row r="6134" spans="19:20" x14ac:dyDescent="0.25">
      <c r="S6134" s="78">
        <v>33521</v>
      </c>
      <c r="T6134" s="29">
        <v>10.38</v>
      </c>
    </row>
    <row r="6135" spans="19:20" x14ac:dyDescent="0.25">
      <c r="S6135" s="78">
        <v>33522</v>
      </c>
      <c r="T6135" s="29">
        <v>10.38</v>
      </c>
    </row>
    <row r="6136" spans="19:20" x14ac:dyDescent="0.25">
      <c r="S6136" s="78">
        <v>33523</v>
      </c>
      <c r="T6136" s="29">
        <v>10.38</v>
      </c>
    </row>
    <row r="6137" spans="19:20" x14ac:dyDescent="0.25">
      <c r="S6137" s="78">
        <v>33524</v>
      </c>
      <c r="T6137" s="29">
        <v>10.38</v>
      </c>
    </row>
    <row r="6138" spans="19:20" x14ac:dyDescent="0.25">
      <c r="S6138" s="78">
        <v>33525</v>
      </c>
      <c r="T6138" s="29">
        <v>10.38</v>
      </c>
    </row>
    <row r="6139" spans="19:20" x14ac:dyDescent="0.25">
      <c r="S6139" s="78">
        <v>33526</v>
      </c>
      <c r="T6139" s="29">
        <v>10.38</v>
      </c>
    </row>
    <row r="6140" spans="19:20" x14ac:dyDescent="0.25">
      <c r="S6140" s="78">
        <v>33527</v>
      </c>
      <c r="T6140" s="29">
        <v>10.38</v>
      </c>
    </row>
    <row r="6141" spans="19:20" x14ac:dyDescent="0.25">
      <c r="S6141" s="78">
        <v>33528</v>
      </c>
      <c r="T6141" s="29">
        <v>10.38</v>
      </c>
    </row>
    <row r="6142" spans="19:20" x14ac:dyDescent="0.25">
      <c r="S6142" s="78">
        <v>33529</v>
      </c>
      <c r="T6142" s="29">
        <v>10.38</v>
      </c>
    </row>
    <row r="6143" spans="19:20" x14ac:dyDescent="0.25">
      <c r="S6143" s="78">
        <v>33530</v>
      </c>
      <c r="T6143" s="29">
        <v>10.38</v>
      </c>
    </row>
    <row r="6144" spans="19:20" x14ac:dyDescent="0.25">
      <c r="S6144" s="78">
        <v>33531</v>
      </c>
      <c r="T6144" s="29">
        <v>10.38</v>
      </c>
    </row>
    <row r="6145" spans="19:20" x14ac:dyDescent="0.25">
      <c r="S6145" s="78">
        <v>33532</v>
      </c>
      <c r="T6145" s="29">
        <v>10.38</v>
      </c>
    </row>
    <row r="6146" spans="19:20" x14ac:dyDescent="0.25">
      <c r="S6146" s="78">
        <v>33533</v>
      </c>
      <c r="T6146" s="29">
        <v>10.38</v>
      </c>
    </row>
    <row r="6147" spans="19:20" x14ac:dyDescent="0.25">
      <c r="S6147" s="78">
        <v>33534</v>
      </c>
      <c r="T6147" s="29">
        <v>10.38</v>
      </c>
    </row>
    <row r="6148" spans="19:20" x14ac:dyDescent="0.25">
      <c r="S6148" s="78">
        <v>33535</v>
      </c>
      <c r="T6148" s="29">
        <v>10.38</v>
      </c>
    </row>
    <row r="6149" spans="19:20" x14ac:dyDescent="0.25">
      <c r="S6149" s="78">
        <v>33536</v>
      </c>
      <c r="T6149" s="29">
        <v>10.38</v>
      </c>
    </row>
    <row r="6150" spans="19:20" x14ac:dyDescent="0.25">
      <c r="S6150" s="78">
        <v>33537</v>
      </c>
      <c r="T6150" s="29">
        <v>10.38</v>
      </c>
    </row>
    <row r="6151" spans="19:20" x14ac:dyDescent="0.25">
      <c r="S6151" s="78">
        <v>33538</v>
      </c>
      <c r="T6151" s="29">
        <v>10.38</v>
      </c>
    </row>
    <row r="6152" spans="19:20" x14ac:dyDescent="0.25">
      <c r="S6152" s="78">
        <v>33539</v>
      </c>
      <c r="T6152" s="29">
        <v>10.38</v>
      </c>
    </row>
    <row r="6153" spans="19:20" x14ac:dyDescent="0.25">
      <c r="S6153" s="78">
        <v>33540</v>
      </c>
      <c r="T6153" s="29">
        <v>10.38</v>
      </c>
    </row>
    <row r="6154" spans="19:20" x14ac:dyDescent="0.25">
      <c r="S6154" s="78">
        <v>33541</v>
      </c>
      <c r="T6154" s="29">
        <v>10.38</v>
      </c>
    </row>
    <row r="6155" spans="19:20" x14ac:dyDescent="0.25">
      <c r="S6155" s="78">
        <v>33542</v>
      </c>
      <c r="T6155" s="29">
        <v>10.38</v>
      </c>
    </row>
    <row r="6156" spans="19:20" x14ac:dyDescent="0.25">
      <c r="S6156" s="78">
        <v>33543</v>
      </c>
      <c r="T6156" s="29">
        <v>10.38</v>
      </c>
    </row>
    <row r="6157" spans="19:20" x14ac:dyDescent="0.25">
      <c r="S6157" s="78">
        <v>33544</v>
      </c>
      <c r="T6157" s="29">
        <v>10.38</v>
      </c>
    </row>
    <row r="6158" spans="19:20" x14ac:dyDescent="0.25">
      <c r="S6158" s="78">
        <v>33545</v>
      </c>
      <c r="T6158" s="29">
        <v>10.38</v>
      </c>
    </row>
    <row r="6159" spans="19:20" x14ac:dyDescent="0.25">
      <c r="S6159" s="78">
        <v>33546</v>
      </c>
      <c r="T6159" s="29">
        <v>10.38</v>
      </c>
    </row>
    <row r="6160" spans="19:20" x14ac:dyDescent="0.25">
      <c r="S6160" s="78">
        <v>33547</v>
      </c>
      <c r="T6160" s="29">
        <v>10.38</v>
      </c>
    </row>
    <row r="6161" spans="19:20" x14ac:dyDescent="0.25">
      <c r="S6161" s="78">
        <v>33548</v>
      </c>
      <c r="T6161" s="29">
        <v>10.38</v>
      </c>
    </row>
    <row r="6162" spans="19:20" x14ac:dyDescent="0.25">
      <c r="S6162" s="78">
        <v>33549</v>
      </c>
      <c r="T6162" s="29">
        <v>10.38</v>
      </c>
    </row>
    <row r="6163" spans="19:20" x14ac:dyDescent="0.25">
      <c r="S6163" s="78">
        <v>33550</v>
      </c>
      <c r="T6163" s="29">
        <v>10.38</v>
      </c>
    </row>
    <row r="6164" spans="19:20" x14ac:dyDescent="0.25">
      <c r="S6164" s="78">
        <v>33551</v>
      </c>
      <c r="T6164" s="29">
        <v>10.38</v>
      </c>
    </row>
    <row r="6165" spans="19:20" x14ac:dyDescent="0.25">
      <c r="S6165" s="78">
        <v>33552</v>
      </c>
      <c r="T6165" s="29">
        <v>10.38</v>
      </c>
    </row>
    <row r="6166" spans="19:20" x14ac:dyDescent="0.25">
      <c r="S6166" s="78">
        <v>33553</v>
      </c>
      <c r="T6166" s="29">
        <v>10.38</v>
      </c>
    </row>
    <row r="6167" spans="19:20" x14ac:dyDescent="0.25">
      <c r="S6167" s="78">
        <v>33554</v>
      </c>
      <c r="T6167" s="29">
        <v>10.38</v>
      </c>
    </row>
    <row r="6168" spans="19:20" x14ac:dyDescent="0.25">
      <c r="S6168" s="78">
        <v>33555</v>
      </c>
      <c r="T6168" s="29">
        <v>10.38</v>
      </c>
    </row>
    <row r="6169" spans="19:20" x14ac:dyDescent="0.25">
      <c r="S6169" s="78">
        <v>33556</v>
      </c>
      <c r="T6169" s="29">
        <v>10.38</v>
      </c>
    </row>
    <row r="6170" spans="19:20" x14ac:dyDescent="0.25">
      <c r="S6170" s="78">
        <v>33557</v>
      </c>
      <c r="T6170" s="29">
        <v>10.38</v>
      </c>
    </row>
    <row r="6171" spans="19:20" x14ac:dyDescent="0.25">
      <c r="S6171" s="78">
        <v>33558</v>
      </c>
      <c r="T6171" s="29">
        <v>10.38</v>
      </c>
    </row>
    <row r="6172" spans="19:20" x14ac:dyDescent="0.25">
      <c r="S6172" s="78">
        <v>33559</v>
      </c>
      <c r="T6172" s="29">
        <v>10.38</v>
      </c>
    </row>
    <row r="6173" spans="19:20" x14ac:dyDescent="0.25">
      <c r="S6173" s="78">
        <v>33560</v>
      </c>
      <c r="T6173" s="29">
        <v>10.38</v>
      </c>
    </row>
    <row r="6174" spans="19:20" x14ac:dyDescent="0.25">
      <c r="S6174" s="78">
        <v>33561</v>
      </c>
      <c r="T6174" s="29">
        <v>10.38</v>
      </c>
    </row>
    <row r="6175" spans="19:20" x14ac:dyDescent="0.25">
      <c r="S6175" s="78">
        <v>33562</v>
      </c>
      <c r="T6175" s="29">
        <v>10.38</v>
      </c>
    </row>
    <row r="6176" spans="19:20" x14ac:dyDescent="0.25">
      <c r="S6176" s="78">
        <v>33563</v>
      </c>
      <c r="T6176" s="29">
        <v>10.38</v>
      </c>
    </row>
    <row r="6177" spans="19:20" x14ac:dyDescent="0.25">
      <c r="S6177" s="78">
        <v>33564</v>
      </c>
      <c r="T6177" s="29">
        <v>10.38</v>
      </c>
    </row>
    <row r="6178" spans="19:20" x14ac:dyDescent="0.25">
      <c r="S6178" s="78">
        <v>33565</v>
      </c>
      <c r="T6178" s="29">
        <v>10.38</v>
      </c>
    </row>
    <row r="6179" spans="19:20" x14ac:dyDescent="0.25">
      <c r="S6179" s="78">
        <v>33566</v>
      </c>
      <c r="T6179" s="29">
        <v>10.38</v>
      </c>
    </row>
    <row r="6180" spans="19:20" x14ac:dyDescent="0.25">
      <c r="S6180" s="78">
        <v>33567</v>
      </c>
      <c r="T6180" s="29">
        <v>10.38</v>
      </c>
    </row>
    <row r="6181" spans="19:20" x14ac:dyDescent="0.25">
      <c r="S6181" s="78">
        <v>33568</v>
      </c>
      <c r="T6181" s="29">
        <v>10.38</v>
      </c>
    </row>
    <row r="6182" spans="19:20" x14ac:dyDescent="0.25">
      <c r="S6182" s="78">
        <v>33569</v>
      </c>
      <c r="T6182" s="29">
        <v>10.38</v>
      </c>
    </row>
    <row r="6183" spans="19:20" x14ac:dyDescent="0.25">
      <c r="S6183" s="78">
        <v>33570</v>
      </c>
      <c r="T6183" s="29">
        <v>10.38</v>
      </c>
    </row>
    <row r="6184" spans="19:20" x14ac:dyDescent="0.25">
      <c r="S6184" s="78">
        <v>33571</v>
      </c>
      <c r="T6184" s="29">
        <v>10.38</v>
      </c>
    </row>
    <row r="6185" spans="19:20" x14ac:dyDescent="0.25">
      <c r="S6185" s="78">
        <v>33572</v>
      </c>
      <c r="T6185" s="29">
        <v>10.38</v>
      </c>
    </row>
    <row r="6186" spans="19:20" x14ac:dyDescent="0.25">
      <c r="S6186" s="78">
        <v>33573</v>
      </c>
      <c r="T6186" s="29">
        <v>10.38</v>
      </c>
    </row>
    <row r="6187" spans="19:20" x14ac:dyDescent="0.25">
      <c r="S6187" s="78">
        <v>33574</v>
      </c>
      <c r="T6187" s="29">
        <v>10.38</v>
      </c>
    </row>
    <row r="6188" spans="19:20" x14ac:dyDescent="0.25">
      <c r="S6188" s="78">
        <v>33575</v>
      </c>
      <c r="T6188" s="29">
        <v>10.38</v>
      </c>
    </row>
    <row r="6189" spans="19:20" x14ac:dyDescent="0.25">
      <c r="S6189" s="78">
        <v>33576</v>
      </c>
      <c r="T6189" s="29">
        <v>10.38</v>
      </c>
    </row>
    <row r="6190" spans="19:20" x14ac:dyDescent="0.25">
      <c r="S6190" s="78">
        <v>33577</v>
      </c>
      <c r="T6190" s="29">
        <v>10.38</v>
      </c>
    </row>
    <row r="6191" spans="19:20" x14ac:dyDescent="0.25">
      <c r="S6191" s="78">
        <v>33578</v>
      </c>
      <c r="T6191" s="29">
        <v>10.38</v>
      </c>
    </row>
    <row r="6192" spans="19:20" x14ac:dyDescent="0.25">
      <c r="S6192" s="78">
        <v>33579</v>
      </c>
      <c r="T6192" s="29">
        <v>10.38</v>
      </c>
    </row>
    <row r="6193" spans="19:20" x14ac:dyDescent="0.25">
      <c r="S6193" s="78">
        <v>33580</v>
      </c>
      <c r="T6193" s="29">
        <v>10.38</v>
      </c>
    </row>
    <row r="6194" spans="19:20" x14ac:dyDescent="0.25">
      <c r="S6194" s="78">
        <v>33581</v>
      </c>
      <c r="T6194" s="29">
        <v>10.38</v>
      </c>
    </row>
    <row r="6195" spans="19:20" x14ac:dyDescent="0.25">
      <c r="S6195" s="78">
        <v>33582</v>
      </c>
      <c r="T6195" s="29">
        <v>10.38</v>
      </c>
    </row>
    <row r="6196" spans="19:20" x14ac:dyDescent="0.25">
      <c r="S6196" s="78">
        <v>33583</v>
      </c>
      <c r="T6196" s="29">
        <v>10.38</v>
      </c>
    </row>
    <row r="6197" spans="19:20" x14ac:dyDescent="0.25">
      <c r="S6197" s="78">
        <v>33584</v>
      </c>
      <c r="T6197" s="29">
        <v>10.38</v>
      </c>
    </row>
    <row r="6198" spans="19:20" x14ac:dyDescent="0.25">
      <c r="S6198" s="78">
        <v>33585</v>
      </c>
      <c r="T6198" s="29">
        <v>10.38</v>
      </c>
    </row>
    <row r="6199" spans="19:20" x14ac:dyDescent="0.25">
      <c r="S6199" s="78">
        <v>33586</v>
      </c>
      <c r="T6199" s="29">
        <v>10.38</v>
      </c>
    </row>
    <row r="6200" spans="19:20" x14ac:dyDescent="0.25">
      <c r="S6200" s="78">
        <v>33587</v>
      </c>
      <c r="T6200" s="29">
        <v>10.38</v>
      </c>
    </row>
    <row r="6201" spans="19:20" x14ac:dyDescent="0.25">
      <c r="S6201" s="78">
        <v>33588</v>
      </c>
      <c r="T6201" s="29">
        <v>10.38</v>
      </c>
    </row>
    <row r="6202" spans="19:20" x14ac:dyDescent="0.25">
      <c r="S6202" s="78">
        <v>33589</v>
      </c>
      <c r="T6202" s="29">
        <v>10.38</v>
      </c>
    </row>
    <row r="6203" spans="19:20" x14ac:dyDescent="0.25">
      <c r="S6203" s="78">
        <v>33590</v>
      </c>
      <c r="T6203" s="29">
        <v>10.38</v>
      </c>
    </row>
    <row r="6204" spans="19:20" x14ac:dyDescent="0.25">
      <c r="S6204" s="78">
        <v>33591</v>
      </c>
      <c r="T6204" s="29">
        <v>10.38</v>
      </c>
    </row>
    <row r="6205" spans="19:20" x14ac:dyDescent="0.25">
      <c r="S6205" s="78">
        <v>33592</v>
      </c>
      <c r="T6205" s="29">
        <v>10.38</v>
      </c>
    </row>
    <row r="6206" spans="19:20" x14ac:dyDescent="0.25">
      <c r="S6206" s="78">
        <v>33593</v>
      </c>
      <c r="T6206" s="29">
        <v>10.38</v>
      </c>
    </row>
    <row r="6207" spans="19:20" x14ac:dyDescent="0.25">
      <c r="S6207" s="78">
        <v>33594</v>
      </c>
      <c r="T6207" s="29">
        <v>10.38</v>
      </c>
    </row>
    <row r="6208" spans="19:20" x14ac:dyDescent="0.25">
      <c r="S6208" s="78">
        <v>33595</v>
      </c>
      <c r="T6208" s="29">
        <v>10.38</v>
      </c>
    </row>
    <row r="6209" spans="19:21" x14ac:dyDescent="0.25">
      <c r="S6209" s="78">
        <v>33596</v>
      </c>
      <c r="T6209" s="29">
        <v>10.38</v>
      </c>
    </row>
    <row r="6210" spans="19:21" x14ac:dyDescent="0.25">
      <c r="S6210" s="78">
        <v>33597</v>
      </c>
      <c r="T6210" s="29">
        <v>10.38</v>
      </c>
    </row>
    <row r="6211" spans="19:21" x14ac:dyDescent="0.25">
      <c r="S6211" s="78">
        <v>33598</v>
      </c>
      <c r="T6211" s="29">
        <v>10.38</v>
      </c>
    </row>
    <row r="6212" spans="19:21" x14ac:dyDescent="0.25">
      <c r="S6212" s="78">
        <v>33599</v>
      </c>
      <c r="T6212" s="29">
        <v>10.38</v>
      </c>
    </row>
    <row r="6213" spans="19:21" x14ac:dyDescent="0.25">
      <c r="S6213" s="78">
        <v>33600</v>
      </c>
      <c r="T6213" s="29">
        <v>10.38</v>
      </c>
    </row>
    <row r="6214" spans="19:21" x14ac:dyDescent="0.25">
      <c r="S6214" s="78">
        <v>33601</v>
      </c>
      <c r="T6214" s="29">
        <v>10.38</v>
      </c>
    </row>
    <row r="6215" spans="19:21" x14ac:dyDescent="0.25">
      <c r="S6215" s="78">
        <v>33602</v>
      </c>
      <c r="T6215" s="29">
        <v>10.38</v>
      </c>
    </row>
    <row r="6216" spans="19:21" x14ac:dyDescent="0.25">
      <c r="S6216" s="78">
        <v>33603</v>
      </c>
      <c r="T6216" s="29">
        <v>10.38</v>
      </c>
      <c r="U6216" s="40">
        <f>AVERAGE(T6125:T6216)</f>
        <v>10.379999999999997</v>
      </c>
    </row>
    <row r="6217" spans="19:21" x14ac:dyDescent="0.25">
      <c r="S6217" s="78">
        <v>33604</v>
      </c>
      <c r="T6217" s="29">
        <v>10.38</v>
      </c>
    </row>
    <row r="6218" spans="19:21" x14ac:dyDescent="0.25">
      <c r="S6218" s="78">
        <v>33605</v>
      </c>
      <c r="T6218" s="29">
        <v>10.38</v>
      </c>
    </row>
    <row r="6219" spans="19:21" x14ac:dyDescent="0.25">
      <c r="S6219" s="78">
        <v>33606</v>
      </c>
      <c r="T6219" s="29">
        <v>10.38</v>
      </c>
    </row>
    <row r="6220" spans="19:21" x14ac:dyDescent="0.25">
      <c r="S6220" s="78">
        <v>33607</v>
      </c>
      <c r="T6220" s="29">
        <v>10.38</v>
      </c>
    </row>
    <row r="6221" spans="19:21" x14ac:dyDescent="0.25">
      <c r="S6221" s="78">
        <v>33608</v>
      </c>
      <c r="T6221" s="29">
        <v>10.38</v>
      </c>
    </row>
    <row r="6222" spans="19:21" x14ac:dyDescent="0.25">
      <c r="S6222" s="78">
        <v>33609</v>
      </c>
      <c r="T6222" s="29">
        <v>10.38</v>
      </c>
    </row>
    <row r="6223" spans="19:21" x14ac:dyDescent="0.25">
      <c r="S6223" s="78">
        <v>33610</v>
      </c>
      <c r="T6223" s="29">
        <v>10.38</v>
      </c>
    </row>
    <row r="6224" spans="19:21" x14ac:dyDescent="0.25">
      <c r="S6224" s="78">
        <v>33611</v>
      </c>
      <c r="T6224" s="29">
        <v>10.38</v>
      </c>
    </row>
    <row r="6225" spans="19:20" x14ac:dyDescent="0.25">
      <c r="S6225" s="78">
        <v>33612</v>
      </c>
      <c r="T6225" s="29">
        <v>10.38</v>
      </c>
    </row>
    <row r="6226" spans="19:20" x14ac:dyDescent="0.25">
      <c r="S6226" s="78">
        <v>33613</v>
      </c>
      <c r="T6226" s="29">
        <v>10.38</v>
      </c>
    </row>
    <row r="6227" spans="19:20" x14ac:dyDescent="0.25">
      <c r="S6227" s="78">
        <v>33614</v>
      </c>
      <c r="T6227" s="29">
        <v>10.38</v>
      </c>
    </row>
    <row r="6228" spans="19:20" x14ac:dyDescent="0.25">
      <c r="S6228" s="78">
        <v>33615</v>
      </c>
      <c r="T6228" s="29">
        <v>10.38</v>
      </c>
    </row>
    <row r="6229" spans="19:20" x14ac:dyDescent="0.25">
      <c r="S6229" s="78">
        <v>33616</v>
      </c>
      <c r="T6229" s="29">
        <v>10.38</v>
      </c>
    </row>
    <row r="6230" spans="19:20" x14ac:dyDescent="0.25">
      <c r="S6230" s="78">
        <v>33617</v>
      </c>
      <c r="T6230" s="29">
        <v>10.38</v>
      </c>
    </row>
    <row r="6231" spans="19:20" x14ac:dyDescent="0.25">
      <c r="S6231" s="78">
        <v>33618</v>
      </c>
      <c r="T6231" s="29">
        <v>10.38</v>
      </c>
    </row>
    <row r="6232" spans="19:20" x14ac:dyDescent="0.25">
      <c r="S6232" s="78">
        <v>33619</v>
      </c>
      <c r="T6232" s="29">
        <v>10.38</v>
      </c>
    </row>
    <row r="6233" spans="19:20" x14ac:dyDescent="0.25">
      <c r="S6233" s="78">
        <v>33620</v>
      </c>
      <c r="T6233" s="29">
        <v>10.38</v>
      </c>
    </row>
    <row r="6234" spans="19:20" x14ac:dyDescent="0.25">
      <c r="S6234" s="78">
        <v>33621</v>
      </c>
      <c r="T6234" s="29">
        <v>10.38</v>
      </c>
    </row>
    <row r="6235" spans="19:20" x14ac:dyDescent="0.25">
      <c r="S6235" s="78">
        <v>33622</v>
      </c>
      <c r="T6235" s="29">
        <v>10.38</v>
      </c>
    </row>
    <row r="6236" spans="19:20" x14ac:dyDescent="0.25">
      <c r="S6236" s="78">
        <v>33623</v>
      </c>
      <c r="T6236" s="29">
        <v>10.38</v>
      </c>
    </row>
    <row r="6237" spans="19:20" x14ac:dyDescent="0.25">
      <c r="S6237" s="78">
        <v>33624</v>
      </c>
      <c r="T6237" s="29">
        <v>10.38</v>
      </c>
    </row>
    <row r="6238" spans="19:20" x14ac:dyDescent="0.25">
      <c r="S6238" s="78">
        <v>33625</v>
      </c>
      <c r="T6238" s="29">
        <v>10.38</v>
      </c>
    </row>
    <row r="6239" spans="19:20" x14ac:dyDescent="0.25">
      <c r="S6239" s="78">
        <v>33626</v>
      </c>
      <c r="T6239" s="29">
        <v>10.38</v>
      </c>
    </row>
    <row r="6240" spans="19:20" x14ac:dyDescent="0.25">
      <c r="S6240" s="78">
        <v>33627</v>
      </c>
      <c r="T6240" s="29">
        <v>10.38</v>
      </c>
    </row>
    <row r="6241" spans="19:20" x14ac:dyDescent="0.25">
      <c r="S6241" s="78">
        <v>33628</v>
      </c>
      <c r="T6241" s="29">
        <v>10.38</v>
      </c>
    </row>
    <row r="6242" spans="19:20" x14ac:dyDescent="0.25">
      <c r="S6242" s="78">
        <v>33629</v>
      </c>
      <c r="T6242" s="29">
        <v>10.38</v>
      </c>
    </row>
    <row r="6243" spans="19:20" x14ac:dyDescent="0.25">
      <c r="S6243" s="78">
        <v>33630</v>
      </c>
      <c r="T6243" s="29">
        <v>10.38</v>
      </c>
    </row>
    <row r="6244" spans="19:20" x14ac:dyDescent="0.25">
      <c r="S6244" s="78">
        <v>33631</v>
      </c>
      <c r="T6244" s="29">
        <v>10.38</v>
      </c>
    </row>
    <row r="6245" spans="19:20" x14ac:dyDescent="0.25">
      <c r="S6245" s="78">
        <v>33632</v>
      </c>
      <c r="T6245" s="29">
        <v>10.38</v>
      </c>
    </row>
    <row r="6246" spans="19:20" x14ac:dyDescent="0.25">
      <c r="S6246" s="78">
        <v>33633</v>
      </c>
      <c r="T6246" s="29">
        <v>10.38</v>
      </c>
    </row>
    <row r="6247" spans="19:20" x14ac:dyDescent="0.25">
      <c r="S6247" s="78">
        <v>33634</v>
      </c>
      <c r="T6247" s="29">
        <v>10.38</v>
      </c>
    </row>
    <row r="6248" spans="19:20" x14ac:dyDescent="0.25">
      <c r="S6248" s="78">
        <v>33635</v>
      </c>
      <c r="T6248" s="29">
        <v>10.38</v>
      </c>
    </row>
    <row r="6249" spans="19:20" x14ac:dyDescent="0.25">
      <c r="S6249" s="78">
        <v>33636</v>
      </c>
      <c r="T6249" s="29">
        <v>10.38</v>
      </c>
    </row>
    <row r="6250" spans="19:20" x14ac:dyDescent="0.25">
      <c r="S6250" s="78">
        <v>33637</v>
      </c>
      <c r="T6250" s="29">
        <v>10.38</v>
      </c>
    </row>
    <row r="6251" spans="19:20" x14ac:dyDescent="0.25">
      <c r="S6251" s="78">
        <v>33638</v>
      </c>
      <c r="T6251" s="29">
        <v>10.38</v>
      </c>
    </row>
    <row r="6252" spans="19:20" x14ac:dyDescent="0.25">
      <c r="S6252" s="78">
        <v>33639</v>
      </c>
      <c r="T6252" s="29">
        <v>10.38</v>
      </c>
    </row>
    <row r="6253" spans="19:20" x14ac:dyDescent="0.25">
      <c r="S6253" s="78">
        <v>33640</v>
      </c>
      <c r="T6253" s="29">
        <v>10.38</v>
      </c>
    </row>
    <row r="6254" spans="19:20" x14ac:dyDescent="0.25">
      <c r="S6254" s="78">
        <v>33641</v>
      </c>
      <c r="T6254" s="29">
        <v>10.38</v>
      </c>
    </row>
    <row r="6255" spans="19:20" x14ac:dyDescent="0.25">
      <c r="S6255" s="78">
        <v>33642</v>
      </c>
      <c r="T6255" s="29">
        <v>10.38</v>
      </c>
    </row>
    <row r="6256" spans="19:20" x14ac:dyDescent="0.25">
      <c r="S6256" s="78">
        <v>33643</v>
      </c>
      <c r="T6256" s="29">
        <v>10.38</v>
      </c>
    </row>
    <row r="6257" spans="19:20" x14ac:dyDescent="0.25">
      <c r="S6257" s="78">
        <v>33644</v>
      </c>
      <c r="T6257" s="29">
        <v>10.38</v>
      </c>
    </row>
    <row r="6258" spans="19:20" x14ac:dyDescent="0.25">
      <c r="S6258" s="78">
        <v>33645</v>
      </c>
      <c r="T6258" s="29">
        <v>10.38</v>
      </c>
    </row>
    <row r="6259" spans="19:20" x14ac:dyDescent="0.25">
      <c r="S6259" s="78">
        <v>33646</v>
      </c>
      <c r="T6259" s="29">
        <v>10.38</v>
      </c>
    </row>
    <row r="6260" spans="19:20" x14ac:dyDescent="0.25">
      <c r="S6260" s="78">
        <v>33647</v>
      </c>
      <c r="T6260" s="29">
        <v>10.38</v>
      </c>
    </row>
    <row r="6261" spans="19:20" x14ac:dyDescent="0.25">
      <c r="S6261" s="78">
        <v>33648</v>
      </c>
      <c r="T6261" s="29">
        <v>10.38</v>
      </c>
    </row>
    <row r="6262" spans="19:20" x14ac:dyDescent="0.25">
      <c r="S6262" s="78">
        <v>33649</v>
      </c>
      <c r="T6262" s="29">
        <v>10.38</v>
      </c>
    </row>
    <row r="6263" spans="19:20" x14ac:dyDescent="0.25">
      <c r="S6263" s="78">
        <v>33650</v>
      </c>
      <c r="T6263" s="29">
        <v>10.38</v>
      </c>
    </row>
    <row r="6264" spans="19:20" x14ac:dyDescent="0.25">
      <c r="S6264" s="78">
        <v>33651</v>
      </c>
      <c r="T6264" s="29">
        <v>10.38</v>
      </c>
    </row>
    <row r="6265" spans="19:20" x14ac:dyDescent="0.25">
      <c r="S6265" s="78">
        <v>33652</v>
      </c>
      <c r="T6265" s="29">
        <v>10.38</v>
      </c>
    </row>
    <row r="6266" spans="19:20" x14ac:dyDescent="0.25">
      <c r="S6266" s="78">
        <v>33653</v>
      </c>
      <c r="T6266" s="29">
        <v>10.38</v>
      </c>
    </row>
    <row r="6267" spans="19:20" x14ac:dyDescent="0.25">
      <c r="S6267" s="78">
        <v>33654</v>
      </c>
      <c r="T6267" s="29">
        <v>10.38</v>
      </c>
    </row>
    <row r="6268" spans="19:20" x14ac:dyDescent="0.25">
      <c r="S6268" s="78">
        <v>33655</v>
      </c>
      <c r="T6268" s="29">
        <v>10.38</v>
      </c>
    </row>
    <row r="6269" spans="19:20" x14ac:dyDescent="0.25">
      <c r="S6269" s="78">
        <v>33656</v>
      </c>
      <c r="T6269" s="29">
        <v>10.38</v>
      </c>
    </row>
    <row r="6270" spans="19:20" x14ac:dyDescent="0.25">
      <c r="S6270" s="78">
        <v>33657</v>
      </c>
      <c r="T6270" s="29">
        <v>10.38</v>
      </c>
    </row>
    <row r="6271" spans="19:20" x14ac:dyDescent="0.25">
      <c r="S6271" s="78">
        <v>33658</v>
      </c>
      <c r="T6271" s="29">
        <v>10.38</v>
      </c>
    </row>
    <row r="6272" spans="19:20" x14ac:dyDescent="0.25">
      <c r="S6272" s="78">
        <v>33659</v>
      </c>
      <c r="T6272" s="29">
        <v>10.38</v>
      </c>
    </row>
    <row r="6273" spans="19:20" x14ac:dyDescent="0.25">
      <c r="S6273" s="78">
        <v>33660</v>
      </c>
      <c r="T6273" s="29">
        <v>10.38</v>
      </c>
    </row>
    <row r="6274" spans="19:20" x14ac:dyDescent="0.25">
      <c r="S6274" s="78">
        <v>33661</v>
      </c>
      <c r="T6274" s="29">
        <v>10.38</v>
      </c>
    </row>
    <row r="6275" spans="19:20" x14ac:dyDescent="0.25">
      <c r="S6275" s="78">
        <v>33662</v>
      </c>
      <c r="T6275" s="29">
        <v>10.38</v>
      </c>
    </row>
    <row r="6276" spans="19:20" x14ac:dyDescent="0.25">
      <c r="S6276" s="78">
        <v>33663</v>
      </c>
      <c r="T6276" s="29">
        <v>10.38</v>
      </c>
    </row>
    <row r="6277" spans="19:20" x14ac:dyDescent="0.25">
      <c r="S6277" s="78">
        <v>33664</v>
      </c>
      <c r="T6277" s="29">
        <v>10.38</v>
      </c>
    </row>
    <row r="6278" spans="19:20" x14ac:dyDescent="0.25">
      <c r="S6278" s="78">
        <v>33665</v>
      </c>
      <c r="T6278" s="29">
        <v>10.38</v>
      </c>
    </row>
    <row r="6279" spans="19:20" x14ac:dyDescent="0.25">
      <c r="S6279" s="78">
        <v>33666</v>
      </c>
      <c r="T6279" s="29">
        <v>10.38</v>
      </c>
    </row>
    <row r="6280" spans="19:20" x14ac:dyDescent="0.25">
      <c r="S6280" s="78">
        <v>33667</v>
      </c>
      <c r="T6280" s="29">
        <v>10.38</v>
      </c>
    </row>
    <row r="6281" spans="19:20" x14ac:dyDescent="0.25">
      <c r="S6281" s="78">
        <v>33668</v>
      </c>
      <c r="T6281" s="29">
        <v>10.38</v>
      </c>
    </row>
    <row r="6282" spans="19:20" x14ac:dyDescent="0.25">
      <c r="S6282" s="78">
        <v>33669</v>
      </c>
      <c r="T6282" s="29">
        <v>10.38</v>
      </c>
    </row>
    <row r="6283" spans="19:20" x14ac:dyDescent="0.25">
      <c r="S6283" s="78">
        <v>33670</v>
      </c>
      <c r="T6283" s="29">
        <v>10.38</v>
      </c>
    </row>
    <row r="6284" spans="19:20" x14ac:dyDescent="0.25">
      <c r="S6284" s="78">
        <v>33671</v>
      </c>
      <c r="T6284" s="29">
        <v>10.38</v>
      </c>
    </row>
    <row r="6285" spans="19:20" x14ac:dyDescent="0.25">
      <c r="S6285" s="78">
        <v>33672</v>
      </c>
      <c r="T6285" s="29">
        <v>10.38</v>
      </c>
    </row>
    <row r="6286" spans="19:20" x14ac:dyDescent="0.25">
      <c r="S6286" s="78">
        <v>33673</v>
      </c>
      <c r="T6286" s="29">
        <v>10.38</v>
      </c>
    </row>
    <row r="6287" spans="19:20" x14ac:dyDescent="0.25">
      <c r="S6287" s="78">
        <v>33674</v>
      </c>
      <c r="T6287" s="29">
        <v>10.38</v>
      </c>
    </row>
    <row r="6288" spans="19:20" x14ac:dyDescent="0.25">
      <c r="S6288" s="78">
        <v>33675</v>
      </c>
      <c r="T6288" s="29">
        <v>10.38</v>
      </c>
    </row>
    <row r="6289" spans="19:20" x14ac:dyDescent="0.25">
      <c r="S6289" s="78">
        <v>33676</v>
      </c>
      <c r="T6289" s="29">
        <v>10.38</v>
      </c>
    </row>
    <row r="6290" spans="19:20" x14ac:dyDescent="0.25">
      <c r="S6290" s="78">
        <v>33677</v>
      </c>
      <c r="T6290" s="29">
        <v>10.38</v>
      </c>
    </row>
    <row r="6291" spans="19:20" x14ac:dyDescent="0.25">
      <c r="S6291" s="78">
        <v>33678</v>
      </c>
      <c r="T6291" s="29">
        <v>10.38</v>
      </c>
    </row>
    <row r="6292" spans="19:20" x14ac:dyDescent="0.25">
      <c r="S6292" s="78">
        <v>33679</v>
      </c>
      <c r="T6292" s="29">
        <v>10.38</v>
      </c>
    </row>
    <row r="6293" spans="19:20" x14ac:dyDescent="0.25">
      <c r="S6293" s="78">
        <v>33680</v>
      </c>
      <c r="T6293" s="29">
        <v>10.38</v>
      </c>
    </row>
    <row r="6294" spans="19:20" x14ac:dyDescent="0.25">
      <c r="S6294" s="78">
        <v>33681</v>
      </c>
      <c r="T6294" s="29">
        <v>10.38</v>
      </c>
    </row>
    <row r="6295" spans="19:20" x14ac:dyDescent="0.25">
      <c r="S6295" s="78">
        <v>33682</v>
      </c>
      <c r="T6295" s="29">
        <v>10.38</v>
      </c>
    </row>
    <row r="6296" spans="19:20" x14ac:dyDescent="0.25">
      <c r="S6296" s="78">
        <v>33683</v>
      </c>
      <c r="T6296" s="29">
        <v>10.38</v>
      </c>
    </row>
    <row r="6297" spans="19:20" x14ac:dyDescent="0.25">
      <c r="S6297" s="78">
        <v>33684</v>
      </c>
      <c r="T6297" s="29">
        <v>10.38</v>
      </c>
    </row>
    <row r="6298" spans="19:20" x14ac:dyDescent="0.25">
      <c r="S6298" s="78">
        <v>33685</v>
      </c>
      <c r="T6298" s="29">
        <v>10.38</v>
      </c>
    </row>
    <row r="6299" spans="19:20" x14ac:dyDescent="0.25">
      <c r="S6299" s="78">
        <v>33686</v>
      </c>
      <c r="T6299" s="29">
        <v>10.38</v>
      </c>
    </row>
    <row r="6300" spans="19:20" x14ac:dyDescent="0.25">
      <c r="S6300" s="78">
        <v>33687</v>
      </c>
      <c r="T6300" s="29">
        <v>10.38</v>
      </c>
    </row>
    <row r="6301" spans="19:20" x14ac:dyDescent="0.25">
      <c r="S6301" s="78">
        <v>33688</v>
      </c>
      <c r="T6301" s="29">
        <v>10.38</v>
      </c>
    </row>
    <row r="6302" spans="19:20" x14ac:dyDescent="0.25">
      <c r="S6302" s="78">
        <v>33689</v>
      </c>
      <c r="T6302" s="29">
        <v>10.38</v>
      </c>
    </row>
    <row r="6303" spans="19:20" x14ac:dyDescent="0.25">
      <c r="S6303" s="78">
        <v>33690</v>
      </c>
      <c r="T6303" s="29">
        <v>10.38</v>
      </c>
    </row>
    <row r="6304" spans="19:20" x14ac:dyDescent="0.25">
      <c r="S6304" s="78">
        <v>33691</v>
      </c>
      <c r="T6304" s="29">
        <v>10.38</v>
      </c>
    </row>
    <row r="6305" spans="19:21" x14ac:dyDescent="0.25">
      <c r="S6305" s="78">
        <v>33692</v>
      </c>
      <c r="T6305" s="29">
        <v>10.38</v>
      </c>
    </row>
    <row r="6306" spans="19:21" x14ac:dyDescent="0.25">
      <c r="S6306" s="78">
        <v>33693</v>
      </c>
      <c r="T6306" s="29">
        <v>10.38</v>
      </c>
    </row>
    <row r="6307" spans="19:21" x14ac:dyDescent="0.25">
      <c r="S6307" s="78">
        <v>33694</v>
      </c>
      <c r="T6307" s="29">
        <v>10.38</v>
      </c>
      <c r="U6307" s="39">
        <f>AVERAGE(T6217:T6307)</f>
        <v>10.379999999999997</v>
      </c>
    </row>
    <row r="6308" spans="19:21" x14ac:dyDescent="0.25">
      <c r="S6308" s="78">
        <v>33695</v>
      </c>
      <c r="T6308" s="29">
        <v>10.38</v>
      </c>
    </row>
    <row r="6309" spans="19:21" x14ac:dyDescent="0.25">
      <c r="S6309" s="78">
        <v>33696</v>
      </c>
      <c r="T6309" s="29">
        <v>10.38</v>
      </c>
    </row>
    <row r="6310" spans="19:21" x14ac:dyDescent="0.25">
      <c r="S6310" s="78">
        <v>33697</v>
      </c>
      <c r="T6310" s="29">
        <v>10.38</v>
      </c>
    </row>
    <row r="6311" spans="19:21" x14ac:dyDescent="0.25">
      <c r="S6311" s="78">
        <v>33698</v>
      </c>
      <c r="T6311" s="29">
        <v>10.38</v>
      </c>
    </row>
    <row r="6312" spans="19:21" x14ac:dyDescent="0.25">
      <c r="S6312" s="78">
        <v>33699</v>
      </c>
      <c r="T6312" s="29">
        <v>10.38</v>
      </c>
    </row>
    <row r="6313" spans="19:21" x14ac:dyDescent="0.25">
      <c r="S6313" s="78">
        <v>33700</v>
      </c>
      <c r="T6313" s="29">
        <v>10.38</v>
      </c>
    </row>
    <row r="6314" spans="19:21" x14ac:dyDescent="0.25">
      <c r="S6314" s="78">
        <v>33701</v>
      </c>
      <c r="T6314" s="29">
        <v>10.38</v>
      </c>
    </row>
    <row r="6315" spans="19:21" x14ac:dyDescent="0.25">
      <c r="S6315" s="78">
        <v>33702</v>
      </c>
      <c r="T6315" s="29">
        <v>10.38</v>
      </c>
    </row>
    <row r="6316" spans="19:21" x14ac:dyDescent="0.25">
      <c r="S6316" s="78">
        <v>33703</v>
      </c>
      <c r="T6316" s="29">
        <v>10.38</v>
      </c>
    </row>
    <row r="6317" spans="19:21" x14ac:dyDescent="0.25">
      <c r="S6317" s="78">
        <v>33704</v>
      </c>
      <c r="T6317" s="29">
        <v>10.38</v>
      </c>
    </row>
    <row r="6318" spans="19:21" x14ac:dyDescent="0.25">
      <c r="S6318" s="78">
        <v>33705</v>
      </c>
      <c r="T6318" s="29">
        <v>10.38</v>
      </c>
    </row>
    <row r="6319" spans="19:21" x14ac:dyDescent="0.25">
      <c r="S6319" s="78">
        <v>33706</v>
      </c>
      <c r="T6319" s="29">
        <v>10.38</v>
      </c>
    </row>
    <row r="6320" spans="19:21" x14ac:dyDescent="0.25">
      <c r="S6320" s="78">
        <v>33707</v>
      </c>
      <c r="T6320" s="29">
        <v>10.38</v>
      </c>
    </row>
    <row r="6321" spans="19:20" x14ac:dyDescent="0.25">
      <c r="S6321" s="78">
        <v>33708</v>
      </c>
      <c r="T6321" s="29">
        <v>10.38</v>
      </c>
    </row>
    <row r="6322" spans="19:20" x14ac:dyDescent="0.25">
      <c r="S6322" s="78">
        <v>33709</v>
      </c>
      <c r="T6322" s="29">
        <v>10.38</v>
      </c>
    </row>
    <row r="6323" spans="19:20" x14ac:dyDescent="0.25">
      <c r="S6323" s="78">
        <v>33710</v>
      </c>
      <c r="T6323" s="29">
        <v>10.38</v>
      </c>
    </row>
    <row r="6324" spans="19:20" x14ac:dyDescent="0.25">
      <c r="S6324" s="78">
        <v>33711</v>
      </c>
      <c r="T6324" s="29">
        <v>10.38</v>
      </c>
    </row>
    <row r="6325" spans="19:20" x14ac:dyDescent="0.25">
      <c r="S6325" s="78">
        <v>33712</v>
      </c>
      <c r="T6325" s="29">
        <v>10.38</v>
      </c>
    </row>
    <row r="6326" spans="19:20" x14ac:dyDescent="0.25">
      <c r="S6326" s="78">
        <v>33713</v>
      </c>
      <c r="T6326" s="29">
        <v>10.38</v>
      </c>
    </row>
    <row r="6327" spans="19:20" x14ac:dyDescent="0.25">
      <c r="S6327" s="78">
        <v>33714</v>
      </c>
      <c r="T6327" s="29">
        <v>10.38</v>
      </c>
    </row>
    <row r="6328" spans="19:20" x14ac:dyDescent="0.25">
      <c r="S6328" s="78">
        <v>33715</v>
      </c>
      <c r="T6328" s="29">
        <v>10.38</v>
      </c>
    </row>
    <row r="6329" spans="19:20" x14ac:dyDescent="0.25">
      <c r="S6329" s="78">
        <v>33716</v>
      </c>
      <c r="T6329" s="29">
        <v>10.38</v>
      </c>
    </row>
    <row r="6330" spans="19:20" x14ac:dyDescent="0.25">
      <c r="S6330" s="78">
        <v>33717</v>
      </c>
      <c r="T6330" s="29">
        <v>10.38</v>
      </c>
    </row>
    <row r="6331" spans="19:20" x14ac:dyDescent="0.25">
      <c r="S6331" s="78">
        <v>33718</v>
      </c>
      <c r="T6331" s="29">
        <v>10.38</v>
      </c>
    </row>
    <row r="6332" spans="19:20" x14ac:dyDescent="0.25">
      <c r="S6332" s="78">
        <v>33719</v>
      </c>
      <c r="T6332" s="29">
        <v>10.38</v>
      </c>
    </row>
    <row r="6333" spans="19:20" x14ac:dyDescent="0.25">
      <c r="S6333" s="78">
        <v>33720</v>
      </c>
      <c r="T6333" s="29">
        <v>10.38</v>
      </c>
    </row>
    <row r="6334" spans="19:20" x14ac:dyDescent="0.25">
      <c r="S6334" s="78">
        <v>33721</v>
      </c>
      <c r="T6334" s="29">
        <v>10.38</v>
      </c>
    </row>
    <row r="6335" spans="19:20" x14ac:dyDescent="0.25">
      <c r="S6335" s="78">
        <v>33722</v>
      </c>
      <c r="T6335" s="29">
        <v>10.38</v>
      </c>
    </row>
    <row r="6336" spans="19:20" x14ac:dyDescent="0.25">
      <c r="S6336" s="78">
        <v>33723</v>
      </c>
      <c r="T6336" s="29">
        <v>10.38</v>
      </c>
    </row>
    <row r="6337" spans="19:20" x14ac:dyDescent="0.25">
      <c r="S6337" s="78">
        <v>33724</v>
      </c>
      <c r="T6337" s="29">
        <v>10.38</v>
      </c>
    </row>
    <row r="6338" spans="19:20" x14ac:dyDescent="0.25">
      <c r="S6338" s="78">
        <v>33725</v>
      </c>
      <c r="T6338" s="29">
        <v>10.38</v>
      </c>
    </row>
    <row r="6339" spans="19:20" x14ac:dyDescent="0.25">
      <c r="S6339" s="78">
        <v>33726</v>
      </c>
      <c r="T6339" s="29">
        <v>10.38</v>
      </c>
    </row>
    <row r="6340" spans="19:20" x14ac:dyDescent="0.25">
      <c r="S6340" s="78">
        <v>33727</v>
      </c>
      <c r="T6340" s="29">
        <v>10.38</v>
      </c>
    </row>
    <row r="6341" spans="19:20" x14ac:dyDescent="0.25">
      <c r="S6341" s="78">
        <v>33728</v>
      </c>
      <c r="T6341" s="29">
        <v>10.38</v>
      </c>
    </row>
    <row r="6342" spans="19:20" x14ac:dyDescent="0.25">
      <c r="S6342" s="78">
        <v>33729</v>
      </c>
      <c r="T6342" s="29">
        <v>9.8800000000000008</v>
      </c>
    </row>
    <row r="6343" spans="19:20" x14ac:dyDescent="0.25">
      <c r="S6343" s="78">
        <v>33730</v>
      </c>
      <c r="T6343" s="29">
        <v>9.8800000000000008</v>
      </c>
    </row>
    <row r="6344" spans="19:20" x14ac:dyDescent="0.25">
      <c r="S6344" s="78">
        <v>33731</v>
      </c>
      <c r="T6344" s="29">
        <v>9.8800000000000008</v>
      </c>
    </row>
    <row r="6345" spans="19:20" x14ac:dyDescent="0.25">
      <c r="S6345" s="78">
        <v>33732</v>
      </c>
      <c r="T6345" s="29">
        <v>9.8800000000000008</v>
      </c>
    </row>
    <row r="6346" spans="19:20" x14ac:dyDescent="0.25">
      <c r="S6346" s="78">
        <v>33733</v>
      </c>
      <c r="T6346" s="29">
        <v>9.8800000000000008</v>
      </c>
    </row>
    <row r="6347" spans="19:20" x14ac:dyDescent="0.25">
      <c r="S6347" s="78">
        <v>33734</v>
      </c>
      <c r="T6347" s="29">
        <v>9.8800000000000008</v>
      </c>
    </row>
    <row r="6348" spans="19:20" x14ac:dyDescent="0.25">
      <c r="S6348" s="78">
        <v>33735</v>
      </c>
      <c r="T6348" s="29">
        <v>9.8800000000000008</v>
      </c>
    </row>
    <row r="6349" spans="19:20" x14ac:dyDescent="0.25">
      <c r="S6349" s="78">
        <v>33736</v>
      </c>
      <c r="T6349" s="29">
        <v>9.8800000000000008</v>
      </c>
    </row>
    <row r="6350" spans="19:20" x14ac:dyDescent="0.25">
      <c r="S6350" s="78">
        <v>33737</v>
      </c>
      <c r="T6350" s="29">
        <v>9.8800000000000008</v>
      </c>
    </row>
    <row r="6351" spans="19:20" x14ac:dyDescent="0.25">
      <c r="S6351" s="78">
        <v>33738</v>
      </c>
      <c r="T6351" s="29">
        <v>9.8800000000000008</v>
      </c>
    </row>
    <row r="6352" spans="19:20" x14ac:dyDescent="0.25">
      <c r="S6352" s="78">
        <v>33739</v>
      </c>
      <c r="T6352" s="29">
        <v>9.8800000000000008</v>
      </c>
    </row>
    <row r="6353" spans="19:20" x14ac:dyDescent="0.25">
      <c r="S6353" s="78">
        <v>33740</v>
      </c>
      <c r="T6353" s="29">
        <v>9.8800000000000008</v>
      </c>
    </row>
    <row r="6354" spans="19:20" x14ac:dyDescent="0.25">
      <c r="S6354" s="78">
        <v>33741</v>
      </c>
      <c r="T6354" s="29">
        <v>9.8800000000000008</v>
      </c>
    </row>
    <row r="6355" spans="19:20" x14ac:dyDescent="0.25">
      <c r="S6355" s="78">
        <v>33742</v>
      </c>
      <c r="T6355" s="29">
        <v>9.8800000000000008</v>
      </c>
    </row>
    <row r="6356" spans="19:20" x14ac:dyDescent="0.25">
      <c r="S6356" s="78">
        <v>33743</v>
      </c>
      <c r="T6356" s="29">
        <v>9.8800000000000008</v>
      </c>
    </row>
    <row r="6357" spans="19:20" x14ac:dyDescent="0.25">
      <c r="S6357" s="78">
        <v>33744</v>
      </c>
      <c r="T6357" s="29">
        <v>9.8800000000000008</v>
      </c>
    </row>
    <row r="6358" spans="19:20" x14ac:dyDescent="0.25">
      <c r="S6358" s="78">
        <v>33745</v>
      </c>
      <c r="T6358" s="29">
        <v>9.8800000000000008</v>
      </c>
    </row>
    <row r="6359" spans="19:20" x14ac:dyDescent="0.25">
      <c r="S6359" s="78">
        <v>33746</v>
      </c>
      <c r="T6359" s="29">
        <v>9.8800000000000008</v>
      </c>
    </row>
    <row r="6360" spans="19:20" x14ac:dyDescent="0.25">
      <c r="S6360" s="78">
        <v>33747</v>
      </c>
      <c r="T6360" s="29">
        <v>9.8800000000000008</v>
      </c>
    </row>
    <row r="6361" spans="19:20" x14ac:dyDescent="0.25">
      <c r="S6361" s="78">
        <v>33748</v>
      </c>
      <c r="T6361" s="29">
        <v>9.8800000000000008</v>
      </c>
    </row>
    <row r="6362" spans="19:20" x14ac:dyDescent="0.25">
      <c r="S6362" s="78">
        <v>33749</v>
      </c>
      <c r="T6362" s="29">
        <v>9.8800000000000008</v>
      </c>
    </row>
    <row r="6363" spans="19:20" x14ac:dyDescent="0.25">
      <c r="S6363" s="78">
        <v>33750</v>
      </c>
      <c r="T6363" s="29">
        <v>9.8800000000000008</v>
      </c>
    </row>
    <row r="6364" spans="19:20" x14ac:dyDescent="0.25">
      <c r="S6364" s="78">
        <v>33751</v>
      </c>
      <c r="T6364" s="29">
        <v>9.8800000000000008</v>
      </c>
    </row>
    <row r="6365" spans="19:20" x14ac:dyDescent="0.25">
      <c r="S6365" s="78">
        <v>33752</v>
      </c>
      <c r="T6365" s="29">
        <v>9.8800000000000008</v>
      </c>
    </row>
    <row r="6366" spans="19:20" x14ac:dyDescent="0.25">
      <c r="S6366" s="78">
        <v>33753</v>
      </c>
      <c r="T6366" s="29">
        <v>9.8800000000000008</v>
      </c>
    </row>
    <row r="6367" spans="19:20" x14ac:dyDescent="0.25">
      <c r="S6367" s="78">
        <v>33754</v>
      </c>
      <c r="T6367" s="29">
        <v>9.8800000000000008</v>
      </c>
    </row>
    <row r="6368" spans="19:20" x14ac:dyDescent="0.25">
      <c r="S6368" s="78">
        <v>33755</v>
      </c>
      <c r="T6368" s="29">
        <v>9.8800000000000008</v>
      </c>
    </row>
    <row r="6369" spans="19:20" x14ac:dyDescent="0.25">
      <c r="S6369" s="78">
        <v>33756</v>
      </c>
      <c r="T6369" s="29">
        <v>9.8800000000000008</v>
      </c>
    </row>
    <row r="6370" spans="19:20" x14ac:dyDescent="0.25">
      <c r="S6370" s="78">
        <v>33757</v>
      </c>
      <c r="T6370" s="29">
        <v>9.8800000000000008</v>
      </c>
    </row>
    <row r="6371" spans="19:20" x14ac:dyDescent="0.25">
      <c r="S6371" s="78">
        <v>33758</v>
      </c>
      <c r="T6371" s="29">
        <v>9.8800000000000008</v>
      </c>
    </row>
    <row r="6372" spans="19:20" x14ac:dyDescent="0.25">
      <c r="S6372" s="78">
        <v>33759</v>
      </c>
      <c r="T6372" s="29">
        <v>9.8800000000000008</v>
      </c>
    </row>
    <row r="6373" spans="19:20" x14ac:dyDescent="0.25">
      <c r="S6373" s="78">
        <v>33760</v>
      </c>
      <c r="T6373" s="29">
        <v>9.8800000000000008</v>
      </c>
    </row>
    <row r="6374" spans="19:20" x14ac:dyDescent="0.25">
      <c r="S6374" s="78">
        <v>33761</v>
      </c>
      <c r="T6374" s="29">
        <v>9.8800000000000008</v>
      </c>
    </row>
    <row r="6375" spans="19:20" x14ac:dyDescent="0.25">
      <c r="S6375" s="78">
        <v>33762</v>
      </c>
      <c r="T6375" s="29">
        <v>9.8800000000000008</v>
      </c>
    </row>
    <row r="6376" spans="19:20" x14ac:dyDescent="0.25">
      <c r="S6376" s="78">
        <v>33763</v>
      </c>
      <c r="T6376" s="29">
        <v>9.8800000000000008</v>
      </c>
    </row>
    <row r="6377" spans="19:20" x14ac:dyDescent="0.25">
      <c r="S6377" s="78">
        <v>33764</v>
      </c>
      <c r="T6377" s="29">
        <v>9.8800000000000008</v>
      </c>
    </row>
    <row r="6378" spans="19:20" x14ac:dyDescent="0.25">
      <c r="S6378" s="78">
        <v>33765</v>
      </c>
      <c r="T6378" s="29">
        <v>9.8800000000000008</v>
      </c>
    </row>
    <row r="6379" spans="19:20" x14ac:dyDescent="0.25">
      <c r="S6379" s="78">
        <v>33766</v>
      </c>
      <c r="T6379" s="29">
        <v>9.8800000000000008</v>
      </c>
    </row>
    <row r="6380" spans="19:20" x14ac:dyDescent="0.25">
      <c r="S6380" s="78">
        <v>33767</v>
      </c>
      <c r="T6380" s="29">
        <v>9.8800000000000008</v>
      </c>
    </row>
    <row r="6381" spans="19:20" x14ac:dyDescent="0.25">
      <c r="S6381" s="78">
        <v>33768</v>
      </c>
      <c r="T6381" s="29">
        <v>9.8800000000000008</v>
      </c>
    </row>
    <row r="6382" spans="19:20" x14ac:dyDescent="0.25">
      <c r="S6382" s="78">
        <v>33769</v>
      </c>
      <c r="T6382" s="29">
        <v>9.8800000000000008</v>
      </c>
    </row>
    <row r="6383" spans="19:20" x14ac:dyDescent="0.25">
      <c r="S6383" s="78">
        <v>33770</v>
      </c>
      <c r="T6383" s="29">
        <v>9.8800000000000008</v>
      </c>
    </row>
    <row r="6384" spans="19:20" x14ac:dyDescent="0.25">
      <c r="S6384" s="78">
        <v>33771</v>
      </c>
      <c r="T6384" s="29">
        <v>9.8800000000000008</v>
      </c>
    </row>
    <row r="6385" spans="19:21" x14ac:dyDescent="0.25">
      <c r="S6385" s="78">
        <v>33772</v>
      </c>
      <c r="T6385" s="29">
        <v>9.8800000000000008</v>
      </c>
    </row>
    <row r="6386" spans="19:21" x14ac:dyDescent="0.25">
      <c r="S6386" s="78">
        <v>33773</v>
      </c>
      <c r="T6386" s="29">
        <v>9.8800000000000008</v>
      </c>
    </row>
    <row r="6387" spans="19:21" x14ac:dyDescent="0.25">
      <c r="S6387" s="78">
        <v>33774</v>
      </c>
      <c r="T6387" s="29">
        <v>9.8800000000000008</v>
      </c>
    </row>
    <row r="6388" spans="19:21" x14ac:dyDescent="0.25">
      <c r="S6388" s="78">
        <v>33775</v>
      </c>
      <c r="T6388" s="29">
        <v>9.8800000000000008</v>
      </c>
    </row>
    <row r="6389" spans="19:21" x14ac:dyDescent="0.25">
      <c r="S6389" s="78">
        <v>33776</v>
      </c>
      <c r="T6389" s="29">
        <v>9.8800000000000008</v>
      </c>
    </row>
    <row r="6390" spans="19:21" x14ac:dyDescent="0.25">
      <c r="S6390" s="78">
        <v>33777</v>
      </c>
      <c r="T6390" s="29">
        <v>9.8800000000000008</v>
      </c>
    </row>
    <row r="6391" spans="19:21" x14ac:dyDescent="0.25">
      <c r="S6391" s="78">
        <v>33778</v>
      </c>
      <c r="T6391" s="29">
        <v>9.8800000000000008</v>
      </c>
    </row>
    <row r="6392" spans="19:21" x14ac:dyDescent="0.25">
      <c r="S6392" s="78">
        <v>33779</v>
      </c>
      <c r="T6392" s="29">
        <v>9.8800000000000008</v>
      </c>
    </row>
    <row r="6393" spans="19:21" x14ac:dyDescent="0.25">
      <c r="S6393" s="78">
        <v>33780</v>
      </c>
      <c r="T6393" s="29">
        <v>9.8800000000000008</v>
      </c>
    </row>
    <row r="6394" spans="19:21" x14ac:dyDescent="0.25">
      <c r="S6394" s="78">
        <v>33781</v>
      </c>
      <c r="T6394" s="29">
        <v>9.8800000000000008</v>
      </c>
    </row>
    <row r="6395" spans="19:21" x14ac:dyDescent="0.25">
      <c r="S6395" s="78">
        <v>33782</v>
      </c>
      <c r="T6395" s="29">
        <v>9.8800000000000008</v>
      </c>
    </row>
    <row r="6396" spans="19:21" x14ac:dyDescent="0.25">
      <c r="S6396" s="78">
        <v>33783</v>
      </c>
      <c r="T6396" s="29">
        <v>9.8800000000000008</v>
      </c>
    </row>
    <row r="6397" spans="19:21" x14ac:dyDescent="0.25">
      <c r="S6397" s="78">
        <v>33784</v>
      </c>
      <c r="T6397" s="29">
        <v>9.8800000000000008</v>
      </c>
      <c r="U6397" s="40"/>
    </row>
    <row r="6398" spans="19:21" x14ac:dyDescent="0.25">
      <c r="S6398" s="78">
        <v>33785</v>
      </c>
      <c r="T6398" s="29">
        <v>9.8800000000000008</v>
      </c>
      <c r="U6398" s="40">
        <f>AVERAGE(T6308:T6398)</f>
        <v>10.066813186813183</v>
      </c>
    </row>
    <row r="6399" spans="19:21" x14ac:dyDescent="0.25">
      <c r="S6399" s="78">
        <v>33786</v>
      </c>
      <c r="T6399" s="29">
        <v>9.8800000000000008</v>
      </c>
    </row>
    <row r="6400" spans="19:21" x14ac:dyDescent="0.25">
      <c r="S6400" s="78">
        <v>33787</v>
      </c>
      <c r="T6400" s="29">
        <v>9.8800000000000008</v>
      </c>
    </row>
    <row r="6401" spans="19:20" x14ac:dyDescent="0.25">
      <c r="S6401" s="78">
        <v>33788</v>
      </c>
      <c r="T6401" s="29">
        <v>9.8800000000000008</v>
      </c>
    </row>
    <row r="6402" spans="19:20" x14ac:dyDescent="0.25">
      <c r="S6402" s="78">
        <v>33789</v>
      </c>
      <c r="T6402" s="29">
        <v>9.8800000000000008</v>
      </c>
    </row>
    <row r="6403" spans="19:20" x14ac:dyDescent="0.25">
      <c r="S6403" s="78">
        <v>33790</v>
      </c>
      <c r="T6403" s="29">
        <v>9.8800000000000008</v>
      </c>
    </row>
    <row r="6404" spans="19:20" x14ac:dyDescent="0.25">
      <c r="S6404" s="78">
        <v>33791</v>
      </c>
      <c r="T6404" s="29">
        <v>9.8800000000000008</v>
      </c>
    </row>
    <row r="6405" spans="19:20" x14ac:dyDescent="0.25">
      <c r="S6405" s="78">
        <v>33792</v>
      </c>
      <c r="T6405" s="29">
        <v>9.8800000000000008</v>
      </c>
    </row>
    <row r="6406" spans="19:20" x14ac:dyDescent="0.25">
      <c r="S6406" s="78">
        <v>33793</v>
      </c>
      <c r="T6406" s="29">
        <v>9.8800000000000008</v>
      </c>
    </row>
    <row r="6407" spans="19:20" x14ac:dyDescent="0.25">
      <c r="S6407" s="78">
        <v>33794</v>
      </c>
      <c r="T6407" s="29">
        <v>9.8800000000000008</v>
      </c>
    </row>
    <row r="6408" spans="19:20" x14ac:dyDescent="0.25">
      <c r="S6408" s="78">
        <v>33795</v>
      </c>
      <c r="T6408" s="29">
        <v>9.8800000000000008</v>
      </c>
    </row>
    <row r="6409" spans="19:20" x14ac:dyDescent="0.25">
      <c r="S6409" s="78">
        <v>33796</v>
      </c>
      <c r="T6409" s="29">
        <v>9.8800000000000008</v>
      </c>
    </row>
    <row r="6410" spans="19:20" x14ac:dyDescent="0.25">
      <c r="S6410" s="78">
        <v>33797</v>
      </c>
      <c r="T6410" s="29">
        <v>9.8800000000000008</v>
      </c>
    </row>
    <row r="6411" spans="19:20" x14ac:dyDescent="0.25">
      <c r="S6411" s="78">
        <v>33798</v>
      </c>
      <c r="T6411" s="29">
        <v>9.8800000000000008</v>
      </c>
    </row>
    <row r="6412" spans="19:20" x14ac:dyDescent="0.25">
      <c r="S6412" s="78">
        <v>33799</v>
      </c>
      <c r="T6412" s="29">
        <v>9.8800000000000008</v>
      </c>
    </row>
    <row r="6413" spans="19:20" x14ac:dyDescent="0.25">
      <c r="S6413" s="78">
        <v>33800</v>
      </c>
      <c r="T6413" s="29">
        <v>9.8800000000000008</v>
      </c>
    </row>
    <row r="6414" spans="19:20" x14ac:dyDescent="0.25">
      <c r="S6414" s="78">
        <v>33801</v>
      </c>
      <c r="T6414" s="29">
        <v>9.8800000000000008</v>
      </c>
    </row>
    <row r="6415" spans="19:20" x14ac:dyDescent="0.25">
      <c r="S6415" s="78">
        <v>33802</v>
      </c>
      <c r="T6415" s="29">
        <v>9.8800000000000008</v>
      </c>
    </row>
    <row r="6416" spans="19:20" x14ac:dyDescent="0.25">
      <c r="S6416" s="78">
        <v>33803</v>
      </c>
      <c r="T6416" s="29">
        <v>9.8800000000000008</v>
      </c>
    </row>
    <row r="6417" spans="19:20" x14ac:dyDescent="0.25">
      <c r="S6417" s="78">
        <v>33804</v>
      </c>
      <c r="T6417" s="29">
        <v>9.8800000000000008</v>
      </c>
    </row>
    <row r="6418" spans="19:20" x14ac:dyDescent="0.25">
      <c r="S6418" s="78">
        <v>33805</v>
      </c>
      <c r="T6418" s="29">
        <v>9.8800000000000008</v>
      </c>
    </row>
    <row r="6419" spans="19:20" x14ac:dyDescent="0.25">
      <c r="S6419" s="78">
        <v>33806</v>
      </c>
      <c r="T6419" s="29">
        <v>9.8800000000000008</v>
      </c>
    </row>
    <row r="6420" spans="19:20" x14ac:dyDescent="0.25">
      <c r="S6420" s="78">
        <v>33807</v>
      </c>
      <c r="T6420" s="29">
        <v>9.8800000000000008</v>
      </c>
    </row>
    <row r="6421" spans="19:20" x14ac:dyDescent="0.25">
      <c r="S6421" s="78">
        <v>33808</v>
      </c>
      <c r="T6421" s="29">
        <v>9.8800000000000008</v>
      </c>
    </row>
    <row r="6422" spans="19:20" x14ac:dyDescent="0.25">
      <c r="S6422" s="78">
        <v>33809</v>
      </c>
      <c r="T6422" s="29">
        <v>9.8800000000000008</v>
      </c>
    </row>
    <row r="6423" spans="19:20" x14ac:dyDescent="0.25">
      <c r="S6423" s="78">
        <v>33810</v>
      </c>
      <c r="T6423" s="29">
        <v>9.8800000000000008</v>
      </c>
    </row>
    <row r="6424" spans="19:20" x14ac:dyDescent="0.25">
      <c r="S6424" s="78">
        <v>33811</v>
      </c>
      <c r="T6424" s="29">
        <v>9.8800000000000008</v>
      </c>
    </row>
    <row r="6425" spans="19:20" x14ac:dyDescent="0.25">
      <c r="S6425" s="78">
        <v>33812</v>
      </c>
      <c r="T6425" s="29">
        <v>9.8800000000000008</v>
      </c>
    </row>
    <row r="6426" spans="19:20" x14ac:dyDescent="0.25">
      <c r="S6426" s="78">
        <v>33813</v>
      </c>
      <c r="T6426" s="29">
        <v>9.8800000000000008</v>
      </c>
    </row>
    <row r="6427" spans="19:20" x14ac:dyDescent="0.25">
      <c r="S6427" s="78">
        <v>33814</v>
      </c>
      <c r="T6427" s="29">
        <v>9.8800000000000008</v>
      </c>
    </row>
    <row r="6428" spans="19:20" x14ac:dyDescent="0.25">
      <c r="S6428" s="78">
        <v>33815</v>
      </c>
      <c r="T6428" s="29">
        <v>9.8800000000000008</v>
      </c>
    </row>
    <row r="6429" spans="19:20" x14ac:dyDescent="0.25">
      <c r="S6429" s="78">
        <v>33816</v>
      </c>
      <c r="T6429" s="29">
        <v>9.8800000000000008</v>
      </c>
    </row>
    <row r="6430" spans="19:20" x14ac:dyDescent="0.25">
      <c r="S6430" s="78">
        <v>33817</v>
      </c>
      <c r="T6430" s="29">
        <v>9.8800000000000008</v>
      </c>
    </row>
    <row r="6431" spans="19:20" x14ac:dyDescent="0.25">
      <c r="S6431" s="78">
        <v>33818</v>
      </c>
      <c r="T6431" s="29">
        <v>9.8800000000000008</v>
      </c>
    </row>
    <row r="6432" spans="19:20" x14ac:dyDescent="0.25">
      <c r="S6432" s="78">
        <v>33819</v>
      </c>
      <c r="T6432" s="29">
        <v>9.8800000000000008</v>
      </c>
    </row>
    <row r="6433" spans="19:20" x14ac:dyDescent="0.25">
      <c r="S6433" s="78">
        <v>33820</v>
      </c>
      <c r="T6433" s="29">
        <v>9.8800000000000008</v>
      </c>
    </row>
    <row r="6434" spans="19:20" x14ac:dyDescent="0.25">
      <c r="S6434" s="78">
        <v>33821</v>
      </c>
      <c r="T6434" s="29">
        <v>9.8800000000000008</v>
      </c>
    </row>
    <row r="6435" spans="19:20" x14ac:dyDescent="0.25">
      <c r="S6435" s="78">
        <v>33822</v>
      </c>
      <c r="T6435" s="29">
        <v>9.8800000000000008</v>
      </c>
    </row>
    <row r="6436" spans="19:20" x14ac:dyDescent="0.25">
      <c r="S6436" s="78">
        <v>33823</v>
      </c>
      <c r="T6436" s="29">
        <v>9.8800000000000008</v>
      </c>
    </row>
    <row r="6437" spans="19:20" x14ac:dyDescent="0.25">
      <c r="S6437" s="78">
        <v>33824</v>
      </c>
      <c r="T6437" s="29">
        <v>9.8800000000000008</v>
      </c>
    </row>
    <row r="6438" spans="19:20" x14ac:dyDescent="0.25">
      <c r="S6438" s="78">
        <v>33825</v>
      </c>
      <c r="T6438" s="29">
        <v>9.8800000000000008</v>
      </c>
    </row>
    <row r="6439" spans="19:20" x14ac:dyDescent="0.25">
      <c r="S6439" s="78">
        <v>33826</v>
      </c>
      <c r="T6439" s="29">
        <v>9.8800000000000008</v>
      </c>
    </row>
    <row r="6440" spans="19:20" x14ac:dyDescent="0.25">
      <c r="S6440" s="78">
        <v>33827</v>
      </c>
      <c r="T6440" s="29">
        <v>9.8800000000000008</v>
      </c>
    </row>
    <row r="6441" spans="19:20" x14ac:dyDescent="0.25">
      <c r="S6441" s="78">
        <v>33828</v>
      </c>
      <c r="T6441" s="29">
        <v>9.8800000000000008</v>
      </c>
    </row>
    <row r="6442" spans="19:20" x14ac:dyDescent="0.25">
      <c r="S6442" s="78">
        <v>33829</v>
      </c>
      <c r="T6442" s="29">
        <v>9.8800000000000008</v>
      </c>
    </row>
    <row r="6443" spans="19:20" x14ac:dyDescent="0.25">
      <c r="S6443" s="78">
        <v>33830</v>
      </c>
      <c r="T6443" s="29">
        <v>9.8800000000000008</v>
      </c>
    </row>
    <row r="6444" spans="19:20" x14ac:dyDescent="0.25">
      <c r="S6444" s="78">
        <v>33831</v>
      </c>
      <c r="T6444" s="29">
        <v>9.8800000000000008</v>
      </c>
    </row>
    <row r="6445" spans="19:20" x14ac:dyDescent="0.25">
      <c r="S6445" s="78">
        <v>33832</v>
      </c>
      <c r="T6445" s="29">
        <v>9.8800000000000008</v>
      </c>
    </row>
    <row r="6446" spans="19:20" x14ac:dyDescent="0.25">
      <c r="S6446" s="78">
        <v>33833</v>
      </c>
      <c r="T6446" s="29">
        <v>9.8800000000000008</v>
      </c>
    </row>
    <row r="6447" spans="19:20" x14ac:dyDescent="0.25">
      <c r="S6447" s="78">
        <v>33834</v>
      </c>
      <c r="T6447" s="29">
        <v>9.8800000000000008</v>
      </c>
    </row>
    <row r="6448" spans="19:20" x14ac:dyDescent="0.25">
      <c r="S6448" s="78">
        <v>33835</v>
      </c>
      <c r="T6448" s="29">
        <v>9.8800000000000008</v>
      </c>
    </row>
    <row r="6449" spans="19:20" x14ac:dyDescent="0.25">
      <c r="S6449" s="78">
        <v>33836</v>
      </c>
      <c r="T6449" s="29">
        <v>9.8800000000000008</v>
      </c>
    </row>
    <row r="6450" spans="19:20" x14ac:dyDescent="0.25">
      <c r="S6450" s="78">
        <v>33837</v>
      </c>
      <c r="T6450" s="29">
        <v>9.8800000000000008</v>
      </c>
    </row>
    <row r="6451" spans="19:20" x14ac:dyDescent="0.25">
      <c r="S6451" s="78">
        <v>33838</v>
      </c>
      <c r="T6451" s="29">
        <v>9.8800000000000008</v>
      </c>
    </row>
    <row r="6452" spans="19:20" x14ac:dyDescent="0.25">
      <c r="S6452" s="78">
        <v>33839</v>
      </c>
      <c r="T6452" s="29">
        <v>9.8800000000000008</v>
      </c>
    </row>
    <row r="6453" spans="19:20" x14ac:dyDescent="0.25">
      <c r="S6453" s="78">
        <v>33840</v>
      </c>
      <c r="T6453" s="29">
        <v>9.8800000000000008</v>
      </c>
    </row>
    <row r="6454" spans="19:20" x14ac:dyDescent="0.25">
      <c r="S6454" s="78">
        <v>33841</v>
      </c>
      <c r="T6454" s="29">
        <v>9.8800000000000008</v>
      </c>
    </row>
    <row r="6455" spans="19:20" x14ac:dyDescent="0.25">
      <c r="S6455" s="78">
        <v>33842</v>
      </c>
      <c r="T6455" s="29">
        <v>9.8800000000000008</v>
      </c>
    </row>
    <row r="6456" spans="19:20" x14ac:dyDescent="0.25">
      <c r="S6456" s="78">
        <v>33843</v>
      </c>
      <c r="T6456" s="29">
        <v>9.8800000000000008</v>
      </c>
    </row>
    <row r="6457" spans="19:20" x14ac:dyDescent="0.25">
      <c r="S6457" s="78">
        <v>33844</v>
      </c>
      <c r="T6457" s="29">
        <v>9.8800000000000008</v>
      </c>
    </row>
    <row r="6458" spans="19:20" x14ac:dyDescent="0.25">
      <c r="S6458" s="78">
        <v>33845</v>
      </c>
      <c r="T6458" s="29">
        <v>9.8800000000000008</v>
      </c>
    </row>
    <row r="6459" spans="19:20" x14ac:dyDescent="0.25">
      <c r="S6459" s="78">
        <v>33846</v>
      </c>
      <c r="T6459" s="29">
        <v>9.8800000000000008</v>
      </c>
    </row>
    <row r="6460" spans="19:20" x14ac:dyDescent="0.25">
      <c r="S6460" s="78">
        <v>33847</v>
      </c>
      <c r="T6460" s="29">
        <v>9.8800000000000008</v>
      </c>
    </row>
    <row r="6461" spans="19:20" x14ac:dyDescent="0.25">
      <c r="S6461" s="78">
        <v>33848</v>
      </c>
      <c r="T6461" s="29">
        <v>9.8800000000000008</v>
      </c>
    </row>
    <row r="6462" spans="19:20" x14ac:dyDescent="0.25">
      <c r="S6462" s="78">
        <v>33849</v>
      </c>
      <c r="T6462" s="29">
        <v>9.8800000000000008</v>
      </c>
    </row>
    <row r="6463" spans="19:20" x14ac:dyDescent="0.25">
      <c r="S6463" s="78">
        <v>33850</v>
      </c>
      <c r="T6463" s="29">
        <v>9.8800000000000008</v>
      </c>
    </row>
    <row r="6464" spans="19:20" x14ac:dyDescent="0.25">
      <c r="S6464" s="78">
        <v>33851</v>
      </c>
      <c r="T6464" s="29">
        <v>9.8800000000000008</v>
      </c>
    </row>
    <row r="6465" spans="19:20" x14ac:dyDescent="0.25">
      <c r="S6465" s="78">
        <v>33852</v>
      </c>
      <c r="T6465" s="29">
        <v>9.8800000000000008</v>
      </c>
    </row>
    <row r="6466" spans="19:20" x14ac:dyDescent="0.25">
      <c r="S6466" s="78">
        <v>33853</v>
      </c>
      <c r="T6466" s="29">
        <v>9.8800000000000008</v>
      </c>
    </row>
    <row r="6467" spans="19:20" x14ac:dyDescent="0.25">
      <c r="S6467" s="78">
        <v>33854</v>
      </c>
      <c r="T6467" s="29">
        <v>9.8800000000000008</v>
      </c>
    </row>
    <row r="6468" spans="19:20" x14ac:dyDescent="0.25">
      <c r="S6468" s="78">
        <v>33855</v>
      </c>
      <c r="T6468" s="29">
        <v>9.8800000000000008</v>
      </c>
    </row>
    <row r="6469" spans="19:20" x14ac:dyDescent="0.25">
      <c r="S6469" s="78">
        <v>33856</v>
      </c>
      <c r="T6469" s="29">
        <v>9.8800000000000008</v>
      </c>
    </row>
    <row r="6470" spans="19:20" x14ac:dyDescent="0.25">
      <c r="S6470" s="78">
        <v>33857</v>
      </c>
      <c r="T6470" s="29">
        <v>9.8800000000000008</v>
      </c>
    </row>
    <row r="6471" spans="19:20" x14ac:dyDescent="0.25">
      <c r="S6471" s="78">
        <v>33858</v>
      </c>
      <c r="T6471" s="29">
        <v>9.8800000000000008</v>
      </c>
    </row>
    <row r="6472" spans="19:20" x14ac:dyDescent="0.25">
      <c r="S6472" s="78">
        <v>33859</v>
      </c>
      <c r="T6472" s="29">
        <v>9.8800000000000008</v>
      </c>
    </row>
    <row r="6473" spans="19:20" x14ac:dyDescent="0.25">
      <c r="S6473" s="78">
        <v>33860</v>
      </c>
      <c r="T6473" s="29">
        <v>9.8800000000000008</v>
      </c>
    </row>
    <row r="6474" spans="19:20" x14ac:dyDescent="0.25">
      <c r="S6474" s="78">
        <v>33861</v>
      </c>
      <c r="T6474" s="29">
        <v>9.8800000000000008</v>
      </c>
    </row>
    <row r="6475" spans="19:20" x14ac:dyDescent="0.25">
      <c r="S6475" s="78">
        <v>33862</v>
      </c>
      <c r="T6475" s="29">
        <v>9.8800000000000008</v>
      </c>
    </row>
    <row r="6476" spans="19:20" x14ac:dyDescent="0.25">
      <c r="S6476" s="78">
        <v>33863</v>
      </c>
      <c r="T6476" s="29">
        <v>9.8800000000000008</v>
      </c>
    </row>
    <row r="6477" spans="19:20" x14ac:dyDescent="0.25">
      <c r="S6477" s="78">
        <v>33864</v>
      </c>
      <c r="T6477" s="29">
        <v>9.8800000000000008</v>
      </c>
    </row>
    <row r="6478" spans="19:20" x14ac:dyDescent="0.25">
      <c r="S6478" s="78">
        <v>33865</v>
      </c>
      <c r="T6478" s="29">
        <v>9.8800000000000008</v>
      </c>
    </row>
    <row r="6479" spans="19:20" x14ac:dyDescent="0.25">
      <c r="S6479" s="78">
        <v>33866</v>
      </c>
      <c r="T6479" s="29">
        <v>9.8800000000000008</v>
      </c>
    </row>
    <row r="6480" spans="19:20" x14ac:dyDescent="0.25">
      <c r="S6480" s="78">
        <v>33867</v>
      </c>
      <c r="T6480" s="29">
        <v>9.8800000000000008</v>
      </c>
    </row>
    <row r="6481" spans="19:21" x14ac:dyDescent="0.25">
      <c r="S6481" s="78">
        <v>33868</v>
      </c>
      <c r="T6481" s="29">
        <v>9.8800000000000008</v>
      </c>
    </row>
    <row r="6482" spans="19:21" x14ac:dyDescent="0.25">
      <c r="S6482" s="78">
        <v>33869</v>
      </c>
      <c r="T6482" s="29">
        <v>8.8800000000000008</v>
      </c>
    </row>
    <row r="6483" spans="19:21" x14ac:dyDescent="0.25">
      <c r="S6483" s="78">
        <v>33870</v>
      </c>
      <c r="T6483" s="29">
        <v>8.8800000000000008</v>
      </c>
    </row>
    <row r="6484" spans="19:21" x14ac:dyDescent="0.25">
      <c r="S6484" s="78">
        <v>33871</v>
      </c>
      <c r="T6484" s="29">
        <v>8.8800000000000008</v>
      </c>
    </row>
    <row r="6485" spans="19:21" x14ac:dyDescent="0.25">
      <c r="S6485" s="78">
        <v>33872</v>
      </c>
      <c r="T6485" s="29">
        <v>8.8800000000000008</v>
      </c>
    </row>
    <row r="6486" spans="19:21" x14ac:dyDescent="0.25">
      <c r="S6486" s="78">
        <v>33873</v>
      </c>
      <c r="T6486" s="29">
        <v>8.8800000000000008</v>
      </c>
    </row>
    <row r="6487" spans="19:21" x14ac:dyDescent="0.25">
      <c r="S6487" s="78">
        <v>33874</v>
      </c>
      <c r="T6487" s="29">
        <v>8.8800000000000008</v>
      </c>
    </row>
    <row r="6488" spans="19:21" x14ac:dyDescent="0.25">
      <c r="S6488" s="78">
        <v>33875</v>
      </c>
      <c r="T6488" s="29">
        <v>8.8800000000000008</v>
      </c>
    </row>
    <row r="6489" spans="19:21" x14ac:dyDescent="0.25">
      <c r="S6489" s="78">
        <v>33876</v>
      </c>
      <c r="T6489" s="29">
        <v>8.8800000000000008</v>
      </c>
      <c r="U6489" s="40"/>
    </row>
    <row r="6490" spans="19:21" x14ac:dyDescent="0.25">
      <c r="S6490" s="78">
        <v>33877</v>
      </c>
      <c r="T6490" s="29">
        <v>8.8800000000000008</v>
      </c>
      <c r="U6490" s="40">
        <f>AVERAGE(T6399:T6490)</f>
        <v>9.7821739130434757</v>
      </c>
    </row>
    <row r="6491" spans="19:21" x14ac:dyDescent="0.25">
      <c r="S6491" s="78">
        <v>33878</v>
      </c>
      <c r="T6491" s="29">
        <v>8.8800000000000008</v>
      </c>
    </row>
    <row r="6492" spans="19:21" x14ac:dyDescent="0.25">
      <c r="S6492" s="78">
        <v>33879</v>
      </c>
      <c r="T6492" s="29">
        <v>8.8800000000000008</v>
      </c>
    </row>
    <row r="6493" spans="19:21" x14ac:dyDescent="0.25">
      <c r="S6493" s="78">
        <v>33880</v>
      </c>
      <c r="T6493" s="29">
        <v>8.8800000000000008</v>
      </c>
    </row>
    <row r="6494" spans="19:21" x14ac:dyDescent="0.25">
      <c r="S6494" s="78">
        <v>33881</v>
      </c>
      <c r="T6494" s="29">
        <v>8.8800000000000008</v>
      </c>
    </row>
    <row r="6495" spans="19:21" x14ac:dyDescent="0.25">
      <c r="S6495" s="78">
        <v>33882</v>
      </c>
      <c r="T6495" s="29">
        <v>8.8800000000000008</v>
      </c>
    </row>
    <row r="6496" spans="19:21" x14ac:dyDescent="0.25">
      <c r="S6496" s="78">
        <v>33883</v>
      </c>
      <c r="T6496" s="29">
        <v>8.8800000000000008</v>
      </c>
    </row>
    <row r="6497" spans="19:20" x14ac:dyDescent="0.25">
      <c r="S6497" s="78">
        <v>33884</v>
      </c>
      <c r="T6497" s="29">
        <v>8.8800000000000008</v>
      </c>
    </row>
    <row r="6498" spans="19:20" x14ac:dyDescent="0.25">
      <c r="S6498" s="78">
        <v>33885</v>
      </c>
      <c r="T6498" s="29">
        <v>8.8800000000000008</v>
      </c>
    </row>
    <row r="6499" spans="19:20" x14ac:dyDescent="0.25">
      <c r="S6499" s="78">
        <v>33886</v>
      </c>
      <c r="T6499" s="29">
        <v>8.8800000000000008</v>
      </c>
    </row>
    <row r="6500" spans="19:20" x14ac:dyDescent="0.25">
      <c r="S6500" s="78">
        <v>33887</v>
      </c>
      <c r="T6500" s="29">
        <v>8.8800000000000008</v>
      </c>
    </row>
    <row r="6501" spans="19:20" x14ac:dyDescent="0.25">
      <c r="S6501" s="78">
        <v>33888</v>
      </c>
      <c r="T6501" s="29">
        <v>8.8800000000000008</v>
      </c>
    </row>
    <row r="6502" spans="19:20" x14ac:dyDescent="0.25">
      <c r="S6502" s="78">
        <v>33889</v>
      </c>
      <c r="T6502" s="29">
        <v>8.8800000000000008</v>
      </c>
    </row>
    <row r="6503" spans="19:20" x14ac:dyDescent="0.25">
      <c r="S6503" s="78">
        <v>33890</v>
      </c>
      <c r="T6503" s="29">
        <v>8.8800000000000008</v>
      </c>
    </row>
    <row r="6504" spans="19:20" x14ac:dyDescent="0.25">
      <c r="S6504" s="78">
        <v>33891</v>
      </c>
      <c r="T6504" s="29">
        <v>8.8800000000000008</v>
      </c>
    </row>
    <row r="6505" spans="19:20" x14ac:dyDescent="0.25">
      <c r="S6505" s="78">
        <v>33892</v>
      </c>
      <c r="T6505" s="29">
        <v>8.8800000000000008</v>
      </c>
    </row>
    <row r="6506" spans="19:20" x14ac:dyDescent="0.25">
      <c r="S6506" s="78">
        <v>33893</v>
      </c>
      <c r="T6506" s="29">
        <v>7.88</v>
      </c>
    </row>
    <row r="6507" spans="19:20" x14ac:dyDescent="0.25">
      <c r="S6507" s="78">
        <v>33894</v>
      </c>
      <c r="T6507" s="29">
        <v>7.88</v>
      </c>
    </row>
    <row r="6508" spans="19:20" x14ac:dyDescent="0.25">
      <c r="S6508" s="78">
        <v>33895</v>
      </c>
      <c r="T6508" s="29">
        <v>7.88</v>
      </c>
    </row>
    <row r="6509" spans="19:20" x14ac:dyDescent="0.25">
      <c r="S6509" s="78">
        <v>33896</v>
      </c>
      <c r="T6509" s="29">
        <v>7.88</v>
      </c>
    </row>
    <row r="6510" spans="19:20" x14ac:dyDescent="0.25">
      <c r="S6510" s="78">
        <v>33897</v>
      </c>
      <c r="T6510" s="29">
        <v>7.88</v>
      </c>
    </row>
    <row r="6511" spans="19:20" x14ac:dyDescent="0.25">
      <c r="S6511" s="78">
        <v>33898</v>
      </c>
      <c r="T6511" s="29">
        <v>7.88</v>
      </c>
    </row>
    <row r="6512" spans="19:20" x14ac:dyDescent="0.25">
      <c r="S6512" s="78">
        <v>33899</v>
      </c>
      <c r="T6512" s="29">
        <v>7.88</v>
      </c>
    </row>
    <row r="6513" spans="19:20" x14ac:dyDescent="0.25">
      <c r="S6513" s="78">
        <v>33900</v>
      </c>
      <c r="T6513" s="29">
        <v>7.88</v>
      </c>
    </row>
    <row r="6514" spans="19:20" x14ac:dyDescent="0.25">
      <c r="S6514" s="78">
        <v>33901</v>
      </c>
      <c r="T6514" s="29">
        <v>7.88</v>
      </c>
    </row>
    <row r="6515" spans="19:20" x14ac:dyDescent="0.25">
      <c r="S6515" s="78">
        <v>33902</v>
      </c>
      <c r="T6515" s="29">
        <v>7.88</v>
      </c>
    </row>
    <row r="6516" spans="19:20" x14ac:dyDescent="0.25">
      <c r="S6516" s="78">
        <v>33903</v>
      </c>
      <c r="T6516" s="29">
        <v>7.88</v>
      </c>
    </row>
    <row r="6517" spans="19:20" x14ac:dyDescent="0.25">
      <c r="S6517" s="78">
        <v>33904</v>
      </c>
      <c r="T6517" s="29">
        <v>7.88</v>
      </c>
    </row>
    <row r="6518" spans="19:20" x14ac:dyDescent="0.25">
      <c r="S6518" s="78">
        <v>33905</v>
      </c>
      <c r="T6518" s="29">
        <v>7.88</v>
      </c>
    </row>
    <row r="6519" spans="19:20" x14ac:dyDescent="0.25">
      <c r="S6519" s="78">
        <v>33906</v>
      </c>
      <c r="T6519" s="29">
        <v>7.88</v>
      </c>
    </row>
    <row r="6520" spans="19:20" x14ac:dyDescent="0.25">
      <c r="S6520" s="78">
        <v>33907</v>
      </c>
      <c r="T6520" s="29">
        <v>7.88</v>
      </c>
    </row>
    <row r="6521" spans="19:20" x14ac:dyDescent="0.25">
      <c r="S6521" s="78">
        <v>33908</v>
      </c>
      <c r="T6521" s="29">
        <v>7.88</v>
      </c>
    </row>
    <row r="6522" spans="19:20" x14ac:dyDescent="0.25">
      <c r="S6522" s="78">
        <v>33909</v>
      </c>
      <c r="T6522" s="29">
        <v>7.88</v>
      </c>
    </row>
    <row r="6523" spans="19:20" x14ac:dyDescent="0.25">
      <c r="S6523" s="78">
        <v>33910</v>
      </c>
      <c r="T6523" s="29">
        <v>7.88</v>
      </c>
    </row>
    <row r="6524" spans="19:20" x14ac:dyDescent="0.25">
      <c r="S6524" s="78">
        <v>33911</v>
      </c>
      <c r="T6524" s="29">
        <v>7.88</v>
      </c>
    </row>
    <row r="6525" spans="19:20" x14ac:dyDescent="0.25">
      <c r="S6525" s="78">
        <v>33912</v>
      </c>
      <c r="T6525" s="29">
        <v>7.88</v>
      </c>
    </row>
    <row r="6526" spans="19:20" x14ac:dyDescent="0.25">
      <c r="S6526" s="78">
        <v>33913</v>
      </c>
      <c r="T6526" s="29">
        <v>7.88</v>
      </c>
    </row>
    <row r="6527" spans="19:20" x14ac:dyDescent="0.25">
      <c r="S6527" s="78">
        <v>33914</v>
      </c>
      <c r="T6527" s="29">
        <v>7.88</v>
      </c>
    </row>
    <row r="6528" spans="19:20" x14ac:dyDescent="0.25">
      <c r="S6528" s="78">
        <v>33915</v>
      </c>
      <c r="T6528" s="29">
        <v>7.88</v>
      </c>
    </row>
    <row r="6529" spans="19:20" x14ac:dyDescent="0.25">
      <c r="S6529" s="78">
        <v>33916</v>
      </c>
      <c r="T6529" s="29">
        <v>7.88</v>
      </c>
    </row>
    <row r="6530" spans="19:20" x14ac:dyDescent="0.25">
      <c r="S6530" s="78">
        <v>33917</v>
      </c>
      <c r="T6530" s="29">
        <v>7.88</v>
      </c>
    </row>
    <row r="6531" spans="19:20" x14ac:dyDescent="0.25">
      <c r="S6531" s="78">
        <v>33918</v>
      </c>
      <c r="T6531" s="29">
        <v>7.88</v>
      </c>
    </row>
    <row r="6532" spans="19:20" x14ac:dyDescent="0.25">
      <c r="S6532" s="78">
        <v>33919</v>
      </c>
      <c r="T6532" s="29">
        <v>7.88</v>
      </c>
    </row>
    <row r="6533" spans="19:20" x14ac:dyDescent="0.25">
      <c r="S6533" s="78">
        <v>33920</v>
      </c>
      <c r="T6533" s="29">
        <v>7.88</v>
      </c>
    </row>
    <row r="6534" spans="19:20" x14ac:dyDescent="0.25">
      <c r="S6534" s="78">
        <v>33921</v>
      </c>
      <c r="T6534" s="29">
        <v>6.88</v>
      </c>
    </row>
    <row r="6535" spans="19:20" x14ac:dyDescent="0.25">
      <c r="S6535" s="78">
        <v>33922</v>
      </c>
      <c r="T6535" s="29">
        <v>6.88</v>
      </c>
    </row>
    <row r="6536" spans="19:20" x14ac:dyDescent="0.25">
      <c r="S6536" s="78">
        <v>33923</v>
      </c>
      <c r="T6536" s="29">
        <v>6.88</v>
      </c>
    </row>
    <row r="6537" spans="19:20" x14ac:dyDescent="0.25">
      <c r="S6537" s="78">
        <v>33924</v>
      </c>
      <c r="T6537" s="29">
        <v>6.88</v>
      </c>
    </row>
    <row r="6538" spans="19:20" x14ac:dyDescent="0.25">
      <c r="S6538" s="78">
        <v>33925</v>
      </c>
      <c r="T6538" s="29">
        <v>6.88</v>
      </c>
    </row>
    <row r="6539" spans="19:20" x14ac:dyDescent="0.25">
      <c r="S6539" s="78">
        <v>33926</v>
      </c>
      <c r="T6539" s="29">
        <v>6.88</v>
      </c>
    </row>
    <row r="6540" spans="19:20" x14ac:dyDescent="0.25">
      <c r="S6540" s="78">
        <v>33927</v>
      </c>
      <c r="T6540" s="29">
        <v>6.88</v>
      </c>
    </row>
    <row r="6541" spans="19:20" x14ac:dyDescent="0.25">
      <c r="S6541" s="78">
        <v>33928</v>
      </c>
      <c r="T6541" s="29">
        <v>6.88</v>
      </c>
    </row>
    <row r="6542" spans="19:20" x14ac:dyDescent="0.25">
      <c r="S6542" s="78">
        <v>33929</v>
      </c>
      <c r="T6542" s="29">
        <v>6.88</v>
      </c>
    </row>
    <row r="6543" spans="19:20" x14ac:dyDescent="0.25">
      <c r="S6543" s="78">
        <v>33930</v>
      </c>
      <c r="T6543" s="29">
        <v>6.88</v>
      </c>
    </row>
    <row r="6544" spans="19:20" x14ac:dyDescent="0.25">
      <c r="S6544" s="78">
        <v>33931</v>
      </c>
      <c r="T6544" s="29">
        <v>6.88</v>
      </c>
    </row>
    <row r="6545" spans="19:20" x14ac:dyDescent="0.25">
      <c r="S6545" s="78">
        <v>33932</v>
      </c>
      <c r="T6545" s="29">
        <v>6.88</v>
      </c>
    </row>
    <row r="6546" spans="19:20" x14ac:dyDescent="0.25">
      <c r="S6546" s="78">
        <v>33933</v>
      </c>
      <c r="T6546" s="29">
        <v>6.88</v>
      </c>
    </row>
    <row r="6547" spans="19:20" x14ac:dyDescent="0.25">
      <c r="S6547" s="78">
        <v>33934</v>
      </c>
      <c r="T6547" s="29">
        <v>6.88</v>
      </c>
    </row>
    <row r="6548" spans="19:20" x14ac:dyDescent="0.25">
      <c r="S6548" s="78">
        <v>33935</v>
      </c>
      <c r="T6548" s="29">
        <v>6.88</v>
      </c>
    </row>
    <row r="6549" spans="19:20" x14ac:dyDescent="0.25">
      <c r="S6549" s="78">
        <v>33936</v>
      </c>
      <c r="T6549" s="29">
        <v>6.88</v>
      </c>
    </row>
    <row r="6550" spans="19:20" x14ac:dyDescent="0.25">
      <c r="S6550" s="78">
        <v>33937</v>
      </c>
      <c r="T6550" s="29">
        <v>6.88</v>
      </c>
    </row>
    <row r="6551" spans="19:20" x14ac:dyDescent="0.25">
      <c r="S6551" s="78">
        <v>33938</v>
      </c>
      <c r="T6551" s="29">
        <v>6.88</v>
      </c>
    </row>
    <row r="6552" spans="19:20" x14ac:dyDescent="0.25">
      <c r="S6552" s="78">
        <v>33939</v>
      </c>
      <c r="T6552" s="29">
        <v>6.88</v>
      </c>
    </row>
    <row r="6553" spans="19:20" x14ac:dyDescent="0.25">
      <c r="S6553" s="78">
        <v>33940</v>
      </c>
      <c r="T6553" s="29">
        <v>6.88</v>
      </c>
    </row>
    <row r="6554" spans="19:20" x14ac:dyDescent="0.25">
      <c r="S6554" s="78">
        <v>33941</v>
      </c>
      <c r="T6554" s="29">
        <v>6.88</v>
      </c>
    </row>
    <row r="6555" spans="19:20" x14ac:dyDescent="0.25">
      <c r="S6555" s="78">
        <v>33942</v>
      </c>
      <c r="T6555" s="29">
        <v>6.88</v>
      </c>
    </row>
    <row r="6556" spans="19:20" x14ac:dyDescent="0.25">
      <c r="S6556" s="78">
        <v>33943</v>
      </c>
      <c r="T6556" s="29">
        <v>6.88</v>
      </c>
    </row>
    <row r="6557" spans="19:20" x14ac:dyDescent="0.25">
      <c r="S6557" s="78">
        <v>33944</v>
      </c>
      <c r="T6557" s="29">
        <v>6.88</v>
      </c>
    </row>
    <row r="6558" spans="19:20" x14ac:dyDescent="0.25">
      <c r="S6558" s="78">
        <v>33945</v>
      </c>
      <c r="T6558" s="29">
        <v>6.88</v>
      </c>
    </row>
    <row r="6559" spans="19:20" x14ac:dyDescent="0.25">
      <c r="S6559" s="78">
        <v>33946</v>
      </c>
      <c r="T6559" s="29">
        <v>6.88</v>
      </c>
    </row>
    <row r="6560" spans="19:20" x14ac:dyDescent="0.25">
      <c r="S6560" s="78">
        <v>33947</v>
      </c>
      <c r="T6560" s="29">
        <v>6.88</v>
      </c>
    </row>
    <row r="6561" spans="19:20" x14ac:dyDescent="0.25">
      <c r="S6561" s="78">
        <v>33948</v>
      </c>
      <c r="T6561" s="29">
        <v>6.88</v>
      </c>
    </row>
    <row r="6562" spans="19:20" x14ac:dyDescent="0.25">
      <c r="S6562" s="78">
        <v>33949</v>
      </c>
      <c r="T6562" s="29">
        <v>6.88</v>
      </c>
    </row>
    <row r="6563" spans="19:20" x14ac:dyDescent="0.25">
      <c r="S6563" s="78">
        <v>33950</v>
      </c>
      <c r="T6563" s="29">
        <v>6.88</v>
      </c>
    </row>
    <row r="6564" spans="19:20" x14ac:dyDescent="0.25">
      <c r="S6564" s="78">
        <v>33951</v>
      </c>
      <c r="T6564" s="29">
        <v>6.88</v>
      </c>
    </row>
    <row r="6565" spans="19:20" x14ac:dyDescent="0.25">
      <c r="S6565" s="78">
        <v>33952</v>
      </c>
      <c r="T6565" s="29">
        <v>6.88</v>
      </c>
    </row>
    <row r="6566" spans="19:20" x14ac:dyDescent="0.25">
      <c r="S6566" s="78">
        <v>33953</v>
      </c>
      <c r="T6566" s="29">
        <v>6.88</v>
      </c>
    </row>
    <row r="6567" spans="19:20" x14ac:dyDescent="0.25">
      <c r="S6567" s="78">
        <v>33954</v>
      </c>
      <c r="T6567" s="29">
        <v>6.88</v>
      </c>
    </row>
    <row r="6568" spans="19:20" x14ac:dyDescent="0.25">
      <c r="S6568" s="78">
        <v>33955</v>
      </c>
      <c r="T6568" s="29">
        <v>6.88</v>
      </c>
    </row>
    <row r="6569" spans="19:20" x14ac:dyDescent="0.25">
      <c r="S6569" s="78">
        <v>33956</v>
      </c>
      <c r="T6569" s="29">
        <v>6.88</v>
      </c>
    </row>
    <row r="6570" spans="19:20" x14ac:dyDescent="0.25">
      <c r="S6570" s="78">
        <v>33957</v>
      </c>
      <c r="T6570" s="29">
        <v>6.88</v>
      </c>
    </row>
    <row r="6571" spans="19:20" x14ac:dyDescent="0.25">
      <c r="S6571" s="78">
        <v>33958</v>
      </c>
      <c r="T6571" s="29">
        <v>6.88</v>
      </c>
    </row>
    <row r="6572" spans="19:20" x14ac:dyDescent="0.25">
      <c r="S6572" s="78">
        <v>33959</v>
      </c>
      <c r="T6572" s="29">
        <v>6.88</v>
      </c>
    </row>
    <row r="6573" spans="19:20" x14ac:dyDescent="0.25">
      <c r="S6573" s="78">
        <v>33960</v>
      </c>
      <c r="T6573" s="29">
        <v>6.88</v>
      </c>
    </row>
    <row r="6574" spans="19:20" x14ac:dyDescent="0.25">
      <c r="S6574" s="78">
        <v>33961</v>
      </c>
      <c r="T6574" s="29">
        <v>6.88</v>
      </c>
    </row>
    <row r="6575" spans="19:20" x14ac:dyDescent="0.25">
      <c r="S6575" s="78">
        <v>33962</v>
      </c>
      <c r="T6575" s="29">
        <v>6.88</v>
      </c>
    </row>
    <row r="6576" spans="19:20" x14ac:dyDescent="0.25">
      <c r="S6576" s="78">
        <v>33963</v>
      </c>
      <c r="T6576" s="29">
        <v>6.88</v>
      </c>
    </row>
    <row r="6577" spans="19:21" x14ac:dyDescent="0.25">
      <c r="S6577" s="78">
        <v>33964</v>
      </c>
      <c r="T6577" s="29">
        <v>6.88</v>
      </c>
    </row>
    <row r="6578" spans="19:21" x14ac:dyDescent="0.25">
      <c r="S6578" s="78">
        <v>33965</v>
      </c>
      <c r="T6578" s="29">
        <v>6.88</v>
      </c>
    </row>
    <row r="6579" spans="19:21" x14ac:dyDescent="0.25">
      <c r="S6579" s="78">
        <v>33966</v>
      </c>
      <c r="T6579" s="29">
        <v>6.88</v>
      </c>
    </row>
    <row r="6580" spans="19:21" x14ac:dyDescent="0.25">
      <c r="S6580" s="78">
        <v>33967</v>
      </c>
      <c r="T6580" s="29">
        <v>6.88</v>
      </c>
    </row>
    <row r="6581" spans="19:21" x14ac:dyDescent="0.25">
      <c r="S6581" s="78">
        <v>33968</v>
      </c>
      <c r="T6581" s="29">
        <v>6.88</v>
      </c>
      <c r="U6581" s="40"/>
    </row>
    <row r="6582" spans="19:21" x14ac:dyDescent="0.25">
      <c r="S6582" s="78">
        <v>33969</v>
      </c>
      <c r="T6582" s="29">
        <v>6.88</v>
      </c>
      <c r="U6582" s="40">
        <f>AVERAGE(T6491:T6582)</f>
        <v>7.5104347826086926</v>
      </c>
    </row>
    <row r="6583" spans="19:21" x14ac:dyDescent="0.25">
      <c r="S6583" s="78">
        <v>33970</v>
      </c>
      <c r="T6583" s="29">
        <v>6.88</v>
      </c>
    </row>
    <row r="6584" spans="19:21" x14ac:dyDescent="0.25">
      <c r="S6584" s="78">
        <v>33971</v>
      </c>
      <c r="T6584" s="29">
        <v>6.88</v>
      </c>
    </row>
    <row r="6585" spans="19:21" x14ac:dyDescent="0.25">
      <c r="S6585" s="78">
        <v>33972</v>
      </c>
      <c r="T6585" s="29">
        <v>6.88</v>
      </c>
    </row>
    <row r="6586" spans="19:21" x14ac:dyDescent="0.25">
      <c r="S6586" s="78">
        <v>33973</v>
      </c>
      <c r="T6586" s="29">
        <v>6.88</v>
      </c>
    </row>
    <row r="6587" spans="19:21" x14ac:dyDescent="0.25">
      <c r="S6587" s="78">
        <v>33974</v>
      </c>
      <c r="T6587" s="29">
        <v>6.88</v>
      </c>
    </row>
    <row r="6588" spans="19:21" x14ac:dyDescent="0.25">
      <c r="S6588" s="78">
        <v>33975</v>
      </c>
      <c r="T6588" s="29">
        <v>6.88</v>
      </c>
    </row>
    <row r="6589" spans="19:21" x14ac:dyDescent="0.25">
      <c r="S6589" s="78">
        <v>33976</v>
      </c>
      <c r="T6589" s="29">
        <v>6.88</v>
      </c>
    </row>
    <row r="6590" spans="19:21" x14ac:dyDescent="0.25">
      <c r="S6590" s="78">
        <v>33977</v>
      </c>
      <c r="T6590" s="29">
        <v>6.88</v>
      </c>
    </row>
    <row r="6591" spans="19:21" x14ac:dyDescent="0.25">
      <c r="S6591" s="78">
        <v>33978</v>
      </c>
      <c r="T6591" s="29">
        <v>6.88</v>
      </c>
    </row>
    <row r="6592" spans="19:21" x14ac:dyDescent="0.25">
      <c r="S6592" s="78">
        <v>33979</v>
      </c>
      <c r="T6592" s="29">
        <v>6.88</v>
      </c>
    </row>
    <row r="6593" spans="19:20" x14ac:dyDescent="0.25">
      <c r="S6593" s="78">
        <v>33980</v>
      </c>
      <c r="T6593" s="29">
        <v>6.88</v>
      </c>
    </row>
    <row r="6594" spans="19:20" x14ac:dyDescent="0.25">
      <c r="S6594" s="78">
        <v>33981</v>
      </c>
      <c r="T6594" s="29">
        <v>6.88</v>
      </c>
    </row>
    <row r="6595" spans="19:20" x14ac:dyDescent="0.25">
      <c r="S6595" s="78">
        <v>33982</v>
      </c>
      <c r="T6595" s="29">
        <v>6.88</v>
      </c>
    </row>
    <row r="6596" spans="19:20" x14ac:dyDescent="0.25">
      <c r="S6596" s="78">
        <v>33983</v>
      </c>
      <c r="T6596" s="29">
        <v>6.88</v>
      </c>
    </row>
    <row r="6597" spans="19:20" x14ac:dyDescent="0.25">
      <c r="S6597" s="78">
        <v>33984</v>
      </c>
      <c r="T6597" s="29">
        <v>6.88</v>
      </c>
    </row>
    <row r="6598" spans="19:20" x14ac:dyDescent="0.25">
      <c r="S6598" s="78">
        <v>33985</v>
      </c>
      <c r="T6598" s="29">
        <v>6.88</v>
      </c>
    </row>
    <row r="6599" spans="19:20" x14ac:dyDescent="0.25">
      <c r="S6599" s="78">
        <v>33986</v>
      </c>
      <c r="T6599" s="29">
        <v>6.88</v>
      </c>
    </row>
    <row r="6600" spans="19:20" x14ac:dyDescent="0.25">
      <c r="S6600" s="78">
        <v>33987</v>
      </c>
      <c r="T6600" s="29">
        <v>6.88</v>
      </c>
    </row>
    <row r="6601" spans="19:20" x14ac:dyDescent="0.25">
      <c r="S6601" s="78">
        <v>33988</v>
      </c>
      <c r="T6601" s="29">
        <v>6.88</v>
      </c>
    </row>
    <row r="6602" spans="19:20" x14ac:dyDescent="0.25">
      <c r="S6602" s="78">
        <v>33989</v>
      </c>
      <c r="T6602" s="29">
        <v>6.88</v>
      </c>
    </row>
    <row r="6603" spans="19:20" x14ac:dyDescent="0.25">
      <c r="S6603" s="78">
        <v>33990</v>
      </c>
      <c r="T6603" s="29">
        <v>6.88</v>
      </c>
    </row>
    <row r="6604" spans="19:20" x14ac:dyDescent="0.25">
      <c r="S6604" s="78">
        <v>33991</v>
      </c>
      <c r="T6604" s="29">
        <v>6.88</v>
      </c>
    </row>
    <row r="6605" spans="19:20" x14ac:dyDescent="0.25">
      <c r="S6605" s="78">
        <v>33992</v>
      </c>
      <c r="T6605" s="29">
        <v>6.88</v>
      </c>
    </row>
    <row r="6606" spans="19:20" x14ac:dyDescent="0.25">
      <c r="S6606" s="78">
        <v>33993</v>
      </c>
      <c r="T6606" s="29">
        <v>6.88</v>
      </c>
    </row>
    <row r="6607" spans="19:20" x14ac:dyDescent="0.25">
      <c r="S6607" s="78">
        <v>33994</v>
      </c>
      <c r="T6607" s="29">
        <v>6.88</v>
      </c>
    </row>
    <row r="6608" spans="19:20" x14ac:dyDescent="0.25">
      <c r="S6608" s="78">
        <v>33995</v>
      </c>
      <c r="T6608" s="29">
        <v>5.88</v>
      </c>
    </row>
    <row r="6609" spans="19:20" x14ac:dyDescent="0.25">
      <c r="S6609" s="78">
        <v>33996</v>
      </c>
      <c r="T6609" s="29">
        <v>5.88</v>
      </c>
    </row>
    <row r="6610" spans="19:20" x14ac:dyDescent="0.25">
      <c r="S6610" s="78">
        <v>33997</v>
      </c>
      <c r="T6610" s="29">
        <v>5.88</v>
      </c>
    </row>
    <row r="6611" spans="19:20" x14ac:dyDescent="0.25">
      <c r="S6611" s="78">
        <v>33998</v>
      </c>
      <c r="T6611" s="29">
        <v>5.88</v>
      </c>
    </row>
    <row r="6612" spans="19:20" x14ac:dyDescent="0.25">
      <c r="S6612" s="78">
        <v>33999</v>
      </c>
      <c r="T6612" s="29">
        <v>5.88</v>
      </c>
    </row>
    <row r="6613" spans="19:20" x14ac:dyDescent="0.25">
      <c r="S6613" s="78">
        <v>34000</v>
      </c>
      <c r="T6613" s="29">
        <v>5.88</v>
      </c>
    </row>
    <row r="6614" spans="19:20" x14ac:dyDescent="0.25">
      <c r="S6614" s="78">
        <v>34001</v>
      </c>
      <c r="T6614" s="29">
        <v>5.88</v>
      </c>
    </row>
    <row r="6615" spans="19:20" x14ac:dyDescent="0.25">
      <c r="S6615" s="78">
        <v>34002</v>
      </c>
      <c r="T6615" s="29">
        <v>5.88</v>
      </c>
    </row>
    <row r="6616" spans="19:20" x14ac:dyDescent="0.25">
      <c r="S6616" s="78">
        <v>34003</v>
      </c>
      <c r="T6616" s="29">
        <v>5.88</v>
      </c>
    </row>
    <row r="6617" spans="19:20" x14ac:dyDescent="0.25">
      <c r="S6617" s="78">
        <v>34004</v>
      </c>
      <c r="T6617" s="29">
        <v>5.88</v>
      </c>
    </row>
    <row r="6618" spans="19:20" x14ac:dyDescent="0.25">
      <c r="S6618" s="78">
        <v>34005</v>
      </c>
      <c r="T6618" s="29">
        <v>5.88</v>
      </c>
    </row>
    <row r="6619" spans="19:20" x14ac:dyDescent="0.25">
      <c r="S6619" s="78">
        <v>34006</v>
      </c>
      <c r="T6619" s="29">
        <v>5.88</v>
      </c>
    </row>
    <row r="6620" spans="19:20" x14ac:dyDescent="0.25">
      <c r="S6620" s="78">
        <v>34007</v>
      </c>
      <c r="T6620" s="29">
        <v>5.88</v>
      </c>
    </row>
    <row r="6621" spans="19:20" x14ac:dyDescent="0.25">
      <c r="S6621" s="78">
        <v>34008</v>
      </c>
      <c r="T6621" s="29">
        <v>5.88</v>
      </c>
    </row>
    <row r="6622" spans="19:20" x14ac:dyDescent="0.25">
      <c r="S6622" s="78">
        <v>34009</v>
      </c>
      <c r="T6622" s="29">
        <v>5.88</v>
      </c>
    </row>
    <row r="6623" spans="19:20" x14ac:dyDescent="0.25">
      <c r="S6623" s="78">
        <v>34010</v>
      </c>
      <c r="T6623" s="29">
        <v>5.88</v>
      </c>
    </row>
    <row r="6624" spans="19:20" x14ac:dyDescent="0.25">
      <c r="S6624" s="78">
        <v>34011</v>
      </c>
      <c r="T6624" s="29">
        <v>5.88</v>
      </c>
    </row>
    <row r="6625" spans="19:20" x14ac:dyDescent="0.25">
      <c r="S6625" s="78">
        <v>34012</v>
      </c>
      <c r="T6625" s="29">
        <v>5.88</v>
      </c>
    </row>
    <row r="6626" spans="19:20" x14ac:dyDescent="0.25">
      <c r="S6626" s="78">
        <v>34013</v>
      </c>
      <c r="T6626" s="29">
        <v>5.88</v>
      </c>
    </row>
    <row r="6627" spans="19:20" x14ac:dyDescent="0.25">
      <c r="S6627" s="78">
        <v>34014</v>
      </c>
      <c r="T6627" s="29">
        <v>5.88</v>
      </c>
    </row>
    <row r="6628" spans="19:20" x14ac:dyDescent="0.25">
      <c r="S6628" s="78">
        <v>34015</v>
      </c>
      <c r="T6628" s="29">
        <v>5.88</v>
      </c>
    </row>
    <row r="6629" spans="19:20" x14ac:dyDescent="0.25">
      <c r="S6629" s="78">
        <v>34016</v>
      </c>
      <c r="T6629" s="29">
        <v>5.88</v>
      </c>
    </row>
    <row r="6630" spans="19:20" x14ac:dyDescent="0.25">
      <c r="S6630" s="78">
        <v>34017</v>
      </c>
      <c r="T6630" s="29">
        <v>5.88</v>
      </c>
    </row>
    <row r="6631" spans="19:20" x14ac:dyDescent="0.25">
      <c r="S6631" s="78">
        <v>34018</v>
      </c>
      <c r="T6631" s="29">
        <v>5.88</v>
      </c>
    </row>
    <row r="6632" spans="19:20" x14ac:dyDescent="0.25">
      <c r="S6632" s="78">
        <v>34019</v>
      </c>
      <c r="T6632" s="29">
        <v>5.88</v>
      </c>
    </row>
    <row r="6633" spans="19:20" x14ac:dyDescent="0.25">
      <c r="S6633" s="78">
        <v>34020</v>
      </c>
      <c r="T6633" s="29">
        <v>5.88</v>
      </c>
    </row>
    <row r="6634" spans="19:20" x14ac:dyDescent="0.25">
      <c r="S6634" s="78">
        <v>34021</v>
      </c>
      <c r="T6634" s="29">
        <v>5.88</v>
      </c>
    </row>
    <row r="6635" spans="19:20" x14ac:dyDescent="0.25">
      <c r="S6635" s="78">
        <v>34022</v>
      </c>
      <c r="T6635" s="29">
        <v>5.88</v>
      </c>
    </row>
    <row r="6636" spans="19:20" x14ac:dyDescent="0.25">
      <c r="S6636" s="78">
        <v>34023</v>
      </c>
      <c r="T6636" s="29">
        <v>5.88</v>
      </c>
    </row>
    <row r="6637" spans="19:20" x14ac:dyDescent="0.25">
      <c r="S6637" s="78">
        <v>34024</v>
      </c>
      <c r="T6637" s="29">
        <v>5.88</v>
      </c>
    </row>
    <row r="6638" spans="19:20" x14ac:dyDescent="0.25">
      <c r="S6638" s="78">
        <v>34025</v>
      </c>
      <c r="T6638" s="29">
        <v>5.88</v>
      </c>
    </row>
    <row r="6639" spans="19:20" x14ac:dyDescent="0.25">
      <c r="S6639" s="78">
        <v>34026</v>
      </c>
      <c r="T6639" s="29">
        <v>5.88</v>
      </c>
    </row>
    <row r="6640" spans="19:20" x14ac:dyDescent="0.25">
      <c r="S6640" s="78">
        <v>34027</v>
      </c>
      <c r="T6640" s="29">
        <v>5.88</v>
      </c>
    </row>
    <row r="6641" spans="19:20" x14ac:dyDescent="0.25">
      <c r="S6641" s="78">
        <v>34028</v>
      </c>
      <c r="T6641" s="29">
        <v>5.88</v>
      </c>
    </row>
    <row r="6642" spans="19:20" x14ac:dyDescent="0.25">
      <c r="S6642" s="78">
        <v>34029</v>
      </c>
      <c r="T6642" s="29">
        <v>5.88</v>
      </c>
    </row>
    <row r="6643" spans="19:20" x14ac:dyDescent="0.25">
      <c r="S6643" s="78">
        <v>34030</v>
      </c>
      <c r="T6643" s="29">
        <v>5.88</v>
      </c>
    </row>
    <row r="6644" spans="19:20" x14ac:dyDescent="0.25">
      <c r="S6644" s="78">
        <v>34031</v>
      </c>
      <c r="T6644" s="29">
        <v>5.88</v>
      </c>
    </row>
    <row r="6645" spans="19:20" x14ac:dyDescent="0.25">
      <c r="S6645" s="78">
        <v>34032</v>
      </c>
      <c r="T6645" s="29">
        <v>5.88</v>
      </c>
    </row>
    <row r="6646" spans="19:20" x14ac:dyDescent="0.25">
      <c r="S6646" s="78">
        <v>34033</v>
      </c>
      <c r="T6646" s="29">
        <v>5.88</v>
      </c>
    </row>
    <row r="6647" spans="19:20" x14ac:dyDescent="0.25">
      <c r="S6647" s="78">
        <v>34034</v>
      </c>
      <c r="T6647" s="29">
        <v>5.88</v>
      </c>
    </row>
    <row r="6648" spans="19:20" x14ac:dyDescent="0.25">
      <c r="S6648" s="78">
        <v>34035</v>
      </c>
      <c r="T6648" s="29">
        <v>5.88</v>
      </c>
    </row>
    <row r="6649" spans="19:20" x14ac:dyDescent="0.25">
      <c r="S6649" s="78">
        <v>34036</v>
      </c>
      <c r="T6649" s="29">
        <v>5.88</v>
      </c>
    </row>
    <row r="6650" spans="19:20" x14ac:dyDescent="0.25">
      <c r="S6650" s="78">
        <v>34037</v>
      </c>
      <c r="T6650" s="29">
        <v>5.88</v>
      </c>
    </row>
    <row r="6651" spans="19:20" x14ac:dyDescent="0.25">
      <c r="S6651" s="78">
        <v>34038</v>
      </c>
      <c r="T6651" s="29">
        <v>5.88</v>
      </c>
    </row>
    <row r="6652" spans="19:20" x14ac:dyDescent="0.25">
      <c r="S6652" s="78">
        <v>34039</v>
      </c>
      <c r="T6652" s="29">
        <v>5.88</v>
      </c>
    </row>
    <row r="6653" spans="19:20" x14ac:dyDescent="0.25">
      <c r="S6653" s="78">
        <v>34040</v>
      </c>
      <c r="T6653" s="29">
        <v>5.88</v>
      </c>
    </row>
    <row r="6654" spans="19:20" x14ac:dyDescent="0.25">
      <c r="S6654" s="78">
        <v>34041</v>
      </c>
      <c r="T6654" s="29">
        <v>5.88</v>
      </c>
    </row>
    <row r="6655" spans="19:20" x14ac:dyDescent="0.25">
      <c r="S6655" s="78">
        <v>34042</v>
      </c>
      <c r="T6655" s="29">
        <v>5.88</v>
      </c>
    </row>
    <row r="6656" spans="19:20" x14ac:dyDescent="0.25">
      <c r="S6656" s="78">
        <v>34043</v>
      </c>
      <c r="T6656" s="29">
        <v>5.88</v>
      </c>
    </row>
    <row r="6657" spans="19:21" x14ac:dyDescent="0.25">
      <c r="S6657" s="78">
        <v>34044</v>
      </c>
      <c r="T6657" s="29">
        <v>5.88</v>
      </c>
    </row>
    <row r="6658" spans="19:21" x14ac:dyDescent="0.25">
      <c r="S6658" s="78">
        <v>34045</v>
      </c>
      <c r="T6658" s="29">
        <v>5.88</v>
      </c>
    </row>
    <row r="6659" spans="19:21" x14ac:dyDescent="0.25">
      <c r="S6659" s="78">
        <v>34046</v>
      </c>
      <c r="T6659" s="29">
        <v>5.88</v>
      </c>
    </row>
    <row r="6660" spans="19:21" x14ac:dyDescent="0.25">
      <c r="S6660" s="78">
        <v>34047</v>
      </c>
      <c r="T6660" s="29">
        <v>5.88</v>
      </c>
    </row>
    <row r="6661" spans="19:21" x14ac:dyDescent="0.25">
      <c r="S6661" s="78">
        <v>34048</v>
      </c>
      <c r="T6661" s="29">
        <v>5.88</v>
      </c>
    </row>
    <row r="6662" spans="19:21" x14ac:dyDescent="0.25">
      <c r="S6662" s="78">
        <v>34049</v>
      </c>
      <c r="T6662" s="29">
        <v>5.88</v>
      </c>
    </row>
    <row r="6663" spans="19:21" x14ac:dyDescent="0.25">
      <c r="S6663" s="78">
        <v>34050</v>
      </c>
      <c r="T6663" s="29">
        <v>5.88</v>
      </c>
    </row>
    <row r="6664" spans="19:21" x14ac:dyDescent="0.25">
      <c r="S6664" s="78">
        <v>34051</v>
      </c>
      <c r="T6664" s="29">
        <v>5.88</v>
      </c>
    </row>
    <row r="6665" spans="19:21" x14ac:dyDescent="0.25">
      <c r="S6665" s="78">
        <v>34052</v>
      </c>
      <c r="T6665" s="29">
        <v>5.88</v>
      </c>
    </row>
    <row r="6666" spans="19:21" x14ac:dyDescent="0.25">
      <c r="S6666" s="78">
        <v>34053</v>
      </c>
      <c r="T6666" s="29">
        <v>5.88</v>
      </c>
    </row>
    <row r="6667" spans="19:21" x14ac:dyDescent="0.25">
      <c r="S6667" s="78">
        <v>34054</v>
      </c>
      <c r="T6667" s="29">
        <v>5.88</v>
      </c>
    </row>
    <row r="6668" spans="19:21" x14ac:dyDescent="0.25">
      <c r="S6668" s="78">
        <v>34055</v>
      </c>
      <c r="T6668" s="29">
        <v>5.88</v>
      </c>
    </row>
    <row r="6669" spans="19:21" x14ac:dyDescent="0.25">
      <c r="S6669" s="78">
        <v>34056</v>
      </c>
      <c r="T6669" s="29">
        <v>5.88</v>
      </c>
    </row>
    <row r="6670" spans="19:21" x14ac:dyDescent="0.25">
      <c r="S6670" s="78">
        <v>34057</v>
      </c>
      <c r="T6670" s="29">
        <v>5.88</v>
      </c>
    </row>
    <row r="6671" spans="19:21" x14ac:dyDescent="0.25">
      <c r="S6671" s="78">
        <v>34058</v>
      </c>
      <c r="T6671" s="29">
        <v>5.88</v>
      </c>
    </row>
    <row r="6672" spans="19:21" x14ac:dyDescent="0.25">
      <c r="S6672" s="78">
        <v>34059</v>
      </c>
      <c r="T6672" s="29">
        <v>5.88</v>
      </c>
      <c r="U6672" s="39">
        <f>AVERAGE(T6583:T6672)</f>
        <v>6.1577777777777749</v>
      </c>
    </row>
    <row r="6673" spans="19:20" x14ac:dyDescent="0.25">
      <c r="S6673" s="78">
        <v>34060</v>
      </c>
      <c r="T6673" s="29">
        <v>5.88</v>
      </c>
    </row>
    <row r="6674" spans="19:20" x14ac:dyDescent="0.25">
      <c r="S6674" s="78">
        <v>34061</v>
      </c>
      <c r="T6674" s="29">
        <v>5.88</v>
      </c>
    </row>
    <row r="6675" spans="19:20" x14ac:dyDescent="0.25">
      <c r="S6675" s="78">
        <v>34062</v>
      </c>
      <c r="T6675" s="29">
        <v>5.88</v>
      </c>
    </row>
    <row r="6676" spans="19:20" x14ac:dyDescent="0.25">
      <c r="S6676" s="78">
        <v>34063</v>
      </c>
      <c r="T6676" s="29">
        <v>5.88</v>
      </c>
    </row>
    <row r="6677" spans="19:20" x14ac:dyDescent="0.25">
      <c r="S6677" s="78">
        <v>34064</v>
      </c>
      <c r="T6677" s="29">
        <v>5.88</v>
      </c>
    </row>
    <row r="6678" spans="19:20" x14ac:dyDescent="0.25">
      <c r="S6678" s="78">
        <v>34065</v>
      </c>
      <c r="T6678" s="29">
        <v>5.88</v>
      </c>
    </row>
    <row r="6679" spans="19:20" x14ac:dyDescent="0.25">
      <c r="S6679" s="78">
        <v>34066</v>
      </c>
      <c r="T6679" s="29">
        <v>5.88</v>
      </c>
    </row>
    <row r="6680" spans="19:20" x14ac:dyDescent="0.25">
      <c r="S6680" s="78">
        <v>34067</v>
      </c>
      <c r="T6680" s="29">
        <v>5.88</v>
      </c>
    </row>
    <row r="6681" spans="19:20" x14ac:dyDescent="0.25">
      <c r="S6681" s="78">
        <v>34068</v>
      </c>
      <c r="T6681" s="29">
        <v>5.88</v>
      </c>
    </row>
    <row r="6682" spans="19:20" x14ac:dyDescent="0.25">
      <c r="S6682" s="78">
        <v>34069</v>
      </c>
      <c r="T6682" s="29">
        <v>5.88</v>
      </c>
    </row>
    <row r="6683" spans="19:20" x14ac:dyDescent="0.25">
      <c r="S6683" s="78">
        <v>34070</v>
      </c>
      <c r="T6683" s="29">
        <v>5.88</v>
      </c>
    </row>
    <row r="6684" spans="19:20" x14ac:dyDescent="0.25">
      <c r="S6684" s="78">
        <v>34071</v>
      </c>
      <c r="T6684" s="29">
        <v>5.88</v>
      </c>
    </row>
    <row r="6685" spans="19:20" x14ac:dyDescent="0.25">
      <c r="S6685" s="78">
        <v>34072</v>
      </c>
      <c r="T6685" s="29">
        <v>5.88</v>
      </c>
    </row>
    <row r="6686" spans="19:20" x14ac:dyDescent="0.25">
      <c r="S6686" s="78">
        <v>34073</v>
      </c>
      <c r="T6686" s="29">
        <v>5.88</v>
      </c>
    </row>
    <row r="6687" spans="19:20" x14ac:dyDescent="0.25">
      <c r="S6687" s="78">
        <v>34074</v>
      </c>
      <c r="T6687" s="29">
        <v>5.88</v>
      </c>
    </row>
    <row r="6688" spans="19:20" x14ac:dyDescent="0.25">
      <c r="S6688" s="78">
        <v>34075</v>
      </c>
      <c r="T6688" s="29">
        <v>5.88</v>
      </c>
    </row>
    <row r="6689" spans="19:20" x14ac:dyDescent="0.25">
      <c r="S6689" s="78">
        <v>34076</v>
      </c>
      <c r="T6689" s="29">
        <v>5.88</v>
      </c>
    </row>
    <row r="6690" spans="19:20" x14ac:dyDescent="0.25">
      <c r="S6690" s="78">
        <v>34077</v>
      </c>
      <c r="T6690" s="29">
        <v>5.88</v>
      </c>
    </row>
    <row r="6691" spans="19:20" x14ac:dyDescent="0.25">
      <c r="S6691" s="78">
        <v>34078</v>
      </c>
      <c r="T6691" s="29">
        <v>5.88</v>
      </c>
    </row>
    <row r="6692" spans="19:20" x14ac:dyDescent="0.25">
      <c r="S6692" s="78">
        <v>34079</v>
      </c>
      <c r="T6692" s="29">
        <v>5.88</v>
      </c>
    </row>
    <row r="6693" spans="19:20" x14ac:dyDescent="0.25">
      <c r="S6693" s="78">
        <v>34080</v>
      </c>
      <c r="T6693" s="29">
        <v>5.88</v>
      </c>
    </row>
    <row r="6694" spans="19:20" x14ac:dyDescent="0.25">
      <c r="S6694" s="78">
        <v>34081</v>
      </c>
      <c r="T6694" s="29">
        <v>5.88</v>
      </c>
    </row>
    <row r="6695" spans="19:20" x14ac:dyDescent="0.25">
      <c r="S6695" s="78">
        <v>34082</v>
      </c>
      <c r="T6695" s="29">
        <v>5.88</v>
      </c>
    </row>
    <row r="6696" spans="19:20" x14ac:dyDescent="0.25">
      <c r="S6696" s="78">
        <v>34083</v>
      </c>
      <c r="T6696" s="29">
        <v>5.88</v>
      </c>
    </row>
    <row r="6697" spans="19:20" x14ac:dyDescent="0.25">
      <c r="S6697" s="78">
        <v>34084</v>
      </c>
      <c r="T6697" s="29">
        <v>5.88</v>
      </c>
    </row>
    <row r="6698" spans="19:20" x14ac:dyDescent="0.25">
      <c r="S6698" s="78">
        <v>34085</v>
      </c>
      <c r="T6698" s="29">
        <v>5.88</v>
      </c>
    </row>
    <row r="6699" spans="19:20" x14ac:dyDescent="0.25">
      <c r="S6699" s="78">
        <v>34086</v>
      </c>
      <c r="T6699" s="29">
        <v>5.88</v>
      </c>
    </row>
    <row r="6700" spans="19:20" x14ac:dyDescent="0.25">
      <c r="S6700" s="78">
        <v>34087</v>
      </c>
      <c r="T6700" s="29">
        <v>5.88</v>
      </c>
    </row>
    <row r="6701" spans="19:20" x14ac:dyDescent="0.25">
      <c r="S6701" s="78">
        <v>34088</v>
      </c>
      <c r="T6701" s="29">
        <v>5.88</v>
      </c>
    </row>
    <row r="6702" spans="19:20" x14ac:dyDescent="0.25">
      <c r="S6702" s="78">
        <v>34089</v>
      </c>
      <c r="T6702" s="29">
        <v>5.88</v>
      </c>
    </row>
    <row r="6703" spans="19:20" x14ac:dyDescent="0.25">
      <c r="S6703" s="78">
        <v>34090</v>
      </c>
      <c r="T6703" s="29">
        <v>5.88</v>
      </c>
    </row>
    <row r="6704" spans="19:20" x14ac:dyDescent="0.25">
      <c r="S6704" s="78">
        <v>34091</v>
      </c>
      <c r="T6704" s="29">
        <v>5.88</v>
      </c>
    </row>
    <row r="6705" spans="19:20" x14ac:dyDescent="0.25">
      <c r="S6705" s="78">
        <v>34092</v>
      </c>
      <c r="T6705" s="29">
        <v>5.88</v>
      </c>
    </row>
    <row r="6706" spans="19:20" x14ac:dyDescent="0.25">
      <c r="S6706" s="78">
        <v>34093</v>
      </c>
      <c r="T6706" s="29">
        <v>5.88</v>
      </c>
    </row>
    <row r="6707" spans="19:20" x14ac:dyDescent="0.25">
      <c r="S6707" s="78">
        <v>34094</v>
      </c>
      <c r="T6707" s="29">
        <v>5.88</v>
      </c>
    </row>
    <row r="6708" spans="19:20" x14ac:dyDescent="0.25">
      <c r="S6708" s="78">
        <v>34095</v>
      </c>
      <c r="T6708" s="29">
        <v>5.88</v>
      </c>
    </row>
    <row r="6709" spans="19:20" x14ac:dyDescent="0.25">
      <c r="S6709" s="78">
        <v>34096</v>
      </c>
      <c r="T6709" s="29">
        <v>5.88</v>
      </c>
    </row>
    <row r="6710" spans="19:20" x14ac:dyDescent="0.25">
      <c r="S6710" s="78">
        <v>34097</v>
      </c>
      <c r="T6710" s="29">
        <v>5.88</v>
      </c>
    </row>
    <row r="6711" spans="19:20" x14ac:dyDescent="0.25">
      <c r="S6711" s="78">
        <v>34098</v>
      </c>
      <c r="T6711" s="29">
        <v>5.88</v>
      </c>
    </row>
    <row r="6712" spans="19:20" x14ac:dyDescent="0.25">
      <c r="S6712" s="78">
        <v>34099</v>
      </c>
      <c r="T6712" s="29">
        <v>5.88</v>
      </c>
    </row>
    <row r="6713" spans="19:20" x14ac:dyDescent="0.25">
      <c r="S6713" s="78">
        <v>34100</v>
      </c>
      <c r="T6713" s="29">
        <v>5.88</v>
      </c>
    </row>
    <row r="6714" spans="19:20" x14ac:dyDescent="0.25">
      <c r="S6714" s="78">
        <v>34101</v>
      </c>
      <c r="T6714" s="29">
        <v>5.88</v>
      </c>
    </row>
    <row r="6715" spans="19:20" x14ac:dyDescent="0.25">
      <c r="S6715" s="78">
        <v>34102</v>
      </c>
      <c r="T6715" s="29">
        <v>5.88</v>
      </c>
    </row>
    <row r="6716" spans="19:20" x14ac:dyDescent="0.25">
      <c r="S6716" s="78">
        <v>34103</v>
      </c>
      <c r="T6716" s="29">
        <v>5.88</v>
      </c>
    </row>
    <row r="6717" spans="19:20" x14ac:dyDescent="0.25">
      <c r="S6717" s="78">
        <v>34104</v>
      </c>
      <c r="T6717" s="29">
        <v>5.88</v>
      </c>
    </row>
    <row r="6718" spans="19:20" x14ac:dyDescent="0.25">
      <c r="S6718" s="78">
        <v>34105</v>
      </c>
      <c r="T6718" s="29">
        <v>5.88</v>
      </c>
    </row>
    <row r="6719" spans="19:20" x14ac:dyDescent="0.25">
      <c r="S6719" s="78">
        <v>34106</v>
      </c>
      <c r="T6719" s="29">
        <v>5.88</v>
      </c>
    </row>
    <row r="6720" spans="19:20" x14ac:dyDescent="0.25">
      <c r="S6720" s="78">
        <v>34107</v>
      </c>
      <c r="T6720" s="29">
        <v>5.88</v>
      </c>
    </row>
    <row r="6721" spans="19:20" x14ac:dyDescent="0.25">
      <c r="S6721" s="78">
        <v>34108</v>
      </c>
      <c r="T6721" s="29">
        <v>5.88</v>
      </c>
    </row>
    <row r="6722" spans="19:20" x14ac:dyDescent="0.25">
      <c r="S6722" s="78">
        <v>34109</v>
      </c>
      <c r="T6722" s="29">
        <v>5.88</v>
      </c>
    </row>
    <row r="6723" spans="19:20" x14ac:dyDescent="0.25">
      <c r="S6723" s="78">
        <v>34110</v>
      </c>
      <c r="T6723" s="29">
        <v>5.88</v>
      </c>
    </row>
    <row r="6724" spans="19:20" x14ac:dyDescent="0.25">
      <c r="S6724" s="78">
        <v>34111</v>
      </c>
      <c r="T6724" s="29">
        <v>5.88</v>
      </c>
    </row>
    <row r="6725" spans="19:20" x14ac:dyDescent="0.25">
      <c r="S6725" s="78">
        <v>34112</v>
      </c>
      <c r="T6725" s="29">
        <v>5.88</v>
      </c>
    </row>
    <row r="6726" spans="19:20" x14ac:dyDescent="0.25">
      <c r="S6726" s="78">
        <v>34113</v>
      </c>
      <c r="T6726" s="29">
        <v>5.88</v>
      </c>
    </row>
    <row r="6727" spans="19:20" x14ac:dyDescent="0.25">
      <c r="S6727" s="78">
        <v>34114</v>
      </c>
      <c r="T6727" s="29">
        <v>5.88</v>
      </c>
    </row>
    <row r="6728" spans="19:20" x14ac:dyDescent="0.25">
      <c r="S6728" s="78">
        <v>34115</v>
      </c>
      <c r="T6728" s="29">
        <v>5.88</v>
      </c>
    </row>
    <row r="6729" spans="19:20" x14ac:dyDescent="0.25">
      <c r="S6729" s="78">
        <v>34116</v>
      </c>
      <c r="T6729" s="29">
        <v>5.88</v>
      </c>
    </row>
    <row r="6730" spans="19:20" x14ac:dyDescent="0.25">
      <c r="S6730" s="78">
        <v>34117</v>
      </c>
      <c r="T6730" s="29">
        <v>5.88</v>
      </c>
    </row>
    <row r="6731" spans="19:20" x14ac:dyDescent="0.25">
      <c r="S6731" s="78">
        <v>34118</v>
      </c>
      <c r="T6731" s="29">
        <v>5.88</v>
      </c>
    </row>
    <row r="6732" spans="19:20" x14ac:dyDescent="0.25">
      <c r="S6732" s="78">
        <v>34119</v>
      </c>
      <c r="T6732" s="29">
        <v>5.88</v>
      </c>
    </row>
    <row r="6733" spans="19:20" x14ac:dyDescent="0.25">
      <c r="S6733" s="78">
        <v>34120</v>
      </c>
      <c r="T6733" s="29">
        <v>5.88</v>
      </c>
    </row>
    <row r="6734" spans="19:20" x14ac:dyDescent="0.25">
      <c r="S6734" s="78">
        <v>34121</v>
      </c>
      <c r="T6734" s="29">
        <v>5.88</v>
      </c>
    </row>
    <row r="6735" spans="19:20" x14ac:dyDescent="0.25">
      <c r="S6735" s="78">
        <v>34122</v>
      </c>
      <c r="T6735" s="29">
        <v>5.88</v>
      </c>
    </row>
    <row r="6736" spans="19:20" x14ac:dyDescent="0.25">
      <c r="S6736" s="78">
        <v>34123</v>
      </c>
      <c r="T6736" s="29">
        <v>5.88</v>
      </c>
    </row>
    <row r="6737" spans="19:20" x14ac:dyDescent="0.25">
      <c r="S6737" s="78">
        <v>34124</v>
      </c>
      <c r="T6737" s="29">
        <v>5.88</v>
      </c>
    </row>
    <row r="6738" spans="19:20" x14ac:dyDescent="0.25">
      <c r="S6738" s="78">
        <v>34125</v>
      </c>
      <c r="T6738" s="29">
        <v>5.88</v>
      </c>
    </row>
    <row r="6739" spans="19:20" x14ac:dyDescent="0.25">
      <c r="S6739" s="78">
        <v>34126</v>
      </c>
      <c r="T6739" s="29">
        <v>5.88</v>
      </c>
    </row>
    <row r="6740" spans="19:20" x14ac:dyDescent="0.25">
      <c r="S6740" s="78">
        <v>34127</v>
      </c>
      <c r="T6740" s="29">
        <v>5.88</v>
      </c>
    </row>
    <row r="6741" spans="19:20" x14ac:dyDescent="0.25">
      <c r="S6741" s="78">
        <v>34128</v>
      </c>
      <c r="T6741" s="29">
        <v>5.88</v>
      </c>
    </row>
    <row r="6742" spans="19:20" x14ac:dyDescent="0.25">
      <c r="S6742" s="78">
        <v>34129</v>
      </c>
      <c r="T6742" s="29">
        <v>5.88</v>
      </c>
    </row>
    <row r="6743" spans="19:20" x14ac:dyDescent="0.25">
      <c r="S6743" s="78">
        <v>34130</v>
      </c>
      <c r="T6743" s="29">
        <v>5.88</v>
      </c>
    </row>
    <row r="6744" spans="19:20" x14ac:dyDescent="0.25">
      <c r="S6744" s="78">
        <v>34131</v>
      </c>
      <c r="T6744" s="29">
        <v>5.88</v>
      </c>
    </row>
    <row r="6745" spans="19:20" x14ac:dyDescent="0.25">
      <c r="S6745" s="78">
        <v>34132</v>
      </c>
      <c r="T6745" s="29">
        <v>5.88</v>
      </c>
    </row>
    <row r="6746" spans="19:20" x14ac:dyDescent="0.25">
      <c r="S6746" s="78">
        <v>34133</v>
      </c>
      <c r="T6746" s="29">
        <v>5.88</v>
      </c>
    </row>
    <row r="6747" spans="19:20" x14ac:dyDescent="0.25">
      <c r="S6747" s="78">
        <v>34134</v>
      </c>
      <c r="T6747" s="29">
        <v>5.88</v>
      </c>
    </row>
    <row r="6748" spans="19:20" x14ac:dyDescent="0.25">
      <c r="S6748" s="78">
        <v>34135</v>
      </c>
      <c r="T6748" s="29">
        <v>5.88</v>
      </c>
    </row>
    <row r="6749" spans="19:20" x14ac:dyDescent="0.25">
      <c r="S6749" s="78">
        <v>34136</v>
      </c>
      <c r="T6749" s="29">
        <v>5.88</v>
      </c>
    </row>
    <row r="6750" spans="19:20" x14ac:dyDescent="0.25">
      <c r="S6750" s="78">
        <v>34137</v>
      </c>
      <c r="T6750" s="29">
        <v>5.88</v>
      </c>
    </row>
    <row r="6751" spans="19:20" x14ac:dyDescent="0.25">
      <c r="S6751" s="78">
        <v>34138</v>
      </c>
      <c r="T6751" s="29">
        <v>5.88</v>
      </c>
    </row>
    <row r="6752" spans="19:20" x14ac:dyDescent="0.25">
      <c r="S6752" s="78">
        <v>34139</v>
      </c>
      <c r="T6752" s="29">
        <v>5.88</v>
      </c>
    </row>
    <row r="6753" spans="19:21" x14ac:dyDescent="0.25">
      <c r="S6753" s="78">
        <v>34140</v>
      </c>
      <c r="T6753" s="29">
        <v>5.88</v>
      </c>
    </row>
    <row r="6754" spans="19:21" x14ac:dyDescent="0.25">
      <c r="S6754" s="78">
        <v>34141</v>
      </c>
      <c r="T6754" s="29">
        <v>5.88</v>
      </c>
    </row>
    <row r="6755" spans="19:21" x14ac:dyDescent="0.25">
      <c r="S6755" s="78">
        <v>34142</v>
      </c>
      <c r="T6755" s="29">
        <v>5.88</v>
      </c>
    </row>
    <row r="6756" spans="19:21" x14ac:dyDescent="0.25">
      <c r="S6756" s="78">
        <v>34143</v>
      </c>
      <c r="T6756" s="29">
        <v>5.88</v>
      </c>
    </row>
    <row r="6757" spans="19:21" x14ac:dyDescent="0.25">
      <c r="S6757" s="78">
        <v>34144</v>
      </c>
      <c r="T6757" s="29">
        <v>5.88</v>
      </c>
    </row>
    <row r="6758" spans="19:21" x14ac:dyDescent="0.25">
      <c r="S6758" s="78">
        <v>34145</v>
      </c>
      <c r="T6758" s="29">
        <v>5.88</v>
      </c>
    </row>
    <row r="6759" spans="19:21" x14ac:dyDescent="0.25">
      <c r="S6759" s="78">
        <v>34146</v>
      </c>
      <c r="T6759" s="29">
        <v>5.88</v>
      </c>
    </row>
    <row r="6760" spans="19:21" x14ac:dyDescent="0.25">
      <c r="S6760" s="78">
        <v>34147</v>
      </c>
      <c r="T6760" s="29">
        <v>5.88</v>
      </c>
    </row>
    <row r="6761" spans="19:21" x14ac:dyDescent="0.25">
      <c r="S6761" s="78">
        <v>34148</v>
      </c>
      <c r="T6761" s="29">
        <v>5.88</v>
      </c>
    </row>
    <row r="6762" spans="19:21" x14ac:dyDescent="0.25">
      <c r="S6762" s="78">
        <v>34149</v>
      </c>
      <c r="T6762" s="29">
        <v>5.88</v>
      </c>
    </row>
    <row r="6763" spans="19:21" x14ac:dyDescent="0.25">
      <c r="S6763" s="78">
        <v>34150</v>
      </c>
      <c r="T6763" s="29">
        <v>5.88</v>
      </c>
      <c r="U6763" s="40">
        <f>AVERAGE(T6673:T6763)</f>
        <v>5.8799999999999963</v>
      </c>
    </row>
    <row r="6764" spans="19:21" x14ac:dyDescent="0.25">
      <c r="S6764" s="78">
        <v>34151</v>
      </c>
      <c r="T6764" s="29">
        <v>5.88</v>
      </c>
    </row>
    <row r="6765" spans="19:21" x14ac:dyDescent="0.25">
      <c r="S6765" s="78">
        <v>34152</v>
      </c>
      <c r="T6765" s="29">
        <v>5.88</v>
      </c>
    </row>
    <row r="6766" spans="19:21" x14ac:dyDescent="0.25">
      <c r="S6766" s="78">
        <v>34153</v>
      </c>
      <c r="T6766" s="29">
        <v>5.88</v>
      </c>
    </row>
    <row r="6767" spans="19:21" x14ac:dyDescent="0.25">
      <c r="S6767" s="78">
        <v>34154</v>
      </c>
      <c r="T6767" s="29">
        <v>5.88</v>
      </c>
    </row>
    <row r="6768" spans="19:21" x14ac:dyDescent="0.25">
      <c r="S6768" s="78">
        <v>34155</v>
      </c>
      <c r="T6768" s="29">
        <v>5.88</v>
      </c>
    </row>
    <row r="6769" spans="19:20" x14ac:dyDescent="0.25">
      <c r="S6769" s="78">
        <v>34156</v>
      </c>
      <c r="T6769" s="29">
        <v>5.88</v>
      </c>
    </row>
    <row r="6770" spans="19:20" x14ac:dyDescent="0.25">
      <c r="S6770" s="78">
        <v>34157</v>
      </c>
      <c r="T6770" s="29">
        <v>5.88</v>
      </c>
    </row>
    <row r="6771" spans="19:20" x14ac:dyDescent="0.25">
      <c r="S6771" s="78">
        <v>34158</v>
      </c>
      <c r="T6771" s="29">
        <v>5.88</v>
      </c>
    </row>
    <row r="6772" spans="19:20" x14ac:dyDescent="0.25">
      <c r="S6772" s="78">
        <v>34159</v>
      </c>
      <c r="T6772" s="29">
        <v>5.88</v>
      </c>
    </row>
    <row r="6773" spans="19:20" x14ac:dyDescent="0.25">
      <c r="S6773" s="78">
        <v>34160</v>
      </c>
      <c r="T6773" s="29">
        <v>5.88</v>
      </c>
    </row>
    <row r="6774" spans="19:20" x14ac:dyDescent="0.25">
      <c r="S6774" s="78">
        <v>34161</v>
      </c>
      <c r="T6774" s="29">
        <v>5.88</v>
      </c>
    </row>
    <row r="6775" spans="19:20" x14ac:dyDescent="0.25">
      <c r="S6775" s="78">
        <v>34162</v>
      </c>
      <c r="T6775" s="29">
        <v>5.88</v>
      </c>
    </row>
    <row r="6776" spans="19:20" x14ac:dyDescent="0.25">
      <c r="S6776" s="78">
        <v>34163</v>
      </c>
      <c r="T6776" s="29">
        <v>5.88</v>
      </c>
    </row>
    <row r="6777" spans="19:20" x14ac:dyDescent="0.25">
      <c r="S6777" s="78">
        <v>34164</v>
      </c>
      <c r="T6777" s="29">
        <v>5.88</v>
      </c>
    </row>
    <row r="6778" spans="19:20" x14ac:dyDescent="0.25">
      <c r="S6778" s="78">
        <v>34165</v>
      </c>
      <c r="T6778" s="29">
        <v>5.88</v>
      </c>
    </row>
    <row r="6779" spans="19:20" x14ac:dyDescent="0.25">
      <c r="S6779" s="78">
        <v>34166</v>
      </c>
      <c r="T6779" s="29">
        <v>5.88</v>
      </c>
    </row>
    <row r="6780" spans="19:20" x14ac:dyDescent="0.25">
      <c r="S6780" s="78">
        <v>34167</v>
      </c>
      <c r="T6780" s="29">
        <v>5.88</v>
      </c>
    </row>
    <row r="6781" spans="19:20" x14ac:dyDescent="0.25">
      <c r="S6781" s="78">
        <v>34168</v>
      </c>
      <c r="T6781" s="29">
        <v>5.88</v>
      </c>
    </row>
    <row r="6782" spans="19:20" x14ac:dyDescent="0.25">
      <c r="S6782" s="78">
        <v>34169</v>
      </c>
      <c r="T6782" s="29">
        <v>5.88</v>
      </c>
    </row>
    <row r="6783" spans="19:20" x14ac:dyDescent="0.25">
      <c r="S6783" s="78">
        <v>34170</v>
      </c>
      <c r="T6783" s="29">
        <v>5.88</v>
      </c>
    </row>
    <row r="6784" spans="19:20" x14ac:dyDescent="0.25">
      <c r="S6784" s="78">
        <v>34171</v>
      </c>
      <c r="T6784" s="29">
        <v>5.88</v>
      </c>
    </row>
    <row r="6785" spans="19:20" x14ac:dyDescent="0.25">
      <c r="S6785" s="78">
        <v>34172</v>
      </c>
      <c r="T6785" s="29">
        <v>5.88</v>
      </c>
    </row>
    <row r="6786" spans="19:20" x14ac:dyDescent="0.25">
      <c r="S6786" s="78">
        <v>34173</v>
      </c>
      <c r="T6786" s="29">
        <v>5.88</v>
      </c>
    </row>
    <row r="6787" spans="19:20" x14ac:dyDescent="0.25">
      <c r="S6787" s="78">
        <v>34174</v>
      </c>
      <c r="T6787" s="29">
        <v>5.88</v>
      </c>
    </row>
    <row r="6788" spans="19:20" x14ac:dyDescent="0.25">
      <c r="S6788" s="78">
        <v>34175</v>
      </c>
      <c r="T6788" s="29">
        <v>5.88</v>
      </c>
    </row>
    <row r="6789" spans="19:20" x14ac:dyDescent="0.25">
      <c r="S6789" s="78">
        <v>34176</v>
      </c>
      <c r="T6789" s="29">
        <v>5.88</v>
      </c>
    </row>
    <row r="6790" spans="19:20" x14ac:dyDescent="0.25">
      <c r="S6790" s="78">
        <v>34177</v>
      </c>
      <c r="T6790" s="29">
        <v>5.88</v>
      </c>
    </row>
    <row r="6791" spans="19:20" x14ac:dyDescent="0.25">
      <c r="S6791" s="78">
        <v>34178</v>
      </c>
      <c r="T6791" s="29">
        <v>5.88</v>
      </c>
    </row>
    <row r="6792" spans="19:20" x14ac:dyDescent="0.25">
      <c r="S6792" s="78">
        <v>34179</v>
      </c>
      <c r="T6792" s="29">
        <v>5.88</v>
      </c>
    </row>
    <row r="6793" spans="19:20" x14ac:dyDescent="0.25">
      <c r="S6793" s="78">
        <v>34180</v>
      </c>
      <c r="T6793" s="29">
        <v>5.88</v>
      </c>
    </row>
    <row r="6794" spans="19:20" x14ac:dyDescent="0.25">
      <c r="S6794" s="78">
        <v>34181</v>
      </c>
      <c r="T6794" s="29">
        <v>5.88</v>
      </c>
    </row>
    <row r="6795" spans="19:20" x14ac:dyDescent="0.25">
      <c r="S6795" s="78">
        <v>34182</v>
      </c>
      <c r="T6795" s="29">
        <v>5.88</v>
      </c>
    </row>
    <row r="6796" spans="19:20" x14ac:dyDescent="0.25">
      <c r="S6796" s="78">
        <v>34183</v>
      </c>
      <c r="T6796" s="29">
        <v>5.88</v>
      </c>
    </row>
    <row r="6797" spans="19:20" x14ac:dyDescent="0.25">
      <c r="S6797" s="78">
        <v>34184</v>
      </c>
      <c r="T6797" s="29">
        <v>5.88</v>
      </c>
    </row>
    <row r="6798" spans="19:20" x14ac:dyDescent="0.25">
      <c r="S6798" s="78">
        <v>34185</v>
      </c>
      <c r="T6798" s="29">
        <v>5.88</v>
      </c>
    </row>
    <row r="6799" spans="19:20" x14ac:dyDescent="0.25">
      <c r="S6799" s="78">
        <v>34186</v>
      </c>
      <c r="T6799" s="29">
        <v>5.88</v>
      </c>
    </row>
    <row r="6800" spans="19:20" x14ac:dyDescent="0.25">
      <c r="S6800" s="78">
        <v>34187</v>
      </c>
      <c r="T6800" s="29">
        <v>5.88</v>
      </c>
    </row>
    <row r="6801" spans="19:20" x14ac:dyDescent="0.25">
      <c r="S6801" s="78">
        <v>34188</v>
      </c>
      <c r="T6801" s="29">
        <v>5.88</v>
      </c>
    </row>
    <row r="6802" spans="19:20" x14ac:dyDescent="0.25">
      <c r="S6802" s="78">
        <v>34189</v>
      </c>
      <c r="T6802" s="29">
        <v>5.88</v>
      </c>
    </row>
    <row r="6803" spans="19:20" x14ac:dyDescent="0.25">
      <c r="S6803" s="78">
        <v>34190</v>
      </c>
      <c r="T6803" s="29">
        <v>5.88</v>
      </c>
    </row>
    <row r="6804" spans="19:20" x14ac:dyDescent="0.25">
      <c r="S6804" s="78">
        <v>34191</v>
      </c>
      <c r="T6804" s="29">
        <v>5.88</v>
      </c>
    </row>
    <row r="6805" spans="19:20" x14ac:dyDescent="0.25">
      <c r="S6805" s="78">
        <v>34192</v>
      </c>
      <c r="T6805" s="29">
        <v>5.88</v>
      </c>
    </row>
    <row r="6806" spans="19:20" x14ac:dyDescent="0.25">
      <c r="S6806" s="78">
        <v>34193</v>
      </c>
      <c r="T6806" s="29">
        <v>5.88</v>
      </c>
    </row>
    <row r="6807" spans="19:20" x14ac:dyDescent="0.25">
      <c r="S6807" s="78">
        <v>34194</v>
      </c>
      <c r="T6807" s="29">
        <v>5.88</v>
      </c>
    </row>
    <row r="6808" spans="19:20" x14ac:dyDescent="0.25">
      <c r="S6808" s="78">
        <v>34195</v>
      </c>
      <c r="T6808" s="29">
        <v>5.88</v>
      </c>
    </row>
    <row r="6809" spans="19:20" x14ac:dyDescent="0.25">
      <c r="S6809" s="78">
        <v>34196</v>
      </c>
      <c r="T6809" s="29">
        <v>5.88</v>
      </c>
    </row>
    <row r="6810" spans="19:20" x14ac:dyDescent="0.25">
      <c r="S6810" s="78">
        <v>34197</v>
      </c>
      <c r="T6810" s="29">
        <v>5.88</v>
      </c>
    </row>
    <row r="6811" spans="19:20" x14ac:dyDescent="0.25">
      <c r="S6811" s="78">
        <v>34198</v>
      </c>
      <c r="T6811" s="29">
        <v>5.88</v>
      </c>
    </row>
    <row r="6812" spans="19:20" x14ac:dyDescent="0.25">
      <c r="S6812" s="78">
        <v>34199</v>
      </c>
      <c r="T6812" s="29">
        <v>5.88</v>
      </c>
    </row>
    <row r="6813" spans="19:20" x14ac:dyDescent="0.25">
      <c r="S6813" s="78">
        <v>34200</v>
      </c>
      <c r="T6813" s="29">
        <v>5.88</v>
      </c>
    </row>
    <row r="6814" spans="19:20" x14ac:dyDescent="0.25">
      <c r="S6814" s="78">
        <v>34201</v>
      </c>
      <c r="T6814" s="29">
        <v>5.88</v>
      </c>
    </row>
    <row r="6815" spans="19:20" x14ac:dyDescent="0.25">
      <c r="S6815" s="78">
        <v>34202</v>
      </c>
      <c r="T6815" s="29">
        <v>5.88</v>
      </c>
    </row>
    <row r="6816" spans="19:20" x14ac:dyDescent="0.25">
      <c r="S6816" s="78">
        <v>34203</v>
      </c>
      <c r="T6816" s="29">
        <v>5.88</v>
      </c>
    </row>
    <row r="6817" spans="19:20" x14ac:dyDescent="0.25">
      <c r="S6817" s="78">
        <v>34204</v>
      </c>
      <c r="T6817" s="29">
        <v>5.88</v>
      </c>
    </row>
    <row r="6818" spans="19:20" x14ac:dyDescent="0.25">
      <c r="S6818" s="78">
        <v>34205</v>
      </c>
      <c r="T6818" s="29">
        <v>5.88</v>
      </c>
    </row>
    <row r="6819" spans="19:20" x14ac:dyDescent="0.25">
      <c r="S6819" s="78">
        <v>34206</v>
      </c>
      <c r="T6819" s="29">
        <v>5.88</v>
      </c>
    </row>
    <row r="6820" spans="19:20" x14ac:dyDescent="0.25">
      <c r="S6820" s="78">
        <v>34207</v>
      </c>
      <c r="T6820" s="29">
        <v>5.88</v>
      </c>
    </row>
    <row r="6821" spans="19:20" x14ac:dyDescent="0.25">
      <c r="S6821" s="78">
        <v>34208</v>
      </c>
      <c r="T6821" s="29">
        <v>5.88</v>
      </c>
    </row>
    <row r="6822" spans="19:20" x14ac:dyDescent="0.25">
      <c r="S6822" s="78">
        <v>34209</v>
      </c>
      <c r="T6822" s="29">
        <v>5.88</v>
      </c>
    </row>
    <row r="6823" spans="19:20" x14ac:dyDescent="0.25">
      <c r="S6823" s="78">
        <v>34210</v>
      </c>
      <c r="T6823" s="29">
        <v>5.88</v>
      </c>
    </row>
    <row r="6824" spans="19:20" x14ac:dyDescent="0.25">
      <c r="S6824" s="78">
        <v>34211</v>
      </c>
      <c r="T6824" s="29">
        <v>5.88</v>
      </c>
    </row>
    <row r="6825" spans="19:20" x14ac:dyDescent="0.25">
      <c r="S6825" s="78">
        <v>34212</v>
      </c>
      <c r="T6825" s="29">
        <v>5.88</v>
      </c>
    </row>
    <row r="6826" spans="19:20" x14ac:dyDescent="0.25">
      <c r="S6826" s="78">
        <v>34213</v>
      </c>
      <c r="T6826" s="29">
        <v>5.88</v>
      </c>
    </row>
    <row r="6827" spans="19:20" x14ac:dyDescent="0.25">
      <c r="S6827" s="78">
        <v>34214</v>
      </c>
      <c r="T6827" s="29">
        <v>5.88</v>
      </c>
    </row>
    <row r="6828" spans="19:20" x14ac:dyDescent="0.25">
      <c r="S6828" s="78">
        <v>34215</v>
      </c>
      <c r="T6828" s="29">
        <v>5.88</v>
      </c>
    </row>
    <row r="6829" spans="19:20" x14ac:dyDescent="0.25">
      <c r="S6829" s="78">
        <v>34216</v>
      </c>
      <c r="T6829" s="29">
        <v>5.88</v>
      </c>
    </row>
    <row r="6830" spans="19:20" x14ac:dyDescent="0.25">
      <c r="S6830" s="78">
        <v>34217</v>
      </c>
      <c r="T6830" s="29">
        <v>5.88</v>
      </c>
    </row>
    <row r="6831" spans="19:20" x14ac:dyDescent="0.25">
      <c r="S6831" s="78">
        <v>34218</v>
      </c>
      <c r="T6831" s="29">
        <v>5.88</v>
      </c>
    </row>
    <row r="6832" spans="19:20" x14ac:dyDescent="0.25">
      <c r="S6832" s="78">
        <v>34219</v>
      </c>
      <c r="T6832" s="29">
        <v>5.88</v>
      </c>
    </row>
    <row r="6833" spans="19:20" x14ac:dyDescent="0.25">
      <c r="S6833" s="78">
        <v>34220</v>
      </c>
      <c r="T6833" s="29">
        <v>5.88</v>
      </c>
    </row>
    <row r="6834" spans="19:20" x14ac:dyDescent="0.25">
      <c r="S6834" s="78">
        <v>34221</v>
      </c>
      <c r="T6834" s="29">
        <v>5.88</v>
      </c>
    </row>
    <row r="6835" spans="19:20" x14ac:dyDescent="0.25">
      <c r="S6835" s="78">
        <v>34222</v>
      </c>
      <c r="T6835" s="29">
        <v>5.88</v>
      </c>
    </row>
    <row r="6836" spans="19:20" x14ac:dyDescent="0.25">
      <c r="S6836" s="78">
        <v>34223</v>
      </c>
      <c r="T6836" s="29">
        <v>5.88</v>
      </c>
    </row>
    <row r="6837" spans="19:20" x14ac:dyDescent="0.25">
      <c r="S6837" s="78">
        <v>34224</v>
      </c>
      <c r="T6837" s="29">
        <v>5.88</v>
      </c>
    </row>
    <row r="6838" spans="19:20" x14ac:dyDescent="0.25">
      <c r="S6838" s="78">
        <v>34225</v>
      </c>
      <c r="T6838" s="29">
        <v>5.88</v>
      </c>
    </row>
    <row r="6839" spans="19:20" x14ac:dyDescent="0.25">
      <c r="S6839" s="78">
        <v>34226</v>
      </c>
      <c r="T6839" s="29">
        <v>5.88</v>
      </c>
    </row>
    <row r="6840" spans="19:20" x14ac:dyDescent="0.25">
      <c r="S6840" s="78">
        <v>34227</v>
      </c>
      <c r="T6840" s="29">
        <v>5.88</v>
      </c>
    </row>
    <row r="6841" spans="19:20" x14ac:dyDescent="0.25">
      <c r="S6841" s="78">
        <v>34228</v>
      </c>
      <c r="T6841" s="29">
        <v>5.88</v>
      </c>
    </row>
    <row r="6842" spans="19:20" x14ac:dyDescent="0.25">
      <c r="S6842" s="78">
        <v>34229</v>
      </c>
      <c r="T6842" s="29">
        <v>5.88</v>
      </c>
    </row>
    <row r="6843" spans="19:20" x14ac:dyDescent="0.25">
      <c r="S6843" s="78">
        <v>34230</v>
      </c>
      <c r="T6843" s="29">
        <v>5.88</v>
      </c>
    </row>
    <row r="6844" spans="19:20" x14ac:dyDescent="0.25">
      <c r="S6844" s="78">
        <v>34231</v>
      </c>
      <c r="T6844" s="29">
        <v>5.88</v>
      </c>
    </row>
    <row r="6845" spans="19:20" x14ac:dyDescent="0.25">
      <c r="S6845" s="78">
        <v>34232</v>
      </c>
      <c r="T6845" s="29">
        <v>5.88</v>
      </c>
    </row>
    <row r="6846" spans="19:20" x14ac:dyDescent="0.25">
      <c r="S6846" s="78">
        <v>34233</v>
      </c>
      <c r="T6846" s="29">
        <v>5.88</v>
      </c>
    </row>
    <row r="6847" spans="19:20" x14ac:dyDescent="0.25">
      <c r="S6847" s="78">
        <v>34234</v>
      </c>
      <c r="T6847" s="29">
        <v>5.88</v>
      </c>
    </row>
    <row r="6848" spans="19:20" x14ac:dyDescent="0.25">
      <c r="S6848" s="78">
        <v>34235</v>
      </c>
      <c r="T6848" s="29">
        <v>5.88</v>
      </c>
    </row>
    <row r="6849" spans="19:21" x14ac:dyDescent="0.25">
      <c r="S6849" s="78">
        <v>34236</v>
      </c>
      <c r="T6849" s="29">
        <v>5.88</v>
      </c>
    </row>
    <row r="6850" spans="19:21" x14ac:dyDescent="0.25">
      <c r="S6850" s="78">
        <v>34237</v>
      </c>
      <c r="T6850" s="29">
        <v>5.88</v>
      </c>
    </row>
    <row r="6851" spans="19:21" x14ac:dyDescent="0.25">
      <c r="S6851" s="78">
        <v>34238</v>
      </c>
      <c r="T6851" s="29">
        <v>5.88</v>
      </c>
    </row>
    <row r="6852" spans="19:21" x14ac:dyDescent="0.25">
      <c r="S6852" s="78">
        <v>34239</v>
      </c>
      <c r="T6852" s="29">
        <v>5.88</v>
      </c>
    </row>
    <row r="6853" spans="19:21" x14ac:dyDescent="0.25">
      <c r="S6853" s="78">
        <v>34240</v>
      </c>
      <c r="T6853" s="29">
        <v>5.88</v>
      </c>
    </row>
    <row r="6854" spans="19:21" x14ac:dyDescent="0.25">
      <c r="S6854" s="78">
        <v>34241</v>
      </c>
      <c r="T6854" s="29">
        <v>5.88</v>
      </c>
    </row>
    <row r="6855" spans="19:21" x14ac:dyDescent="0.25">
      <c r="S6855" s="78">
        <v>34242</v>
      </c>
      <c r="T6855" s="29">
        <v>5.88</v>
      </c>
      <c r="U6855" s="40">
        <f>AVERAGE(T6764:T6855)</f>
        <v>5.8799999999999963</v>
      </c>
    </row>
    <row r="6856" spans="19:21" x14ac:dyDescent="0.25">
      <c r="S6856" s="78">
        <v>34243</v>
      </c>
      <c r="T6856" s="29">
        <v>5.88</v>
      </c>
    </row>
    <row r="6857" spans="19:21" x14ac:dyDescent="0.25">
      <c r="S6857" s="78">
        <v>34244</v>
      </c>
      <c r="T6857" s="29">
        <v>5.88</v>
      </c>
    </row>
    <row r="6858" spans="19:21" x14ac:dyDescent="0.25">
      <c r="S6858" s="78">
        <v>34245</v>
      </c>
      <c r="T6858" s="29">
        <v>5.88</v>
      </c>
    </row>
    <row r="6859" spans="19:21" x14ac:dyDescent="0.25">
      <c r="S6859" s="78">
        <v>34246</v>
      </c>
      <c r="T6859" s="29">
        <v>5.88</v>
      </c>
    </row>
    <row r="6860" spans="19:21" x14ac:dyDescent="0.25">
      <c r="S6860" s="78">
        <v>34247</v>
      </c>
      <c r="T6860" s="29">
        <v>5.88</v>
      </c>
    </row>
    <row r="6861" spans="19:21" x14ac:dyDescent="0.25">
      <c r="S6861" s="78">
        <v>34248</v>
      </c>
      <c r="T6861" s="29">
        <v>5.88</v>
      </c>
    </row>
    <row r="6862" spans="19:21" x14ac:dyDescent="0.25">
      <c r="S6862" s="78">
        <v>34249</v>
      </c>
      <c r="T6862" s="29">
        <v>5.88</v>
      </c>
    </row>
    <row r="6863" spans="19:21" x14ac:dyDescent="0.25">
      <c r="S6863" s="78">
        <v>34250</v>
      </c>
      <c r="T6863" s="29">
        <v>5.88</v>
      </c>
    </row>
    <row r="6864" spans="19:21" x14ac:dyDescent="0.25">
      <c r="S6864" s="78">
        <v>34251</v>
      </c>
      <c r="T6864" s="29">
        <v>5.88</v>
      </c>
    </row>
    <row r="6865" spans="19:20" x14ac:dyDescent="0.25">
      <c r="S6865" s="78">
        <v>34252</v>
      </c>
      <c r="T6865" s="29">
        <v>5.88</v>
      </c>
    </row>
    <row r="6866" spans="19:20" x14ac:dyDescent="0.25">
      <c r="S6866" s="78">
        <v>34253</v>
      </c>
      <c r="T6866" s="29">
        <v>5.88</v>
      </c>
    </row>
    <row r="6867" spans="19:20" x14ac:dyDescent="0.25">
      <c r="S6867" s="78">
        <v>34254</v>
      </c>
      <c r="T6867" s="29">
        <v>5.88</v>
      </c>
    </row>
    <row r="6868" spans="19:20" x14ac:dyDescent="0.25">
      <c r="S6868" s="78">
        <v>34255</v>
      </c>
      <c r="T6868" s="29">
        <v>5.88</v>
      </c>
    </row>
    <row r="6869" spans="19:20" x14ac:dyDescent="0.25">
      <c r="S6869" s="78">
        <v>34256</v>
      </c>
      <c r="T6869" s="29">
        <v>5.88</v>
      </c>
    </row>
    <row r="6870" spans="19:20" x14ac:dyDescent="0.25">
      <c r="S6870" s="78">
        <v>34257</v>
      </c>
      <c r="T6870" s="29">
        <v>5.88</v>
      </c>
    </row>
    <row r="6871" spans="19:20" x14ac:dyDescent="0.25">
      <c r="S6871" s="78">
        <v>34258</v>
      </c>
      <c r="T6871" s="29">
        <v>5.88</v>
      </c>
    </row>
    <row r="6872" spans="19:20" x14ac:dyDescent="0.25">
      <c r="S6872" s="78">
        <v>34259</v>
      </c>
      <c r="T6872" s="29">
        <v>5.88</v>
      </c>
    </row>
    <row r="6873" spans="19:20" x14ac:dyDescent="0.25">
      <c r="S6873" s="78">
        <v>34260</v>
      </c>
      <c r="T6873" s="29">
        <v>5.88</v>
      </c>
    </row>
    <row r="6874" spans="19:20" x14ac:dyDescent="0.25">
      <c r="S6874" s="78">
        <v>34261</v>
      </c>
      <c r="T6874" s="29">
        <v>5.88</v>
      </c>
    </row>
    <row r="6875" spans="19:20" x14ac:dyDescent="0.25">
      <c r="S6875" s="78">
        <v>34262</v>
      </c>
      <c r="T6875" s="29">
        <v>5.88</v>
      </c>
    </row>
    <row r="6876" spans="19:20" x14ac:dyDescent="0.25">
      <c r="S6876" s="78">
        <v>34263</v>
      </c>
      <c r="T6876" s="29">
        <v>5.88</v>
      </c>
    </row>
    <row r="6877" spans="19:20" x14ac:dyDescent="0.25">
      <c r="S6877" s="78">
        <v>34264</v>
      </c>
      <c r="T6877" s="29">
        <v>5.88</v>
      </c>
    </row>
    <row r="6878" spans="19:20" x14ac:dyDescent="0.25">
      <c r="S6878" s="78">
        <v>34265</v>
      </c>
      <c r="T6878" s="29">
        <v>5.88</v>
      </c>
    </row>
    <row r="6879" spans="19:20" x14ac:dyDescent="0.25">
      <c r="S6879" s="78">
        <v>34266</v>
      </c>
      <c r="T6879" s="29">
        <v>5.88</v>
      </c>
    </row>
    <row r="6880" spans="19:20" x14ac:dyDescent="0.25">
      <c r="S6880" s="78">
        <v>34267</v>
      </c>
      <c r="T6880" s="29">
        <v>5.88</v>
      </c>
    </row>
    <row r="6881" spans="19:20" x14ac:dyDescent="0.25">
      <c r="S6881" s="78">
        <v>34268</v>
      </c>
      <c r="T6881" s="29">
        <v>5.88</v>
      </c>
    </row>
    <row r="6882" spans="19:20" x14ac:dyDescent="0.25">
      <c r="S6882" s="78">
        <v>34269</v>
      </c>
      <c r="T6882" s="29">
        <v>5.88</v>
      </c>
    </row>
    <row r="6883" spans="19:20" x14ac:dyDescent="0.25">
      <c r="S6883" s="78">
        <v>34270</v>
      </c>
      <c r="T6883" s="29">
        <v>5.88</v>
      </c>
    </row>
    <row r="6884" spans="19:20" x14ac:dyDescent="0.25">
      <c r="S6884" s="78">
        <v>34271</v>
      </c>
      <c r="T6884" s="29">
        <v>5.88</v>
      </c>
    </row>
    <row r="6885" spans="19:20" x14ac:dyDescent="0.25">
      <c r="S6885" s="78">
        <v>34272</v>
      </c>
      <c r="T6885" s="29">
        <v>5.88</v>
      </c>
    </row>
    <row r="6886" spans="19:20" x14ac:dyDescent="0.25">
      <c r="S6886" s="78">
        <v>34273</v>
      </c>
      <c r="T6886" s="29">
        <v>5.88</v>
      </c>
    </row>
    <row r="6887" spans="19:20" x14ac:dyDescent="0.25">
      <c r="S6887" s="78">
        <v>34274</v>
      </c>
      <c r="T6887" s="29">
        <v>5.88</v>
      </c>
    </row>
    <row r="6888" spans="19:20" x14ac:dyDescent="0.25">
      <c r="S6888" s="78">
        <v>34275</v>
      </c>
      <c r="T6888" s="29">
        <v>5.88</v>
      </c>
    </row>
    <row r="6889" spans="19:20" x14ac:dyDescent="0.25">
      <c r="S6889" s="78">
        <v>34276</v>
      </c>
      <c r="T6889" s="29">
        <v>5.88</v>
      </c>
    </row>
    <row r="6890" spans="19:20" x14ac:dyDescent="0.25">
      <c r="S6890" s="78">
        <v>34277</v>
      </c>
      <c r="T6890" s="29">
        <v>5.88</v>
      </c>
    </row>
    <row r="6891" spans="19:20" x14ac:dyDescent="0.25">
      <c r="S6891" s="78">
        <v>34278</v>
      </c>
      <c r="T6891" s="29">
        <v>5.88</v>
      </c>
    </row>
    <row r="6892" spans="19:20" x14ac:dyDescent="0.25">
      <c r="S6892" s="78">
        <v>34279</v>
      </c>
      <c r="T6892" s="29">
        <v>5.88</v>
      </c>
    </row>
    <row r="6893" spans="19:20" x14ac:dyDescent="0.25">
      <c r="S6893" s="78">
        <v>34280</v>
      </c>
      <c r="T6893" s="29">
        <v>5.88</v>
      </c>
    </row>
    <row r="6894" spans="19:20" x14ac:dyDescent="0.25">
      <c r="S6894" s="78">
        <v>34281</v>
      </c>
      <c r="T6894" s="29">
        <v>5.88</v>
      </c>
    </row>
    <row r="6895" spans="19:20" x14ac:dyDescent="0.25">
      <c r="S6895" s="78">
        <v>34282</v>
      </c>
      <c r="T6895" s="29">
        <v>5.88</v>
      </c>
    </row>
    <row r="6896" spans="19:20" x14ac:dyDescent="0.25">
      <c r="S6896" s="78">
        <v>34283</v>
      </c>
      <c r="T6896" s="29">
        <v>5.88</v>
      </c>
    </row>
    <row r="6897" spans="19:20" x14ac:dyDescent="0.25">
      <c r="S6897" s="78">
        <v>34284</v>
      </c>
      <c r="T6897" s="29">
        <v>5.88</v>
      </c>
    </row>
    <row r="6898" spans="19:20" x14ac:dyDescent="0.25">
      <c r="S6898" s="78">
        <v>34285</v>
      </c>
      <c r="T6898" s="29">
        <v>5.88</v>
      </c>
    </row>
    <row r="6899" spans="19:20" x14ac:dyDescent="0.25">
      <c r="S6899" s="78">
        <v>34286</v>
      </c>
      <c r="T6899" s="29">
        <v>5.88</v>
      </c>
    </row>
    <row r="6900" spans="19:20" x14ac:dyDescent="0.25">
      <c r="S6900" s="78">
        <v>34287</v>
      </c>
      <c r="T6900" s="29">
        <v>5.88</v>
      </c>
    </row>
    <row r="6901" spans="19:20" x14ac:dyDescent="0.25">
      <c r="S6901" s="78">
        <v>34288</v>
      </c>
      <c r="T6901" s="29">
        <v>5.88</v>
      </c>
    </row>
    <row r="6902" spans="19:20" x14ac:dyDescent="0.25">
      <c r="S6902" s="78">
        <v>34289</v>
      </c>
      <c r="T6902" s="29">
        <v>5.88</v>
      </c>
    </row>
    <row r="6903" spans="19:20" x14ac:dyDescent="0.25">
      <c r="S6903" s="78">
        <v>34290</v>
      </c>
      <c r="T6903" s="29">
        <v>5.88</v>
      </c>
    </row>
    <row r="6904" spans="19:20" x14ac:dyDescent="0.25">
      <c r="S6904" s="78">
        <v>34291</v>
      </c>
      <c r="T6904" s="29">
        <v>5.88</v>
      </c>
    </row>
    <row r="6905" spans="19:20" x14ac:dyDescent="0.25">
      <c r="S6905" s="78">
        <v>34292</v>
      </c>
      <c r="T6905" s="29">
        <v>5.88</v>
      </c>
    </row>
    <row r="6906" spans="19:20" x14ac:dyDescent="0.25">
      <c r="S6906" s="78">
        <v>34293</v>
      </c>
      <c r="T6906" s="29">
        <v>5.88</v>
      </c>
    </row>
    <row r="6907" spans="19:20" x14ac:dyDescent="0.25">
      <c r="S6907" s="78">
        <v>34294</v>
      </c>
      <c r="T6907" s="29">
        <v>5.88</v>
      </c>
    </row>
    <row r="6908" spans="19:20" x14ac:dyDescent="0.25">
      <c r="S6908" s="78">
        <v>34295</v>
      </c>
      <c r="T6908" s="29">
        <v>5.88</v>
      </c>
    </row>
    <row r="6909" spans="19:20" x14ac:dyDescent="0.25">
      <c r="S6909" s="78">
        <v>34296</v>
      </c>
      <c r="T6909" s="29">
        <v>5.38</v>
      </c>
    </row>
    <row r="6910" spans="19:20" x14ac:dyDescent="0.25">
      <c r="S6910" s="78">
        <v>34297</v>
      </c>
      <c r="T6910" s="29">
        <v>5.38</v>
      </c>
    </row>
    <row r="6911" spans="19:20" x14ac:dyDescent="0.25">
      <c r="S6911" s="78">
        <v>34298</v>
      </c>
      <c r="T6911" s="29">
        <v>5.38</v>
      </c>
    </row>
    <row r="6912" spans="19:20" x14ac:dyDescent="0.25">
      <c r="S6912" s="78">
        <v>34299</v>
      </c>
      <c r="T6912" s="29">
        <v>5.38</v>
      </c>
    </row>
    <row r="6913" spans="19:20" x14ac:dyDescent="0.25">
      <c r="S6913" s="78">
        <v>34300</v>
      </c>
      <c r="T6913" s="29">
        <v>5.38</v>
      </c>
    </row>
    <row r="6914" spans="19:20" x14ac:dyDescent="0.25">
      <c r="S6914" s="78">
        <v>34301</v>
      </c>
      <c r="T6914" s="29">
        <v>5.38</v>
      </c>
    </row>
    <row r="6915" spans="19:20" x14ac:dyDescent="0.25">
      <c r="S6915" s="78">
        <v>34302</v>
      </c>
      <c r="T6915" s="29">
        <v>5.38</v>
      </c>
    </row>
    <row r="6916" spans="19:20" x14ac:dyDescent="0.25">
      <c r="S6916" s="78">
        <v>34303</v>
      </c>
      <c r="T6916" s="29">
        <v>5.38</v>
      </c>
    </row>
    <row r="6917" spans="19:20" x14ac:dyDescent="0.25">
      <c r="S6917" s="78">
        <v>34304</v>
      </c>
      <c r="T6917" s="29">
        <v>5.38</v>
      </c>
    </row>
    <row r="6918" spans="19:20" x14ac:dyDescent="0.25">
      <c r="S6918" s="78">
        <v>34305</v>
      </c>
      <c r="T6918" s="29">
        <v>5.38</v>
      </c>
    </row>
    <row r="6919" spans="19:20" x14ac:dyDescent="0.25">
      <c r="S6919" s="78">
        <v>34306</v>
      </c>
      <c r="T6919" s="29">
        <v>5.38</v>
      </c>
    </row>
    <row r="6920" spans="19:20" x14ac:dyDescent="0.25">
      <c r="S6920" s="78">
        <v>34307</v>
      </c>
      <c r="T6920" s="29">
        <v>5.38</v>
      </c>
    </row>
    <row r="6921" spans="19:20" x14ac:dyDescent="0.25">
      <c r="S6921" s="78">
        <v>34308</v>
      </c>
      <c r="T6921" s="29">
        <v>5.38</v>
      </c>
    </row>
    <row r="6922" spans="19:20" x14ac:dyDescent="0.25">
      <c r="S6922" s="78">
        <v>34309</v>
      </c>
      <c r="T6922" s="29">
        <v>5.38</v>
      </c>
    </row>
    <row r="6923" spans="19:20" x14ac:dyDescent="0.25">
      <c r="S6923" s="78">
        <v>34310</v>
      </c>
      <c r="T6923" s="29">
        <v>5.38</v>
      </c>
    </row>
    <row r="6924" spans="19:20" x14ac:dyDescent="0.25">
      <c r="S6924" s="78">
        <v>34311</v>
      </c>
      <c r="T6924" s="29">
        <v>5.38</v>
      </c>
    </row>
    <row r="6925" spans="19:20" x14ac:dyDescent="0.25">
      <c r="S6925" s="78">
        <v>34312</v>
      </c>
      <c r="T6925" s="29">
        <v>5.38</v>
      </c>
    </row>
    <row r="6926" spans="19:20" x14ac:dyDescent="0.25">
      <c r="S6926" s="78">
        <v>34313</v>
      </c>
      <c r="T6926" s="29">
        <v>5.38</v>
      </c>
    </row>
    <row r="6927" spans="19:20" x14ac:dyDescent="0.25">
      <c r="S6927" s="78">
        <v>34314</v>
      </c>
      <c r="T6927" s="29">
        <v>5.38</v>
      </c>
    </row>
    <row r="6928" spans="19:20" x14ac:dyDescent="0.25">
      <c r="S6928" s="78">
        <v>34315</v>
      </c>
      <c r="T6928" s="29">
        <v>5.38</v>
      </c>
    </row>
    <row r="6929" spans="19:20" x14ac:dyDescent="0.25">
      <c r="S6929" s="78">
        <v>34316</v>
      </c>
      <c r="T6929" s="29">
        <v>5.38</v>
      </c>
    </row>
    <row r="6930" spans="19:20" x14ac:dyDescent="0.25">
      <c r="S6930" s="78">
        <v>34317</v>
      </c>
      <c r="T6930" s="29">
        <v>5.38</v>
      </c>
    </row>
    <row r="6931" spans="19:20" x14ac:dyDescent="0.25">
      <c r="S6931" s="78">
        <v>34318</v>
      </c>
      <c r="T6931" s="29">
        <v>5.38</v>
      </c>
    </row>
    <row r="6932" spans="19:20" x14ac:dyDescent="0.25">
      <c r="S6932" s="78">
        <v>34319</v>
      </c>
      <c r="T6932" s="29">
        <v>5.38</v>
      </c>
    </row>
    <row r="6933" spans="19:20" x14ac:dyDescent="0.25">
      <c r="S6933" s="78">
        <v>34320</v>
      </c>
      <c r="T6933" s="29">
        <v>5.38</v>
      </c>
    </row>
    <row r="6934" spans="19:20" x14ac:dyDescent="0.25">
      <c r="S6934" s="78">
        <v>34321</v>
      </c>
      <c r="T6934" s="29">
        <v>5.38</v>
      </c>
    </row>
    <row r="6935" spans="19:20" x14ac:dyDescent="0.25">
      <c r="S6935" s="78">
        <v>34322</v>
      </c>
      <c r="T6935" s="29">
        <v>5.38</v>
      </c>
    </row>
    <row r="6936" spans="19:20" x14ac:dyDescent="0.25">
      <c r="S6936" s="78">
        <v>34323</v>
      </c>
      <c r="T6936" s="29">
        <v>5.38</v>
      </c>
    </row>
    <row r="6937" spans="19:20" x14ac:dyDescent="0.25">
      <c r="S6937" s="78">
        <v>34324</v>
      </c>
      <c r="T6937" s="29">
        <v>5.38</v>
      </c>
    </row>
    <row r="6938" spans="19:20" x14ac:dyDescent="0.25">
      <c r="S6938" s="78">
        <v>34325</v>
      </c>
      <c r="T6938" s="29">
        <v>5.38</v>
      </c>
    </row>
    <row r="6939" spans="19:20" x14ac:dyDescent="0.25">
      <c r="S6939" s="78">
        <v>34326</v>
      </c>
      <c r="T6939" s="29">
        <v>5.38</v>
      </c>
    </row>
    <row r="6940" spans="19:20" x14ac:dyDescent="0.25">
      <c r="S6940" s="78">
        <v>34327</v>
      </c>
      <c r="T6940" s="29">
        <v>5.38</v>
      </c>
    </row>
    <row r="6941" spans="19:20" x14ac:dyDescent="0.25">
      <c r="S6941" s="78">
        <v>34328</v>
      </c>
      <c r="T6941" s="29">
        <v>5.38</v>
      </c>
    </row>
    <row r="6942" spans="19:20" x14ac:dyDescent="0.25">
      <c r="S6942" s="78">
        <v>34329</v>
      </c>
      <c r="T6942" s="29">
        <v>5.38</v>
      </c>
    </row>
    <row r="6943" spans="19:20" x14ac:dyDescent="0.25">
      <c r="S6943" s="78">
        <v>34330</v>
      </c>
      <c r="T6943" s="29">
        <v>5.38</v>
      </c>
    </row>
    <row r="6944" spans="19:20" x14ac:dyDescent="0.25">
      <c r="S6944" s="78">
        <v>34331</v>
      </c>
      <c r="T6944" s="29">
        <v>5.38</v>
      </c>
    </row>
    <row r="6945" spans="19:21" x14ac:dyDescent="0.25">
      <c r="S6945" s="78">
        <v>34332</v>
      </c>
      <c r="T6945" s="29">
        <v>5.38</v>
      </c>
    </row>
    <row r="6946" spans="19:21" x14ac:dyDescent="0.25">
      <c r="S6946" s="78">
        <v>34333</v>
      </c>
      <c r="T6946" s="29">
        <v>5.38</v>
      </c>
    </row>
    <row r="6947" spans="19:21" x14ac:dyDescent="0.25">
      <c r="S6947" s="78">
        <v>34334</v>
      </c>
      <c r="T6947" s="29">
        <v>5.38</v>
      </c>
      <c r="U6947" s="40">
        <f>AVERAGE(T6856:T6947)</f>
        <v>5.6680434782608664</v>
      </c>
    </row>
    <row r="6948" spans="19:21" x14ac:dyDescent="0.25">
      <c r="S6948" s="78">
        <v>34335</v>
      </c>
      <c r="T6948" s="29">
        <v>5.38</v>
      </c>
    </row>
    <row r="6949" spans="19:21" x14ac:dyDescent="0.25">
      <c r="S6949" s="78">
        <v>34336</v>
      </c>
      <c r="T6949" s="29">
        <v>5.38</v>
      </c>
    </row>
    <row r="6950" spans="19:21" x14ac:dyDescent="0.25">
      <c r="S6950" s="78">
        <v>34337</v>
      </c>
      <c r="T6950" s="29">
        <v>5.38</v>
      </c>
    </row>
    <row r="6951" spans="19:21" x14ac:dyDescent="0.25">
      <c r="S6951" s="78">
        <v>34338</v>
      </c>
      <c r="T6951" s="29">
        <v>5.38</v>
      </c>
    </row>
    <row r="6952" spans="19:21" x14ac:dyDescent="0.25">
      <c r="S6952" s="78">
        <v>34339</v>
      </c>
      <c r="T6952" s="29">
        <v>5.38</v>
      </c>
    </row>
    <row r="6953" spans="19:21" x14ac:dyDescent="0.25">
      <c r="S6953" s="78">
        <v>34340</v>
      </c>
      <c r="T6953" s="29">
        <v>5.38</v>
      </c>
    </row>
    <row r="6954" spans="19:21" x14ac:dyDescent="0.25">
      <c r="S6954" s="78">
        <v>34341</v>
      </c>
      <c r="T6954" s="29">
        <v>5.38</v>
      </c>
    </row>
    <row r="6955" spans="19:21" x14ac:dyDescent="0.25">
      <c r="S6955" s="78">
        <v>34342</v>
      </c>
      <c r="T6955" s="29">
        <v>5.38</v>
      </c>
    </row>
    <row r="6956" spans="19:21" x14ac:dyDescent="0.25">
      <c r="S6956" s="78">
        <v>34343</v>
      </c>
      <c r="T6956" s="29">
        <v>5.38</v>
      </c>
    </row>
    <row r="6957" spans="19:21" x14ac:dyDescent="0.25">
      <c r="S6957" s="78">
        <v>34344</v>
      </c>
      <c r="T6957" s="29">
        <v>5.38</v>
      </c>
    </row>
    <row r="6958" spans="19:21" x14ac:dyDescent="0.25">
      <c r="S6958" s="78">
        <v>34345</v>
      </c>
      <c r="T6958" s="29">
        <v>5.38</v>
      </c>
    </row>
    <row r="6959" spans="19:21" x14ac:dyDescent="0.25">
      <c r="S6959" s="78">
        <v>34346</v>
      </c>
      <c r="T6959" s="29">
        <v>5.38</v>
      </c>
    </row>
    <row r="6960" spans="19:21" x14ac:dyDescent="0.25">
      <c r="S6960" s="78">
        <v>34347</v>
      </c>
      <c r="T6960" s="29">
        <v>5.38</v>
      </c>
    </row>
    <row r="6961" spans="19:20" x14ac:dyDescent="0.25">
      <c r="S6961" s="78">
        <v>34348</v>
      </c>
      <c r="T6961" s="29">
        <v>5.38</v>
      </c>
    </row>
    <row r="6962" spans="19:20" x14ac:dyDescent="0.25">
      <c r="S6962" s="78">
        <v>34349</v>
      </c>
      <c r="T6962" s="29">
        <v>5.38</v>
      </c>
    </row>
    <row r="6963" spans="19:20" x14ac:dyDescent="0.25">
      <c r="S6963" s="78">
        <v>34350</v>
      </c>
      <c r="T6963" s="29">
        <v>5.38</v>
      </c>
    </row>
    <row r="6964" spans="19:20" x14ac:dyDescent="0.25">
      <c r="S6964" s="78">
        <v>34351</v>
      </c>
      <c r="T6964" s="29">
        <v>5.38</v>
      </c>
    </row>
    <row r="6965" spans="19:20" x14ac:dyDescent="0.25">
      <c r="S6965" s="78">
        <v>34352</v>
      </c>
      <c r="T6965" s="29">
        <v>5.38</v>
      </c>
    </row>
    <row r="6966" spans="19:20" x14ac:dyDescent="0.25">
      <c r="S6966" s="78">
        <v>34353</v>
      </c>
      <c r="T6966" s="29">
        <v>5.38</v>
      </c>
    </row>
    <row r="6967" spans="19:20" x14ac:dyDescent="0.25">
      <c r="S6967" s="78">
        <v>34354</v>
      </c>
      <c r="T6967" s="29">
        <v>5.38</v>
      </c>
    </row>
    <row r="6968" spans="19:20" x14ac:dyDescent="0.25">
      <c r="S6968" s="78">
        <v>34355</v>
      </c>
      <c r="T6968" s="29">
        <v>5.38</v>
      </c>
    </row>
    <row r="6969" spans="19:20" x14ac:dyDescent="0.25">
      <c r="S6969" s="78">
        <v>34356</v>
      </c>
      <c r="T6969" s="29">
        <v>5.38</v>
      </c>
    </row>
    <row r="6970" spans="19:20" x14ac:dyDescent="0.25">
      <c r="S6970" s="78">
        <v>34357</v>
      </c>
      <c r="T6970" s="29">
        <v>5.38</v>
      </c>
    </row>
    <row r="6971" spans="19:20" x14ac:dyDescent="0.25">
      <c r="S6971" s="78">
        <v>34358</v>
      </c>
      <c r="T6971" s="29">
        <v>5.38</v>
      </c>
    </row>
    <row r="6972" spans="19:20" x14ac:dyDescent="0.25">
      <c r="S6972" s="78">
        <v>34359</v>
      </c>
      <c r="T6972" s="29">
        <v>5.38</v>
      </c>
    </row>
    <row r="6973" spans="19:20" x14ac:dyDescent="0.25">
      <c r="S6973" s="78">
        <v>34360</v>
      </c>
      <c r="T6973" s="29">
        <v>5.38</v>
      </c>
    </row>
    <row r="6974" spans="19:20" x14ac:dyDescent="0.25">
      <c r="S6974" s="78">
        <v>34361</v>
      </c>
      <c r="T6974" s="29">
        <v>5.38</v>
      </c>
    </row>
    <row r="6975" spans="19:20" x14ac:dyDescent="0.25">
      <c r="S6975" s="78">
        <v>34362</v>
      </c>
      <c r="T6975" s="29">
        <v>5.38</v>
      </c>
    </row>
    <row r="6976" spans="19:20" x14ac:dyDescent="0.25">
      <c r="S6976" s="78">
        <v>34363</v>
      </c>
      <c r="T6976" s="29">
        <v>5.38</v>
      </c>
    </row>
    <row r="6977" spans="19:20" x14ac:dyDescent="0.25">
      <c r="S6977" s="78">
        <v>34364</v>
      </c>
      <c r="T6977" s="29">
        <v>5.38</v>
      </c>
    </row>
    <row r="6978" spans="19:20" x14ac:dyDescent="0.25">
      <c r="S6978" s="78">
        <v>34365</v>
      </c>
      <c r="T6978" s="29">
        <v>5.38</v>
      </c>
    </row>
    <row r="6979" spans="19:20" x14ac:dyDescent="0.25">
      <c r="S6979" s="78">
        <v>34366</v>
      </c>
      <c r="T6979" s="29">
        <v>5.38</v>
      </c>
    </row>
    <row r="6980" spans="19:20" x14ac:dyDescent="0.25">
      <c r="S6980" s="78">
        <v>34367</v>
      </c>
      <c r="T6980" s="29">
        <v>5.38</v>
      </c>
    </row>
    <row r="6981" spans="19:20" x14ac:dyDescent="0.25">
      <c r="S6981" s="78">
        <v>34368</v>
      </c>
      <c r="T6981" s="29">
        <v>5.38</v>
      </c>
    </row>
    <row r="6982" spans="19:20" x14ac:dyDescent="0.25">
      <c r="S6982" s="78">
        <v>34369</v>
      </c>
      <c r="T6982" s="29">
        <v>5.38</v>
      </c>
    </row>
    <row r="6983" spans="19:20" x14ac:dyDescent="0.25">
      <c r="S6983" s="78">
        <v>34370</v>
      </c>
      <c r="T6983" s="29">
        <v>5.38</v>
      </c>
    </row>
    <row r="6984" spans="19:20" x14ac:dyDescent="0.25">
      <c r="S6984" s="78">
        <v>34371</v>
      </c>
      <c r="T6984" s="29">
        <v>5.38</v>
      </c>
    </row>
    <row r="6985" spans="19:20" x14ac:dyDescent="0.25">
      <c r="S6985" s="78">
        <v>34372</v>
      </c>
      <c r="T6985" s="29">
        <v>5.38</v>
      </c>
    </row>
    <row r="6986" spans="19:20" x14ac:dyDescent="0.25">
      <c r="S6986" s="78">
        <v>34373</v>
      </c>
      <c r="T6986" s="29">
        <v>5.13</v>
      </c>
    </row>
    <row r="6987" spans="19:20" x14ac:dyDescent="0.25">
      <c r="S6987" s="78">
        <v>34374</v>
      </c>
      <c r="T6987" s="29">
        <v>5.13</v>
      </c>
    </row>
    <row r="6988" spans="19:20" x14ac:dyDescent="0.25">
      <c r="S6988" s="78">
        <v>34375</v>
      </c>
      <c r="T6988" s="29">
        <v>5.13</v>
      </c>
    </row>
    <row r="6989" spans="19:20" x14ac:dyDescent="0.25">
      <c r="S6989" s="78">
        <v>34376</v>
      </c>
      <c r="T6989" s="29">
        <v>5.13</v>
      </c>
    </row>
    <row r="6990" spans="19:20" x14ac:dyDescent="0.25">
      <c r="S6990" s="78">
        <v>34377</v>
      </c>
      <c r="T6990" s="29">
        <v>5.13</v>
      </c>
    </row>
    <row r="6991" spans="19:20" x14ac:dyDescent="0.25">
      <c r="S6991" s="78">
        <v>34378</v>
      </c>
      <c r="T6991" s="29">
        <v>5.13</v>
      </c>
    </row>
    <row r="6992" spans="19:20" x14ac:dyDescent="0.25">
      <c r="S6992" s="78">
        <v>34379</v>
      </c>
      <c r="T6992" s="29">
        <v>5.13</v>
      </c>
    </row>
    <row r="6993" spans="19:20" x14ac:dyDescent="0.25">
      <c r="S6993" s="78">
        <v>34380</v>
      </c>
      <c r="T6993" s="29">
        <v>5.13</v>
      </c>
    </row>
    <row r="6994" spans="19:20" x14ac:dyDescent="0.25">
      <c r="S6994" s="78">
        <v>34381</v>
      </c>
      <c r="T6994" s="29">
        <v>5.13</v>
      </c>
    </row>
    <row r="6995" spans="19:20" x14ac:dyDescent="0.25">
      <c r="S6995" s="78">
        <v>34382</v>
      </c>
      <c r="T6995" s="29">
        <v>5.13</v>
      </c>
    </row>
    <row r="6996" spans="19:20" x14ac:dyDescent="0.25">
      <c r="S6996" s="78">
        <v>34383</v>
      </c>
      <c r="T6996" s="29">
        <v>5.13</v>
      </c>
    </row>
    <row r="6997" spans="19:20" x14ac:dyDescent="0.25">
      <c r="S6997" s="78">
        <v>34384</v>
      </c>
      <c r="T6997" s="29">
        <v>5.13</v>
      </c>
    </row>
    <row r="6998" spans="19:20" x14ac:dyDescent="0.25">
      <c r="S6998" s="78">
        <v>34385</v>
      </c>
      <c r="T6998" s="29">
        <v>5.13</v>
      </c>
    </row>
    <row r="6999" spans="19:20" x14ac:dyDescent="0.25">
      <c r="S6999" s="78">
        <v>34386</v>
      </c>
      <c r="T6999" s="29">
        <v>5.13</v>
      </c>
    </row>
    <row r="7000" spans="19:20" x14ac:dyDescent="0.25">
      <c r="S7000" s="78">
        <v>34387</v>
      </c>
      <c r="T7000" s="29">
        <v>5.13</v>
      </c>
    </row>
    <row r="7001" spans="19:20" x14ac:dyDescent="0.25">
      <c r="S7001" s="78">
        <v>34388</v>
      </c>
      <c r="T7001" s="29">
        <v>5.13</v>
      </c>
    </row>
    <row r="7002" spans="19:20" x14ac:dyDescent="0.25">
      <c r="S7002" s="78">
        <v>34389</v>
      </c>
      <c r="T7002" s="29">
        <v>5.13</v>
      </c>
    </row>
    <row r="7003" spans="19:20" x14ac:dyDescent="0.25">
      <c r="S7003" s="78">
        <v>34390</v>
      </c>
      <c r="T7003" s="29">
        <v>5.13</v>
      </c>
    </row>
    <row r="7004" spans="19:20" x14ac:dyDescent="0.25">
      <c r="S7004" s="78">
        <v>34391</v>
      </c>
      <c r="T7004" s="29">
        <v>5.13</v>
      </c>
    </row>
    <row r="7005" spans="19:20" x14ac:dyDescent="0.25">
      <c r="S7005" s="78">
        <v>34392</v>
      </c>
      <c r="T7005" s="29">
        <v>5.13</v>
      </c>
    </row>
    <row r="7006" spans="19:20" x14ac:dyDescent="0.25">
      <c r="S7006" s="78">
        <v>34393</v>
      </c>
      <c r="T7006" s="29">
        <v>5.13</v>
      </c>
    </row>
    <row r="7007" spans="19:20" x14ac:dyDescent="0.25">
      <c r="S7007" s="78">
        <v>34394</v>
      </c>
      <c r="T7007" s="29">
        <v>5.13</v>
      </c>
    </row>
    <row r="7008" spans="19:20" x14ac:dyDescent="0.25">
      <c r="S7008" s="78">
        <v>34395</v>
      </c>
      <c r="T7008" s="29">
        <v>5.13</v>
      </c>
    </row>
    <row r="7009" spans="19:20" x14ac:dyDescent="0.25">
      <c r="S7009" s="78">
        <v>34396</v>
      </c>
      <c r="T7009" s="29">
        <v>5.13</v>
      </c>
    </row>
    <row r="7010" spans="19:20" x14ac:dyDescent="0.25">
      <c r="S7010" s="78">
        <v>34397</v>
      </c>
      <c r="T7010" s="29">
        <v>5.13</v>
      </c>
    </row>
    <row r="7011" spans="19:20" x14ac:dyDescent="0.25">
      <c r="S7011" s="78">
        <v>34398</v>
      </c>
      <c r="T7011" s="29">
        <v>5.13</v>
      </c>
    </row>
    <row r="7012" spans="19:20" x14ac:dyDescent="0.25">
      <c r="S7012" s="78">
        <v>34399</v>
      </c>
      <c r="T7012" s="29">
        <v>5.13</v>
      </c>
    </row>
    <row r="7013" spans="19:20" x14ac:dyDescent="0.25">
      <c r="S7013" s="78">
        <v>34400</v>
      </c>
      <c r="T7013" s="29">
        <v>5.13</v>
      </c>
    </row>
    <row r="7014" spans="19:20" x14ac:dyDescent="0.25">
      <c r="S7014" s="78">
        <v>34401</v>
      </c>
      <c r="T7014" s="29">
        <v>5.13</v>
      </c>
    </row>
    <row r="7015" spans="19:20" x14ac:dyDescent="0.25">
      <c r="S7015" s="78">
        <v>34402</v>
      </c>
      <c r="T7015" s="29">
        <v>5.13</v>
      </c>
    </row>
    <row r="7016" spans="19:20" x14ac:dyDescent="0.25">
      <c r="S7016" s="78">
        <v>34403</v>
      </c>
      <c r="T7016" s="29">
        <v>5.13</v>
      </c>
    </row>
    <row r="7017" spans="19:20" x14ac:dyDescent="0.25">
      <c r="S7017" s="78">
        <v>34404</v>
      </c>
      <c r="T7017" s="29">
        <v>5.13</v>
      </c>
    </row>
    <row r="7018" spans="19:20" x14ac:dyDescent="0.25">
      <c r="S7018" s="78">
        <v>34405</v>
      </c>
      <c r="T7018" s="29">
        <v>5.13</v>
      </c>
    </row>
    <row r="7019" spans="19:20" x14ac:dyDescent="0.25">
      <c r="S7019" s="78">
        <v>34406</v>
      </c>
      <c r="T7019" s="29">
        <v>5.13</v>
      </c>
    </row>
    <row r="7020" spans="19:20" x14ac:dyDescent="0.25">
      <c r="S7020" s="78">
        <v>34407</v>
      </c>
      <c r="T7020" s="29">
        <v>5.13</v>
      </c>
    </row>
    <row r="7021" spans="19:20" x14ac:dyDescent="0.25">
      <c r="S7021" s="78">
        <v>34408</v>
      </c>
      <c r="T7021" s="29">
        <v>5.13</v>
      </c>
    </row>
    <row r="7022" spans="19:20" x14ac:dyDescent="0.25">
      <c r="S7022" s="78">
        <v>34409</v>
      </c>
      <c r="T7022" s="29">
        <v>5.13</v>
      </c>
    </row>
    <row r="7023" spans="19:20" x14ac:dyDescent="0.25">
      <c r="S7023" s="78">
        <v>34410</v>
      </c>
      <c r="T7023" s="29">
        <v>5.13</v>
      </c>
    </row>
    <row r="7024" spans="19:20" x14ac:dyDescent="0.25">
      <c r="S7024" s="78">
        <v>34411</v>
      </c>
      <c r="T7024" s="29">
        <v>5.13</v>
      </c>
    </row>
    <row r="7025" spans="19:21" x14ac:dyDescent="0.25">
      <c r="S7025" s="78">
        <v>34412</v>
      </c>
      <c r="T7025" s="29">
        <v>5.13</v>
      </c>
    </row>
    <row r="7026" spans="19:21" x14ac:dyDescent="0.25">
      <c r="S7026" s="78">
        <v>34413</v>
      </c>
      <c r="T7026" s="29">
        <v>5.13</v>
      </c>
    </row>
    <row r="7027" spans="19:21" x14ac:dyDescent="0.25">
      <c r="S7027" s="78">
        <v>34414</v>
      </c>
      <c r="T7027" s="29">
        <v>5.13</v>
      </c>
    </row>
    <row r="7028" spans="19:21" x14ac:dyDescent="0.25">
      <c r="S7028" s="78">
        <v>34415</v>
      </c>
      <c r="T7028" s="29">
        <v>5.13</v>
      </c>
    </row>
    <row r="7029" spans="19:21" x14ac:dyDescent="0.25">
      <c r="S7029" s="78">
        <v>34416</v>
      </c>
      <c r="T7029" s="29">
        <v>5.13</v>
      </c>
    </row>
    <row r="7030" spans="19:21" x14ac:dyDescent="0.25">
      <c r="S7030" s="78">
        <v>34417</v>
      </c>
      <c r="T7030" s="29">
        <v>5.13</v>
      </c>
    </row>
    <row r="7031" spans="19:21" x14ac:dyDescent="0.25">
      <c r="S7031" s="78">
        <v>34418</v>
      </c>
      <c r="T7031" s="29">
        <v>5.13</v>
      </c>
    </row>
    <row r="7032" spans="19:21" x14ac:dyDescent="0.25">
      <c r="S7032" s="78">
        <v>34419</v>
      </c>
      <c r="T7032" s="29">
        <v>5.13</v>
      </c>
    </row>
    <row r="7033" spans="19:21" x14ac:dyDescent="0.25">
      <c r="S7033" s="78">
        <v>34420</v>
      </c>
      <c r="T7033" s="29">
        <v>5.13</v>
      </c>
    </row>
    <row r="7034" spans="19:21" x14ac:dyDescent="0.25">
      <c r="S7034" s="78">
        <v>34421</v>
      </c>
      <c r="T7034" s="29">
        <v>5.13</v>
      </c>
    </row>
    <row r="7035" spans="19:21" x14ac:dyDescent="0.25">
      <c r="S7035" s="78">
        <v>34422</v>
      </c>
      <c r="T7035" s="29">
        <v>5.13</v>
      </c>
    </row>
    <row r="7036" spans="19:21" x14ac:dyDescent="0.25">
      <c r="S7036" s="78">
        <v>34423</v>
      </c>
      <c r="T7036" s="29">
        <v>5.13</v>
      </c>
    </row>
    <row r="7037" spans="19:21" x14ac:dyDescent="0.25">
      <c r="S7037" s="78">
        <v>34424</v>
      </c>
      <c r="T7037" s="29">
        <v>5.13</v>
      </c>
      <c r="U7037" s="39">
        <f>AVERAGE(T6948:T7037)</f>
        <v>5.2355555555555524</v>
      </c>
    </row>
    <row r="7038" spans="19:21" x14ac:dyDescent="0.25">
      <c r="S7038" s="78">
        <v>34425</v>
      </c>
      <c r="T7038" s="29">
        <v>5.13</v>
      </c>
    </row>
    <row r="7039" spans="19:21" x14ac:dyDescent="0.25">
      <c r="S7039" s="78">
        <v>34426</v>
      </c>
      <c r="T7039" s="29">
        <v>5.13</v>
      </c>
    </row>
    <row r="7040" spans="19:21" x14ac:dyDescent="0.25">
      <c r="S7040" s="78">
        <v>34427</v>
      </c>
      <c r="T7040" s="29">
        <v>5.13</v>
      </c>
    </row>
    <row r="7041" spans="19:20" x14ac:dyDescent="0.25">
      <c r="S7041" s="78">
        <v>34428</v>
      </c>
      <c r="T7041" s="29">
        <v>5.13</v>
      </c>
    </row>
    <row r="7042" spans="19:20" x14ac:dyDescent="0.25">
      <c r="S7042" s="78">
        <v>34429</v>
      </c>
      <c r="T7042" s="29">
        <v>5.13</v>
      </c>
    </row>
    <row r="7043" spans="19:20" x14ac:dyDescent="0.25">
      <c r="S7043" s="78">
        <v>34430</v>
      </c>
      <c r="T7043" s="29">
        <v>5.13</v>
      </c>
    </row>
    <row r="7044" spans="19:20" x14ac:dyDescent="0.25">
      <c r="S7044" s="78">
        <v>34431</v>
      </c>
      <c r="T7044" s="29">
        <v>5.13</v>
      </c>
    </row>
    <row r="7045" spans="19:20" x14ac:dyDescent="0.25">
      <c r="S7045" s="78">
        <v>34432</v>
      </c>
      <c r="T7045" s="29">
        <v>5.13</v>
      </c>
    </row>
    <row r="7046" spans="19:20" x14ac:dyDescent="0.25">
      <c r="S7046" s="78">
        <v>34433</v>
      </c>
      <c r="T7046" s="29">
        <v>5.13</v>
      </c>
    </row>
    <row r="7047" spans="19:20" x14ac:dyDescent="0.25">
      <c r="S7047" s="78">
        <v>34434</v>
      </c>
      <c r="T7047" s="29">
        <v>5.13</v>
      </c>
    </row>
    <row r="7048" spans="19:20" x14ac:dyDescent="0.25">
      <c r="S7048" s="78">
        <v>34435</v>
      </c>
      <c r="T7048" s="29">
        <v>5.13</v>
      </c>
    </row>
    <row r="7049" spans="19:20" x14ac:dyDescent="0.25">
      <c r="S7049" s="78">
        <v>34436</v>
      </c>
      <c r="T7049" s="29">
        <v>5.13</v>
      </c>
    </row>
    <row r="7050" spans="19:20" x14ac:dyDescent="0.25">
      <c r="S7050" s="78">
        <v>34437</v>
      </c>
      <c r="T7050" s="29">
        <v>5.13</v>
      </c>
    </row>
    <row r="7051" spans="19:20" x14ac:dyDescent="0.25">
      <c r="S7051" s="78">
        <v>34438</v>
      </c>
      <c r="T7051" s="29">
        <v>5.13</v>
      </c>
    </row>
    <row r="7052" spans="19:20" x14ac:dyDescent="0.25">
      <c r="S7052" s="78">
        <v>34439</v>
      </c>
      <c r="T7052" s="29">
        <v>5.13</v>
      </c>
    </row>
    <row r="7053" spans="19:20" x14ac:dyDescent="0.25">
      <c r="S7053" s="78">
        <v>34440</v>
      </c>
      <c r="T7053" s="29">
        <v>5.13</v>
      </c>
    </row>
    <row r="7054" spans="19:20" x14ac:dyDescent="0.25">
      <c r="S7054" s="78">
        <v>34441</v>
      </c>
      <c r="T7054" s="29">
        <v>5.13</v>
      </c>
    </row>
    <row r="7055" spans="19:20" x14ac:dyDescent="0.25">
      <c r="S7055" s="78">
        <v>34442</v>
      </c>
      <c r="T7055" s="29">
        <v>5.13</v>
      </c>
    </row>
    <row r="7056" spans="19:20" x14ac:dyDescent="0.25">
      <c r="S7056" s="78">
        <v>34443</v>
      </c>
      <c r="T7056" s="29">
        <v>5.13</v>
      </c>
    </row>
    <row r="7057" spans="19:20" x14ac:dyDescent="0.25">
      <c r="S7057" s="78">
        <v>34444</v>
      </c>
      <c r="T7057" s="29">
        <v>5.13</v>
      </c>
    </row>
    <row r="7058" spans="19:20" x14ac:dyDescent="0.25">
      <c r="S7058" s="78">
        <v>34445</v>
      </c>
      <c r="T7058" s="29">
        <v>5.13</v>
      </c>
    </row>
    <row r="7059" spans="19:20" x14ac:dyDescent="0.25">
      <c r="S7059" s="78">
        <v>34446</v>
      </c>
      <c r="T7059" s="29">
        <v>5.13</v>
      </c>
    </row>
    <row r="7060" spans="19:20" x14ac:dyDescent="0.25">
      <c r="S7060" s="78">
        <v>34447</v>
      </c>
      <c r="T7060" s="29">
        <v>5.13</v>
      </c>
    </row>
    <row r="7061" spans="19:20" x14ac:dyDescent="0.25">
      <c r="S7061" s="78">
        <v>34448</v>
      </c>
      <c r="T7061" s="29">
        <v>5.13</v>
      </c>
    </row>
    <row r="7062" spans="19:20" x14ac:dyDescent="0.25">
      <c r="S7062" s="78">
        <v>34449</v>
      </c>
      <c r="T7062" s="29">
        <v>5.13</v>
      </c>
    </row>
    <row r="7063" spans="19:20" x14ac:dyDescent="0.25">
      <c r="S7063" s="78">
        <v>34450</v>
      </c>
      <c r="T7063" s="29">
        <v>5.13</v>
      </c>
    </row>
    <row r="7064" spans="19:20" x14ac:dyDescent="0.25">
      <c r="S7064" s="78">
        <v>34451</v>
      </c>
      <c r="T7064" s="29">
        <v>5.13</v>
      </c>
    </row>
    <row r="7065" spans="19:20" x14ac:dyDescent="0.25">
      <c r="S7065" s="78">
        <v>34452</v>
      </c>
      <c r="T7065" s="29">
        <v>5.13</v>
      </c>
    </row>
    <row r="7066" spans="19:20" x14ac:dyDescent="0.25">
      <c r="S7066" s="78">
        <v>34453</v>
      </c>
      <c r="T7066" s="29">
        <v>5.13</v>
      </c>
    </row>
    <row r="7067" spans="19:20" x14ac:dyDescent="0.25">
      <c r="S7067" s="78">
        <v>34454</v>
      </c>
      <c r="T7067" s="29">
        <v>5.13</v>
      </c>
    </row>
    <row r="7068" spans="19:20" x14ac:dyDescent="0.25">
      <c r="S7068" s="78">
        <v>34455</v>
      </c>
      <c r="T7068" s="29">
        <v>5.13</v>
      </c>
    </row>
    <row r="7069" spans="19:20" x14ac:dyDescent="0.25">
      <c r="S7069" s="78">
        <v>34456</v>
      </c>
      <c r="T7069" s="29">
        <v>5.13</v>
      </c>
    </row>
    <row r="7070" spans="19:20" x14ac:dyDescent="0.25">
      <c r="S7070" s="78">
        <v>34457</v>
      </c>
      <c r="T7070" s="29">
        <v>5.13</v>
      </c>
    </row>
    <row r="7071" spans="19:20" x14ac:dyDescent="0.25">
      <c r="S7071" s="78">
        <v>34458</v>
      </c>
      <c r="T7071" s="29">
        <v>5.13</v>
      </c>
    </row>
    <row r="7072" spans="19:20" x14ac:dyDescent="0.25">
      <c r="S7072" s="78">
        <v>34459</v>
      </c>
      <c r="T7072" s="29">
        <v>5.13</v>
      </c>
    </row>
    <row r="7073" spans="19:20" x14ac:dyDescent="0.25">
      <c r="S7073" s="78">
        <v>34460</v>
      </c>
      <c r="T7073" s="29">
        <v>5.13</v>
      </c>
    </row>
    <row r="7074" spans="19:20" x14ac:dyDescent="0.25">
      <c r="S7074" s="78">
        <v>34461</v>
      </c>
      <c r="T7074" s="29">
        <v>5.13</v>
      </c>
    </row>
    <row r="7075" spans="19:20" x14ac:dyDescent="0.25">
      <c r="S7075" s="78">
        <v>34462</v>
      </c>
      <c r="T7075" s="29">
        <v>5.13</v>
      </c>
    </row>
    <row r="7076" spans="19:20" x14ac:dyDescent="0.25">
      <c r="S7076" s="78">
        <v>34463</v>
      </c>
      <c r="T7076" s="29">
        <v>5.13</v>
      </c>
    </row>
    <row r="7077" spans="19:20" x14ac:dyDescent="0.25">
      <c r="S7077" s="78">
        <v>34464</v>
      </c>
      <c r="T7077" s="29">
        <v>5.13</v>
      </c>
    </row>
    <row r="7078" spans="19:20" x14ac:dyDescent="0.25">
      <c r="S7078" s="78">
        <v>34465</v>
      </c>
      <c r="T7078" s="29">
        <v>5.13</v>
      </c>
    </row>
    <row r="7079" spans="19:20" x14ac:dyDescent="0.25">
      <c r="S7079" s="78">
        <v>34466</v>
      </c>
      <c r="T7079" s="29">
        <v>5.13</v>
      </c>
    </row>
    <row r="7080" spans="19:20" x14ac:dyDescent="0.25">
      <c r="S7080" s="78">
        <v>34467</v>
      </c>
      <c r="T7080" s="29">
        <v>5.13</v>
      </c>
    </row>
    <row r="7081" spans="19:20" x14ac:dyDescent="0.25">
      <c r="S7081" s="78">
        <v>34468</v>
      </c>
      <c r="T7081" s="29">
        <v>5.13</v>
      </c>
    </row>
    <row r="7082" spans="19:20" x14ac:dyDescent="0.25">
      <c r="S7082" s="78">
        <v>34469</v>
      </c>
      <c r="T7082" s="29">
        <v>5.13</v>
      </c>
    </row>
    <row r="7083" spans="19:20" x14ac:dyDescent="0.25">
      <c r="S7083" s="78">
        <v>34470</v>
      </c>
      <c r="T7083" s="29">
        <v>5.13</v>
      </c>
    </row>
    <row r="7084" spans="19:20" x14ac:dyDescent="0.25">
      <c r="S7084" s="78">
        <v>34471</v>
      </c>
      <c r="T7084" s="29">
        <v>5.13</v>
      </c>
    </row>
    <row r="7085" spans="19:20" x14ac:dyDescent="0.25">
      <c r="S7085" s="78">
        <v>34472</v>
      </c>
      <c r="T7085" s="29">
        <v>5.13</v>
      </c>
    </row>
    <row r="7086" spans="19:20" x14ac:dyDescent="0.25">
      <c r="S7086" s="78">
        <v>34473</v>
      </c>
      <c r="T7086" s="29">
        <v>5.13</v>
      </c>
    </row>
    <row r="7087" spans="19:20" x14ac:dyDescent="0.25">
      <c r="S7087" s="78">
        <v>34474</v>
      </c>
      <c r="T7087" s="29">
        <v>5.13</v>
      </c>
    </row>
    <row r="7088" spans="19:20" x14ac:dyDescent="0.25">
      <c r="S7088" s="78">
        <v>34475</v>
      </c>
      <c r="T7088" s="29">
        <v>5.13</v>
      </c>
    </row>
    <row r="7089" spans="19:20" x14ac:dyDescent="0.25">
      <c r="S7089" s="78">
        <v>34476</v>
      </c>
      <c r="T7089" s="29">
        <v>5.13</v>
      </c>
    </row>
    <row r="7090" spans="19:20" x14ac:dyDescent="0.25">
      <c r="S7090" s="78">
        <v>34477</v>
      </c>
      <c r="T7090" s="29">
        <v>5.13</v>
      </c>
    </row>
    <row r="7091" spans="19:20" x14ac:dyDescent="0.25">
      <c r="S7091" s="78">
        <v>34478</v>
      </c>
      <c r="T7091" s="29">
        <v>5.13</v>
      </c>
    </row>
    <row r="7092" spans="19:20" x14ac:dyDescent="0.25">
      <c r="S7092" s="78">
        <v>34479</v>
      </c>
      <c r="T7092" s="29">
        <v>5.13</v>
      </c>
    </row>
    <row r="7093" spans="19:20" x14ac:dyDescent="0.25">
      <c r="S7093" s="78">
        <v>34480</v>
      </c>
      <c r="T7093" s="29">
        <v>5.13</v>
      </c>
    </row>
    <row r="7094" spans="19:20" x14ac:dyDescent="0.25">
      <c r="S7094" s="78">
        <v>34481</v>
      </c>
      <c r="T7094" s="29">
        <v>5.13</v>
      </c>
    </row>
    <row r="7095" spans="19:20" x14ac:dyDescent="0.25">
      <c r="S7095" s="78">
        <v>34482</v>
      </c>
      <c r="T7095" s="29">
        <v>5.13</v>
      </c>
    </row>
    <row r="7096" spans="19:20" x14ac:dyDescent="0.25">
      <c r="S7096" s="78">
        <v>34483</v>
      </c>
      <c r="T7096" s="29">
        <v>5.13</v>
      </c>
    </row>
    <row r="7097" spans="19:20" x14ac:dyDescent="0.25">
      <c r="S7097" s="78">
        <v>34484</v>
      </c>
      <c r="T7097" s="29">
        <v>5.13</v>
      </c>
    </row>
    <row r="7098" spans="19:20" x14ac:dyDescent="0.25">
      <c r="S7098" s="78">
        <v>34485</v>
      </c>
      <c r="T7098" s="29">
        <v>5.13</v>
      </c>
    </row>
    <row r="7099" spans="19:20" x14ac:dyDescent="0.25">
      <c r="S7099" s="78">
        <v>34486</v>
      </c>
      <c r="T7099" s="29">
        <v>5.13</v>
      </c>
    </row>
    <row r="7100" spans="19:20" x14ac:dyDescent="0.25">
      <c r="S7100" s="78">
        <v>34487</v>
      </c>
      <c r="T7100" s="29">
        <v>5.13</v>
      </c>
    </row>
    <row r="7101" spans="19:20" x14ac:dyDescent="0.25">
      <c r="S7101" s="78">
        <v>34488</v>
      </c>
      <c r="T7101" s="29">
        <v>5.13</v>
      </c>
    </row>
    <row r="7102" spans="19:20" x14ac:dyDescent="0.25">
      <c r="S7102" s="78">
        <v>34489</v>
      </c>
      <c r="T7102" s="29">
        <v>5.13</v>
      </c>
    </row>
    <row r="7103" spans="19:20" x14ac:dyDescent="0.25">
      <c r="S7103" s="78">
        <v>34490</v>
      </c>
      <c r="T7103" s="29">
        <v>5.13</v>
      </c>
    </row>
    <row r="7104" spans="19:20" x14ac:dyDescent="0.25">
      <c r="S7104" s="78">
        <v>34491</v>
      </c>
      <c r="T7104" s="29">
        <v>5.13</v>
      </c>
    </row>
    <row r="7105" spans="19:20" x14ac:dyDescent="0.25">
      <c r="S7105" s="78">
        <v>34492</v>
      </c>
      <c r="T7105" s="29">
        <v>5.13</v>
      </c>
    </row>
    <row r="7106" spans="19:20" x14ac:dyDescent="0.25">
      <c r="S7106" s="78">
        <v>34493</v>
      </c>
      <c r="T7106" s="29">
        <v>5.13</v>
      </c>
    </row>
    <row r="7107" spans="19:20" x14ac:dyDescent="0.25">
      <c r="S7107" s="78">
        <v>34494</v>
      </c>
      <c r="T7107" s="29">
        <v>5.13</v>
      </c>
    </row>
    <row r="7108" spans="19:20" x14ac:dyDescent="0.25">
      <c r="S7108" s="78">
        <v>34495</v>
      </c>
      <c r="T7108" s="29">
        <v>5.13</v>
      </c>
    </row>
    <row r="7109" spans="19:20" x14ac:dyDescent="0.25">
      <c r="S7109" s="78">
        <v>34496</v>
      </c>
      <c r="T7109" s="29">
        <v>5.13</v>
      </c>
    </row>
    <row r="7110" spans="19:20" x14ac:dyDescent="0.25">
      <c r="S7110" s="78">
        <v>34497</v>
      </c>
      <c r="T7110" s="29">
        <v>5.13</v>
      </c>
    </row>
    <row r="7111" spans="19:20" x14ac:dyDescent="0.25">
      <c r="S7111" s="78">
        <v>34498</v>
      </c>
      <c r="T7111" s="29">
        <v>5.13</v>
      </c>
    </row>
    <row r="7112" spans="19:20" x14ac:dyDescent="0.25">
      <c r="S7112" s="78">
        <v>34499</v>
      </c>
      <c r="T7112" s="29">
        <v>5.13</v>
      </c>
    </row>
    <row r="7113" spans="19:20" x14ac:dyDescent="0.25">
      <c r="S7113" s="78">
        <v>34500</v>
      </c>
      <c r="T7113" s="29">
        <v>5.13</v>
      </c>
    </row>
    <row r="7114" spans="19:20" x14ac:dyDescent="0.25">
      <c r="S7114" s="78">
        <v>34501</v>
      </c>
      <c r="T7114" s="29">
        <v>5.13</v>
      </c>
    </row>
    <row r="7115" spans="19:20" x14ac:dyDescent="0.25">
      <c r="S7115" s="78">
        <v>34502</v>
      </c>
      <c r="T7115" s="29">
        <v>5.13</v>
      </c>
    </row>
    <row r="7116" spans="19:20" x14ac:dyDescent="0.25">
      <c r="S7116" s="78">
        <v>34503</v>
      </c>
      <c r="T7116" s="29">
        <v>5.13</v>
      </c>
    </row>
    <row r="7117" spans="19:20" x14ac:dyDescent="0.25">
      <c r="S7117" s="78">
        <v>34504</v>
      </c>
      <c r="T7117" s="29">
        <v>5.13</v>
      </c>
    </row>
    <row r="7118" spans="19:20" x14ac:dyDescent="0.25">
      <c r="S7118" s="78">
        <v>34505</v>
      </c>
      <c r="T7118" s="29">
        <v>5.13</v>
      </c>
    </row>
    <row r="7119" spans="19:20" x14ac:dyDescent="0.25">
      <c r="S7119" s="78">
        <v>34506</v>
      </c>
      <c r="T7119" s="29">
        <v>5.13</v>
      </c>
    </row>
    <row r="7120" spans="19:20" x14ac:dyDescent="0.25">
      <c r="S7120" s="78">
        <v>34507</v>
      </c>
      <c r="T7120" s="29">
        <v>5.13</v>
      </c>
    </row>
    <row r="7121" spans="19:21" x14ac:dyDescent="0.25">
      <c r="S7121" s="78">
        <v>34508</v>
      </c>
      <c r="T7121" s="29">
        <v>5.13</v>
      </c>
    </row>
    <row r="7122" spans="19:21" x14ac:dyDescent="0.25">
      <c r="S7122" s="78">
        <v>34509</v>
      </c>
      <c r="T7122" s="29">
        <v>5.13</v>
      </c>
    </row>
    <row r="7123" spans="19:21" x14ac:dyDescent="0.25">
      <c r="S7123" s="78">
        <v>34510</v>
      </c>
      <c r="T7123" s="29">
        <v>5.13</v>
      </c>
    </row>
    <row r="7124" spans="19:21" x14ac:dyDescent="0.25">
      <c r="S7124" s="78">
        <v>34511</v>
      </c>
      <c r="T7124" s="29">
        <v>5.13</v>
      </c>
    </row>
    <row r="7125" spans="19:21" x14ac:dyDescent="0.25">
      <c r="S7125" s="78">
        <v>34512</v>
      </c>
      <c r="T7125" s="29">
        <v>5.13</v>
      </c>
    </row>
    <row r="7126" spans="19:21" x14ac:dyDescent="0.25">
      <c r="S7126" s="78">
        <v>34513</v>
      </c>
      <c r="T7126" s="29">
        <v>5.13</v>
      </c>
    </row>
    <row r="7127" spans="19:21" x14ac:dyDescent="0.25">
      <c r="S7127" s="78">
        <v>34514</v>
      </c>
      <c r="T7127" s="29">
        <v>5.13</v>
      </c>
    </row>
    <row r="7128" spans="19:21" x14ac:dyDescent="0.25">
      <c r="S7128" s="78">
        <v>34515</v>
      </c>
      <c r="T7128" s="29">
        <v>5.13</v>
      </c>
      <c r="U7128" s="40">
        <f>AVERAGE(T7038:T7128)</f>
        <v>5.1299999999999963</v>
      </c>
    </row>
    <row r="7129" spans="19:21" x14ac:dyDescent="0.25">
      <c r="S7129" s="78">
        <v>34516</v>
      </c>
      <c r="T7129" s="29">
        <v>5.13</v>
      </c>
    </row>
    <row r="7130" spans="19:21" x14ac:dyDescent="0.25">
      <c r="S7130" s="78">
        <v>34517</v>
      </c>
      <c r="T7130" s="29">
        <v>5.13</v>
      </c>
    </row>
    <row r="7131" spans="19:21" x14ac:dyDescent="0.25">
      <c r="S7131" s="78">
        <v>34518</v>
      </c>
      <c r="T7131" s="29">
        <v>5.13</v>
      </c>
    </row>
    <row r="7132" spans="19:21" x14ac:dyDescent="0.25">
      <c r="S7132" s="78">
        <v>34519</v>
      </c>
      <c r="T7132" s="29">
        <v>5.13</v>
      </c>
    </row>
    <row r="7133" spans="19:21" x14ac:dyDescent="0.25">
      <c r="S7133" s="78">
        <v>34520</v>
      </c>
      <c r="T7133" s="29">
        <v>5.13</v>
      </c>
    </row>
    <row r="7134" spans="19:21" x14ac:dyDescent="0.25">
      <c r="S7134" s="78">
        <v>34521</v>
      </c>
      <c r="T7134" s="29">
        <v>5.13</v>
      </c>
    </row>
    <row r="7135" spans="19:21" x14ac:dyDescent="0.25">
      <c r="S7135" s="78">
        <v>34522</v>
      </c>
      <c r="T7135" s="29">
        <v>5.13</v>
      </c>
    </row>
    <row r="7136" spans="19:21" x14ac:dyDescent="0.25">
      <c r="S7136" s="78">
        <v>34523</v>
      </c>
      <c r="T7136" s="29">
        <v>5.13</v>
      </c>
    </row>
    <row r="7137" spans="19:20" x14ac:dyDescent="0.25">
      <c r="S7137" s="78">
        <v>34524</v>
      </c>
      <c r="T7137" s="29">
        <v>5.13</v>
      </c>
    </row>
    <row r="7138" spans="19:20" x14ac:dyDescent="0.25">
      <c r="S7138" s="78">
        <v>34525</v>
      </c>
      <c r="T7138" s="29">
        <v>5.13</v>
      </c>
    </row>
    <row r="7139" spans="19:20" x14ac:dyDescent="0.25">
      <c r="S7139" s="78">
        <v>34526</v>
      </c>
      <c r="T7139" s="29">
        <v>5.13</v>
      </c>
    </row>
    <row r="7140" spans="19:20" x14ac:dyDescent="0.25">
      <c r="S7140" s="78">
        <v>34527</v>
      </c>
      <c r="T7140" s="29">
        <v>5.13</v>
      </c>
    </row>
    <row r="7141" spans="19:20" x14ac:dyDescent="0.25">
      <c r="S7141" s="78">
        <v>34528</v>
      </c>
      <c r="T7141" s="29">
        <v>5.13</v>
      </c>
    </row>
    <row r="7142" spans="19:20" x14ac:dyDescent="0.25">
      <c r="S7142" s="78">
        <v>34529</v>
      </c>
      <c r="T7142" s="29">
        <v>5.13</v>
      </c>
    </row>
    <row r="7143" spans="19:20" x14ac:dyDescent="0.25">
      <c r="S7143" s="78">
        <v>34530</v>
      </c>
      <c r="T7143" s="29">
        <v>5.13</v>
      </c>
    </row>
    <row r="7144" spans="19:20" x14ac:dyDescent="0.25">
      <c r="S7144" s="78">
        <v>34531</v>
      </c>
      <c r="T7144" s="29">
        <v>5.13</v>
      </c>
    </row>
    <row r="7145" spans="19:20" x14ac:dyDescent="0.25">
      <c r="S7145" s="78">
        <v>34532</v>
      </c>
      <c r="T7145" s="29">
        <v>5.13</v>
      </c>
    </row>
    <row r="7146" spans="19:20" x14ac:dyDescent="0.25">
      <c r="S7146" s="78">
        <v>34533</v>
      </c>
      <c r="T7146" s="29">
        <v>5.13</v>
      </c>
    </row>
    <row r="7147" spans="19:20" x14ac:dyDescent="0.25">
      <c r="S7147" s="78">
        <v>34534</v>
      </c>
      <c r="T7147" s="29">
        <v>5.13</v>
      </c>
    </row>
    <row r="7148" spans="19:20" x14ac:dyDescent="0.25">
      <c r="S7148" s="78">
        <v>34535</v>
      </c>
      <c r="T7148" s="29">
        <v>5.13</v>
      </c>
    </row>
    <row r="7149" spans="19:20" x14ac:dyDescent="0.25">
      <c r="S7149" s="78">
        <v>34536</v>
      </c>
      <c r="T7149" s="29">
        <v>5.13</v>
      </c>
    </row>
    <row r="7150" spans="19:20" x14ac:dyDescent="0.25">
      <c r="S7150" s="78">
        <v>34537</v>
      </c>
      <c r="T7150" s="29">
        <v>5.13</v>
      </c>
    </row>
    <row r="7151" spans="19:20" x14ac:dyDescent="0.25">
      <c r="S7151" s="78">
        <v>34538</v>
      </c>
      <c r="T7151" s="29">
        <v>5.13</v>
      </c>
    </row>
    <row r="7152" spans="19:20" x14ac:dyDescent="0.25">
      <c r="S7152" s="78">
        <v>34539</v>
      </c>
      <c r="T7152" s="29">
        <v>5.13</v>
      </c>
    </row>
    <row r="7153" spans="19:20" x14ac:dyDescent="0.25">
      <c r="S7153" s="78">
        <v>34540</v>
      </c>
      <c r="T7153" s="29">
        <v>5.13</v>
      </c>
    </row>
    <row r="7154" spans="19:20" x14ac:dyDescent="0.25">
      <c r="S7154" s="78">
        <v>34541</v>
      </c>
      <c r="T7154" s="29">
        <v>5.13</v>
      </c>
    </row>
    <row r="7155" spans="19:20" x14ac:dyDescent="0.25">
      <c r="S7155" s="78">
        <v>34542</v>
      </c>
      <c r="T7155" s="29">
        <v>5.13</v>
      </c>
    </row>
    <row r="7156" spans="19:20" x14ac:dyDescent="0.25">
      <c r="S7156" s="78">
        <v>34543</v>
      </c>
      <c r="T7156" s="29">
        <v>5.13</v>
      </c>
    </row>
    <row r="7157" spans="19:20" x14ac:dyDescent="0.25">
      <c r="S7157" s="78">
        <v>34544</v>
      </c>
      <c r="T7157" s="29">
        <v>5.13</v>
      </c>
    </row>
    <row r="7158" spans="19:20" x14ac:dyDescent="0.25">
      <c r="S7158" s="78">
        <v>34545</v>
      </c>
      <c r="T7158" s="29">
        <v>5.13</v>
      </c>
    </row>
    <row r="7159" spans="19:20" x14ac:dyDescent="0.25">
      <c r="S7159" s="78">
        <v>34546</v>
      </c>
      <c r="T7159" s="29">
        <v>5.13</v>
      </c>
    </row>
    <row r="7160" spans="19:20" x14ac:dyDescent="0.25">
      <c r="S7160" s="78">
        <v>34547</v>
      </c>
      <c r="T7160" s="29">
        <v>5.13</v>
      </c>
    </row>
    <row r="7161" spans="19:20" x14ac:dyDescent="0.25">
      <c r="S7161" s="78">
        <v>34548</v>
      </c>
      <c r="T7161" s="29">
        <v>5.13</v>
      </c>
    </row>
    <row r="7162" spans="19:20" x14ac:dyDescent="0.25">
      <c r="S7162" s="78">
        <v>34549</v>
      </c>
      <c r="T7162" s="29">
        <v>5.13</v>
      </c>
    </row>
    <row r="7163" spans="19:20" x14ac:dyDescent="0.25">
      <c r="S7163" s="78">
        <v>34550</v>
      </c>
      <c r="T7163" s="29">
        <v>5.13</v>
      </c>
    </row>
    <row r="7164" spans="19:20" x14ac:dyDescent="0.25">
      <c r="S7164" s="78">
        <v>34551</v>
      </c>
      <c r="T7164" s="29">
        <v>5.13</v>
      </c>
    </row>
    <row r="7165" spans="19:20" x14ac:dyDescent="0.25">
      <c r="S7165" s="78">
        <v>34552</v>
      </c>
      <c r="T7165" s="29">
        <v>5.13</v>
      </c>
    </row>
    <row r="7166" spans="19:20" x14ac:dyDescent="0.25">
      <c r="S7166" s="78">
        <v>34553</v>
      </c>
      <c r="T7166" s="29">
        <v>5.13</v>
      </c>
    </row>
    <row r="7167" spans="19:20" x14ac:dyDescent="0.25">
      <c r="S7167" s="78">
        <v>34554</v>
      </c>
      <c r="T7167" s="29">
        <v>5.13</v>
      </c>
    </row>
    <row r="7168" spans="19:20" x14ac:dyDescent="0.25">
      <c r="S7168" s="78">
        <v>34555</v>
      </c>
      <c r="T7168" s="29">
        <v>5.13</v>
      </c>
    </row>
    <row r="7169" spans="19:20" x14ac:dyDescent="0.25">
      <c r="S7169" s="78">
        <v>34556</v>
      </c>
      <c r="T7169" s="29">
        <v>5.13</v>
      </c>
    </row>
    <row r="7170" spans="19:20" x14ac:dyDescent="0.25">
      <c r="S7170" s="78">
        <v>34557</v>
      </c>
      <c r="T7170" s="29">
        <v>5.13</v>
      </c>
    </row>
    <row r="7171" spans="19:20" x14ac:dyDescent="0.25">
      <c r="S7171" s="78">
        <v>34558</v>
      </c>
      <c r="T7171" s="29">
        <v>5.13</v>
      </c>
    </row>
    <row r="7172" spans="19:20" x14ac:dyDescent="0.25">
      <c r="S7172" s="78">
        <v>34559</v>
      </c>
      <c r="T7172" s="29">
        <v>5.13</v>
      </c>
    </row>
    <row r="7173" spans="19:20" x14ac:dyDescent="0.25">
      <c r="S7173" s="78">
        <v>34560</v>
      </c>
      <c r="T7173" s="29">
        <v>5.13</v>
      </c>
    </row>
    <row r="7174" spans="19:20" x14ac:dyDescent="0.25">
      <c r="S7174" s="78">
        <v>34561</v>
      </c>
      <c r="T7174" s="29">
        <v>5.13</v>
      </c>
    </row>
    <row r="7175" spans="19:20" x14ac:dyDescent="0.25">
      <c r="S7175" s="78">
        <v>34562</v>
      </c>
      <c r="T7175" s="29">
        <v>5.13</v>
      </c>
    </row>
    <row r="7176" spans="19:20" x14ac:dyDescent="0.25">
      <c r="S7176" s="78">
        <v>34563</v>
      </c>
      <c r="T7176" s="29">
        <v>5.13</v>
      </c>
    </row>
    <row r="7177" spans="19:20" x14ac:dyDescent="0.25">
      <c r="S7177" s="78">
        <v>34564</v>
      </c>
      <c r="T7177" s="29">
        <v>5.13</v>
      </c>
    </row>
    <row r="7178" spans="19:20" x14ac:dyDescent="0.25">
      <c r="S7178" s="78">
        <v>34565</v>
      </c>
      <c r="T7178" s="29">
        <v>5.13</v>
      </c>
    </row>
    <row r="7179" spans="19:20" x14ac:dyDescent="0.25">
      <c r="S7179" s="78">
        <v>34566</v>
      </c>
      <c r="T7179" s="29">
        <v>5.13</v>
      </c>
    </row>
    <row r="7180" spans="19:20" x14ac:dyDescent="0.25">
      <c r="S7180" s="78">
        <v>34567</v>
      </c>
      <c r="T7180" s="29">
        <v>5.13</v>
      </c>
    </row>
    <row r="7181" spans="19:20" x14ac:dyDescent="0.25">
      <c r="S7181" s="78">
        <v>34568</v>
      </c>
      <c r="T7181" s="29">
        <v>5.13</v>
      </c>
    </row>
    <row r="7182" spans="19:20" x14ac:dyDescent="0.25">
      <c r="S7182" s="78">
        <v>34569</v>
      </c>
      <c r="T7182" s="29">
        <v>5.13</v>
      </c>
    </row>
    <row r="7183" spans="19:20" x14ac:dyDescent="0.25">
      <c r="S7183" s="78">
        <v>34570</v>
      </c>
      <c r="T7183" s="29">
        <v>5.13</v>
      </c>
    </row>
    <row r="7184" spans="19:20" x14ac:dyDescent="0.25">
      <c r="S7184" s="78">
        <v>34571</v>
      </c>
      <c r="T7184" s="29">
        <v>5.13</v>
      </c>
    </row>
    <row r="7185" spans="19:20" x14ac:dyDescent="0.25">
      <c r="S7185" s="78">
        <v>34572</v>
      </c>
      <c r="T7185" s="29">
        <v>5.13</v>
      </c>
    </row>
    <row r="7186" spans="19:20" x14ac:dyDescent="0.25">
      <c r="S7186" s="78">
        <v>34573</v>
      </c>
      <c r="T7186" s="29">
        <v>5.13</v>
      </c>
    </row>
    <row r="7187" spans="19:20" x14ac:dyDescent="0.25">
      <c r="S7187" s="78">
        <v>34574</v>
      </c>
      <c r="T7187" s="29">
        <v>5.13</v>
      </c>
    </row>
    <row r="7188" spans="19:20" x14ac:dyDescent="0.25">
      <c r="S7188" s="78">
        <v>34575</v>
      </c>
      <c r="T7188" s="29">
        <v>5.13</v>
      </c>
    </row>
    <row r="7189" spans="19:20" x14ac:dyDescent="0.25">
      <c r="S7189" s="78">
        <v>34576</v>
      </c>
      <c r="T7189" s="29">
        <v>5.13</v>
      </c>
    </row>
    <row r="7190" spans="19:20" x14ac:dyDescent="0.25">
      <c r="S7190" s="78">
        <v>34577</v>
      </c>
      <c r="T7190" s="29">
        <v>5.13</v>
      </c>
    </row>
    <row r="7191" spans="19:20" x14ac:dyDescent="0.25">
      <c r="S7191" s="78">
        <v>34578</v>
      </c>
      <c r="T7191" s="29">
        <v>5.13</v>
      </c>
    </row>
    <row r="7192" spans="19:20" x14ac:dyDescent="0.25">
      <c r="S7192" s="78">
        <v>34579</v>
      </c>
      <c r="T7192" s="29">
        <v>5.13</v>
      </c>
    </row>
    <row r="7193" spans="19:20" x14ac:dyDescent="0.25">
      <c r="S7193" s="78">
        <v>34580</v>
      </c>
      <c r="T7193" s="29">
        <v>5.13</v>
      </c>
    </row>
    <row r="7194" spans="19:20" x14ac:dyDescent="0.25">
      <c r="S7194" s="78">
        <v>34581</v>
      </c>
      <c r="T7194" s="29">
        <v>5.13</v>
      </c>
    </row>
    <row r="7195" spans="19:20" x14ac:dyDescent="0.25">
      <c r="S7195" s="78">
        <v>34582</v>
      </c>
      <c r="T7195" s="29">
        <v>5.13</v>
      </c>
    </row>
    <row r="7196" spans="19:20" x14ac:dyDescent="0.25">
      <c r="S7196" s="78">
        <v>34583</v>
      </c>
      <c r="T7196" s="29">
        <v>5.13</v>
      </c>
    </row>
    <row r="7197" spans="19:20" x14ac:dyDescent="0.25">
      <c r="S7197" s="78">
        <v>34584</v>
      </c>
      <c r="T7197" s="29">
        <v>5.13</v>
      </c>
    </row>
    <row r="7198" spans="19:20" x14ac:dyDescent="0.25">
      <c r="S7198" s="78">
        <v>34585</v>
      </c>
      <c r="T7198" s="29">
        <v>5.13</v>
      </c>
    </row>
    <row r="7199" spans="19:20" x14ac:dyDescent="0.25">
      <c r="S7199" s="78">
        <v>34586</v>
      </c>
      <c r="T7199" s="29">
        <v>5.13</v>
      </c>
    </row>
    <row r="7200" spans="19:20" x14ac:dyDescent="0.25">
      <c r="S7200" s="78">
        <v>34587</v>
      </c>
      <c r="T7200" s="29">
        <v>5.13</v>
      </c>
    </row>
    <row r="7201" spans="19:20" x14ac:dyDescent="0.25">
      <c r="S7201" s="78">
        <v>34588</v>
      </c>
      <c r="T7201" s="29">
        <v>5.13</v>
      </c>
    </row>
    <row r="7202" spans="19:20" x14ac:dyDescent="0.25">
      <c r="S7202" s="78">
        <v>34589</v>
      </c>
      <c r="T7202" s="29">
        <v>5.63</v>
      </c>
    </row>
    <row r="7203" spans="19:20" x14ac:dyDescent="0.25">
      <c r="S7203" s="78">
        <v>34590</v>
      </c>
      <c r="T7203" s="29">
        <v>5.63</v>
      </c>
    </row>
    <row r="7204" spans="19:20" x14ac:dyDescent="0.25">
      <c r="S7204" s="78">
        <v>34591</v>
      </c>
      <c r="T7204" s="29">
        <v>5.63</v>
      </c>
    </row>
    <row r="7205" spans="19:20" x14ac:dyDescent="0.25">
      <c r="S7205" s="78">
        <v>34592</v>
      </c>
      <c r="T7205" s="29">
        <v>5.63</v>
      </c>
    </row>
    <row r="7206" spans="19:20" x14ac:dyDescent="0.25">
      <c r="S7206" s="78">
        <v>34593</v>
      </c>
      <c r="T7206" s="29">
        <v>5.63</v>
      </c>
    </row>
    <row r="7207" spans="19:20" x14ac:dyDescent="0.25">
      <c r="S7207" s="78">
        <v>34594</v>
      </c>
      <c r="T7207" s="29">
        <v>5.63</v>
      </c>
    </row>
    <row r="7208" spans="19:20" x14ac:dyDescent="0.25">
      <c r="S7208" s="78">
        <v>34595</v>
      </c>
      <c r="T7208" s="29">
        <v>5.63</v>
      </c>
    </row>
    <row r="7209" spans="19:20" x14ac:dyDescent="0.25">
      <c r="S7209" s="78">
        <v>34596</v>
      </c>
      <c r="T7209" s="29">
        <v>5.63</v>
      </c>
    </row>
    <row r="7210" spans="19:20" x14ac:dyDescent="0.25">
      <c r="S7210" s="78">
        <v>34597</v>
      </c>
      <c r="T7210" s="29">
        <v>5.63</v>
      </c>
    </row>
    <row r="7211" spans="19:20" x14ac:dyDescent="0.25">
      <c r="S7211" s="78">
        <v>34598</v>
      </c>
      <c r="T7211" s="29">
        <v>5.63</v>
      </c>
    </row>
    <row r="7212" spans="19:20" x14ac:dyDescent="0.25">
      <c r="S7212" s="78">
        <v>34599</v>
      </c>
      <c r="T7212" s="29">
        <v>5.63</v>
      </c>
    </row>
    <row r="7213" spans="19:20" x14ac:dyDescent="0.25">
      <c r="S7213" s="78">
        <v>34600</v>
      </c>
      <c r="T7213" s="29">
        <v>5.63</v>
      </c>
    </row>
    <row r="7214" spans="19:20" x14ac:dyDescent="0.25">
      <c r="S7214" s="78">
        <v>34601</v>
      </c>
      <c r="T7214" s="29">
        <v>5.63</v>
      </c>
    </row>
    <row r="7215" spans="19:20" x14ac:dyDescent="0.25">
      <c r="S7215" s="78">
        <v>34602</v>
      </c>
      <c r="T7215" s="29">
        <v>5.63</v>
      </c>
    </row>
    <row r="7216" spans="19:20" x14ac:dyDescent="0.25">
      <c r="S7216" s="78">
        <v>34603</v>
      </c>
      <c r="T7216" s="29">
        <v>5.63</v>
      </c>
    </row>
    <row r="7217" spans="19:21" x14ac:dyDescent="0.25">
      <c r="S7217" s="78">
        <v>34604</v>
      </c>
      <c r="T7217" s="29">
        <v>5.63</v>
      </c>
    </row>
    <row r="7218" spans="19:21" x14ac:dyDescent="0.25">
      <c r="S7218" s="78">
        <v>34605</v>
      </c>
      <c r="T7218" s="29">
        <v>5.63</v>
      </c>
    </row>
    <row r="7219" spans="19:21" x14ac:dyDescent="0.25">
      <c r="S7219" s="78">
        <v>34606</v>
      </c>
      <c r="T7219" s="29">
        <v>5.63</v>
      </c>
    </row>
    <row r="7220" spans="19:21" x14ac:dyDescent="0.25">
      <c r="S7220" s="78">
        <v>34607</v>
      </c>
      <c r="T7220" s="29">
        <v>5.63</v>
      </c>
      <c r="U7220" s="40">
        <f>AVERAGE(T7129:T7220)</f>
        <v>5.2332608695652141</v>
      </c>
    </row>
    <row r="7221" spans="19:21" x14ac:dyDescent="0.25">
      <c r="S7221" s="78">
        <v>34608</v>
      </c>
      <c r="T7221" s="29">
        <v>5.63</v>
      </c>
    </row>
    <row r="7222" spans="19:21" x14ac:dyDescent="0.25">
      <c r="S7222" s="78">
        <v>34609</v>
      </c>
      <c r="T7222" s="29">
        <v>5.63</v>
      </c>
    </row>
    <row r="7223" spans="19:21" x14ac:dyDescent="0.25">
      <c r="S7223" s="78">
        <v>34610</v>
      </c>
      <c r="T7223" s="29">
        <v>5.63</v>
      </c>
    </row>
    <row r="7224" spans="19:21" x14ac:dyDescent="0.25">
      <c r="S7224" s="78">
        <v>34611</v>
      </c>
      <c r="T7224" s="29">
        <v>5.63</v>
      </c>
    </row>
    <row r="7225" spans="19:21" x14ac:dyDescent="0.25">
      <c r="S7225" s="78">
        <v>34612</v>
      </c>
      <c r="T7225" s="29">
        <v>5.63</v>
      </c>
    </row>
    <row r="7226" spans="19:21" x14ac:dyDescent="0.25">
      <c r="S7226" s="78">
        <v>34613</v>
      </c>
      <c r="T7226" s="29">
        <v>5.63</v>
      </c>
    </row>
    <row r="7227" spans="19:21" x14ac:dyDescent="0.25">
      <c r="S7227" s="78">
        <v>34614</v>
      </c>
      <c r="T7227" s="29">
        <v>5.63</v>
      </c>
    </row>
    <row r="7228" spans="19:21" x14ac:dyDescent="0.25">
      <c r="S7228" s="78">
        <v>34615</v>
      </c>
      <c r="T7228" s="29">
        <v>5.63</v>
      </c>
    </row>
    <row r="7229" spans="19:21" x14ac:dyDescent="0.25">
      <c r="S7229" s="78">
        <v>34616</v>
      </c>
      <c r="T7229" s="29">
        <v>5.63</v>
      </c>
    </row>
    <row r="7230" spans="19:21" x14ac:dyDescent="0.25">
      <c r="S7230" s="78">
        <v>34617</v>
      </c>
      <c r="T7230" s="29">
        <v>5.63</v>
      </c>
    </row>
    <row r="7231" spans="19:21" x14ac:dyDescent="0.25">
      <c r="S7231" s="78">
        <v>34618</v>
      </c>
      <c r="T7231" s="29">
        <v>5.63</v>
      </c>
    </row>
    <row r="7232" spans="19:21" x14ac:dyDescent="0.25">
      <c r="S7232" s="78">
        <v>34619</v>
      </c>
      <c r="T7232" s="29">
        <v>5.63</v>
      </c>
    </row>
    <row r="7233" spans="19:20" x14ac:dyDescent="0.25">
      <c r="S7233" s="78">
        <v>34620</v>
      </c>
      <c r="T7233" s="29">
        <v>5.63</v>
      </c>
    </row>
    <row r="7234" spans="19:20" x14ac:dyDescent="0.25">
      <c r="S7234" s="78">
        <v>34621</v>
      </c>
      <c r="T7234" s="29">
        <v>5.63</v>
      </c>
    </row>
    <row r="7235" spans="19:20" x14ac:dyDescent="0.25">
      <c r="S7235" s="78">
        <v>34622</v>
      </c>
      <c r="T7235" s="29">
        <v>5.63</v>
      </c>
    </row>
    <row r="7236" spans="19:20" x14ac:dyDescent="0.25">
      <c r="S7236" s="78">
        <v>34623</v>
      </c>
      <c r="T7236" s="29">
        <v>5.63</v>
      </c>
    </row>
    <row r="7237" spans="19:20" x14ac:dyDescent="0.25">
      <c r="S7237" s="78">
        <v>34624</v>
      </c>
      <c r="T7237" s="29">
        <v>5.63</v>
      </c>
    </row>
    <row r="7238" spans="19:20" x14ac:dyDescent="0.25">
      <c r="S7238" s="78">
        <v>34625</v>
      </c>
      <c r="T7238" s="29">
        <v>5.63</v>
      </c>
    </row>
    <row r="7239" spans="19:20" x14ac:dyDescent="0.25">
      <c r="S7239" s="78">
        <v>34626</v>
      </c>
      <c r="T7239" s="29">
        <v>5.63</v>
      </c>
    </row>
    <row r="7240" spans="19:20" x14ac:dyDescent="0.25">
      <c r="S7240" s="78">
        <v>34627</v>
      </c>
      <c r="T7240" s="29">
        <v>5.63</v>
      </c>
    </row>
    <row r="7241" spans="19:20" x14ac:dyDescent="0.25">
      <c r="S7241" s="78">
        <v>34628</v>
      </c>
      <c r="T7241" s="29">
        <v>5.63</v>
      </c>
    </row>
    <row r="7242" spans="19:20" x14ac:dyDescent="0.25">
      <c r="S7242" s="78">
        <v>34629</v>
      </c>
      <c r="T7242" s="29">
        <v>5.63</v>
      </c>
    </row>
    <row r="7243" spans="19:20" x14ac:dyDescent="0.25">
      <c r="S7243" s="78">
        <v>34630</v>
      </c>
      <c r="T7243" s="29">
        <v>5.63</v>
      </c>
    </row>
    <row r="7244" spans="19:20" x14ac:dyDescent="0.25">
      <c r="S7244" s="78">
        <v>34631</v>
      </c>
      <c r="T7244" s="29">
        <v>5.63</v>
      </c>
    </row>
    <row r="7245" spans="19:20" x14ac:dyDescent="0.25">
      <c r="S7245" s="78">
        <v>34632</v>
      </c>
      <c r="T7245" s="29">
        <v>5.63</v>
      </c>
    </row>
    <row r="7246" spans="19:20" x14ac:dyDescent="0.25">
      <c r="S7246" s="78">
        <v>34633</v>
      </c>
      <c r="T7246" s="29">
        <v>5.63</v>
      </c>
    </row>
    <row r="7247" spans="19:20" x14ac:dyDescent="0.25">
      <c r="S7247" s="78">
        <v>34634</v>
      </c>
      <c r="T7247" s="29">
        <v>5.63</v>
      </c>
    </row>
    <row r="7248" spans="19:20" x14ac:dyDescent="0.25">
      <c r="S7248" s="78">
        <v>34635</v>
      </c>
      <c r="T7248" s="29">
        <v>5.63</v>
      </c>
    </row>
    <row r="7249" spans="19:20" x14ac:dyDescent="0.25">
      <c r="S7249" s="78">
        <v>34636</v>
      </c>
      <c r="T7249" s="29">
        <v>5.63</v>
      </c>
    </row>
    <row r="7250" spans="19:20" x14ac:dyDescent="0.25">
      <c r="S7250" s="78">
        <v>34637</v>
      </c>
      <c r="T7250" s="29">
        <v>5.63</v>
      </c>
    </row>
    <row r="7251" spans="19:20" x14ac:dyDescent="0.25">
      <c r="S7251" s="78">
        <v>34638</v>
      </c>
      <c r="T7251" s="29">
        <v>5.63</v>
      </c>
    </row>
    <row r="7252" spans="19:20" x14ac:dyDescent="0.25">
      <c r="S7252" s="78">
        <v>34639</v>
      </c>
      <c r="T7252" s="29">
        <v>5.63</v>
      </c>
    </row>
    <row r="7253" spans="19:20" x14ac:dyDescent="0.25">
      <c r="S7253" s="78">
        <v>34640</v>
      </c>
      <c r="T7253" s="29">
        <v>5.63</v>
      </c>
    </row>
    <row r="7254" spans="19:20" x14ac:dyDescent="0.25">
      <c r="S7254" s="78">
        <v>34641</v>
      </c>
      <c r="T7254" s="29">
        <v>5.63</v>
      </c>
    </row>
    <row r="7255" spans="19:20" x14ac:dyDescent="0.25">
      <c r="S7255" s="78">
        <v>34642</v>
      </c>
      <c r="T7255" s="29">
        <v>5.63</v>
      </c>
    </row>
    <row r="7256" spans="19:20" x14ac:dyDescent="0.25">
      <c r="S7256" s="78">
        <v>34643</v>
      </c>
      <c r="T7256" s="29">
        <v>5.63</v>
      </c>
    </row>
    <row r="7257" spans="19:20" x14ac:dyDescent="0.25">
      <c r="S7257" s="78">
        <v>34644</v>
      </c>
      <c r="T7257" s="29">
        <v>5.63</v>
      </c>
    </row>
    <row r="7258" spans="19:20" x14ac:dyDescent="0.25">
      <c r="S7258" s="78">
        <v>34645</v>
      </c>
      <c r="T7258" s="29">
        <v>5.63</v>
      </c>
    </row>
    <row r="7259" spans="19:20" x14ac:dyDescent="0.25">
      <c r="S7259" s="78">
        <v>34646</v>
      </c>
      <c r="T7259" s="29">
        <v>5.63</v>
      </c>
    </row>
    <row r="7260" spans="19:20" x14ac:dyDescent="0.25">
      <c r="S7260" s="78">
        <v>34647</v>
      </c>
      <c r="T7260" s="29">
        <v>5.63</v>
      </c>
    </row>
    <row r="7261" spans="19:20" x14ac:dyDescent="0.25">
      <c r="S7261" s="78">
        <v>34648</v>
      </c>
      <c r="T7261" s="29">
        <v>5.63</v>
      </c>
    </row>
    <row r="7262" spans="19:20" x14ac:dyDescent="0.25">
      <c r="S7262" s="78">
        <v>34649</v>
      </c>
      <c r="T7262" s="29">
        <v>5.63</v>
      </c>
    </row>
    <row r="7263" spans="19:20" x14ac:dyDescent="0.25">
      <c r="S7263" s="78">
        <v>34650</v>
      </c>
      <c r="T7263" s="29">
        <v>5.63</v>
      </c>
    </row>
    <row r="7264" spans="19:20" x14ac:dyDescent="0.25">
      <c r="S7264" s="78">
        <v>34651</v>
      </c>
      <c r="T7264" s="29">
        <v>5.63</v>
      </c>
    </row>
    <row r="7265" spans="19:20" x14ac:dyDescent="0.25">
      <c r="S7265" s="78">
        <v>34652</v>
      </c>
      <c r="T7265" s="29">
        <v>5.63</v>
      </c>
    </row>
    <row r="7266" spans="19:20" x14ac:dyDescent="0.25">
      <c r="S7266" s="78">
        <v>34653</v>
      </c>
      <c r="T7266" s="29">
        <v>5.63</v>
      </c>
    </row>
    <row r="7267" spans="19:20" x14ac:dyDescent="0.25">
      <c r="S7267" s="78">
        <v>34654</v>
      </c>
      <c r="T7267" s="29">
        <v>5.63</v>
      </c>
    </row>
    <row r="7268" spans="19:20" x14ac:dyDescent="0.25">
      <c r="S7268" s="78">
        <v>34655</v>
      </c>
      <c r="T7268" s="29">
        <v>5.63</v>
      </c>
    </row>
    <row r="7269" spans="19:20" x14ac:dyDescent="0.25">
      <c r="S7269" s="78">
        <v>34656</v>
      </c>
      <c r="T7269" s="29">
        <v>5.63</v>
      </c>
    </row>
    <row r="7270" spans="19:20" x14ac:dyDescent="0.25">
      <c r="S7270" s="78">
        <v>34657</v>
      </c>
      <c r="T7270" s="29">
        <v>5.63</v>
      </c>
    </row>
    <row r="7271" spans="19:20" x14ac:dyDescent="0.25">
      <c r="S7271" s="78">
        <v>34658</v>
      </c>
      <c r="T7271" s="29">
        <v>5.63</v>
      </c>
    </row>
    <row r="7272" spans="19:20" x14ac:dyDescent="0.25">
      <c r="S7272" s="78">
        <v>34659</v>
      </c>
      <c r="T7272" s="29">
        <v>5.63</v>
      </c>
    </row>
    <row r="7273" spans="19:20" x14ac:dyDescent="0.25">
      <c r="S7273" s="78">
        <v>34660</v>
      </c>
      <c r="T7273" s="29">
        <v>5.63</v>
      </c>
    </row>
    <row r="7274" spans="19:20" x14ac:dyDescent="0.25">
      <c r="S7274" s="78">
        <v>34661</v>
      </c>
      <c r="T7274" s="29">
        <v>5.63</v>
      </c>
    </row>
    <row r="7275" spans="19:20" x14ac:dyDescent="0.25">
      <c r="S7275" s="78">
        <v>34662</v>
      </c>
      <c r="T7275" s="29">
        <v>5.63</v>
      </c>
    </row>
    <row r="7276" spans="19:20" x14ac:dyDescent="0.25">
      <c r="S7276" s="78">
        <v>34663</v>
      </c>
      <c r="T7276" s="29">
        <v>5.63</v>
      </c>
    </row>
    <row r="7277" spans="19:20" x14ac:dyDescent="0.25">
      <c r="S7277" s="78">
        <v>34664</v>
      </c>
      <c r="T7277" s="29">
        <v>5.63</v>
      </c>
    </row>
    <row r="7278" spans="19:20" x14ac:dyDescent="0.25">
      <c r="S7278" s="78">
        <v>34665</v>
      </c>
      <c r="T7278" s="29">
        <v>5.63</v>
      </c>
    </row>
    <row r="7279" spans="19:20" x14ac:dyDescent="0.25">
      <c r="S7279" s="78">
        <v>34666</v>
      </c>
      <c r="T7279" s="29">
        <v>5.63</v>
      </c>
    </row>
    <row r="7280" spans="19:20" x14ac:dyDescent="0.25">
      <c r="S7280" s="78">
        <v>34667</v>
      </c>
      <c r="T7280" s="29">
        <v>5.63</v>
      </c>
    </row>
    <row r="7281" spans="19:20" x14ac:dyDescent="0.25">
      <c r="S7281" s="78">
        <v>34668</v>
      </c>
      <c r="T7281" s="29">
        <v>5.63</v>
      </c>
    </row>
    <row r="7282" spans="19:20" x14ac:dyDescent="0.25">
      <c r="S7282" s="78">
        <v>34669</v>
      </c>
      <c r="T7282" s="29">
        <v>5.63</v>
      </c>
    </row>
    <row r="7283" spans="19:20" x14ac:dyDescent="0.25">
      <c r="S7283" s="78">
        <v>34670</v>
      </c>
      <c r="T7283" s="29">
        <v>5.63</v>
      </c>
    </row>
    <row r="7284" spans="19:20" x14ac:dyDescent="0.25">
      <c r="S7284" s="78">
        <v>34671</v>
      </c>
      <c r="T7284" s="29">
        <v>5.63</v>
      </c>
    </row>
    <row r="7285" spans="19:20" x14ac:dyDescent="0.25">
      <c r="S7285" s="78">
        <v>34672</v>
      </c>
      <c r="T7285" s="29">
        <v>5.63</v>
      </c>
    </row>
    <row r="7286" spans="19:20" x14ac:dyDescent="0.25">
      <c r="S7286" s="78">
        <v>34673</v>
      </c>
      <c r="T7286" s="29">
        <v>5.63</v>
      </c>
    </row>
    <row r="7287" spans="19:20" x14ac:dyDescent="0.25">
      <c r="S7287" s="78">
        <v>34674</v>
      </c>
      <c r="T7287" s="29">
        <v>5.63</v>
      </c>
    </row>
    <row r="7288" spans="19:20" x14ac:dyDescent="0.25">
      <c r="S7288" s="78">
        <v>34675</v>
      </c>
      <c r="T7288" s="29">
        <v>6.13</v>
      </c>
    </row>
    <row r="7289" spans="19:20" x14ac:dyDescent="0.25">
      <c r="S7289" s="78">
        <v>34676</v>
      </c>
      <c r="T7289" s="29">
        <v>6.13</v>
      </c>
    </row>
    <row r="7290" spans="19:20" x14ac:dyDescent="0.25">
      <c r="S7290" s="78">
        <v>34677</v>
      </c>
      <c r="T7290" s="29">
        <v>6.13</v>
      </c>
    </row>
    <row r="7291" spans="19:20" x14ac:dyDescent="0.25">
      <c r="S7291" s="78">
        <v>34678</v>
      </c>
      <c r="T7291" s="29">
        <v>6.13</v>
      </c>
    </row>
    <row r="7292" spans="19:20" x14ac:dyDescent="0.25">
      <c r="S7292" s="78">
        <v>34679</v>
      </c>
      <c r="T7292" s="29">
        <v>6.13</v>
      </c>
    </row>
    <row r="7293" spans="19:20" x14ac:dyDescent="0.25">
      <c r="S7293" s="78">
        <v>34680</v>
      </c>
      <c r="T7293" s="29">
        <v>6.13</v>
      </c>
    </row>
    <row r="7294" spans="19:20" x14ac:dyDescent="0.25">
      <c r="S7294" s="78">
        <v>34681</v>
      </c>
      <c r="T7294" s="29">
        <v>6.13</v>
      </c>
    </row>
    <row r="7295" spans="19:20" x14ac:dyDescent="0.25">
      <c r="S7295" s="78">
        <v>34682</v>
      </c>
      <c r="T7295" s="29">
        <v>6.13</v>
      </c>
    </row>
    <row r="7296" spans="19:20" x14ac:dyDescent="0.25">
      <c r="S7296" s="78">
        <v>34683</v>
      </c>
      <c r="T7296" s="29">
        <v>6.13</v>
      </c>
    </row>
    <row r="7297" spans="19:21" x14ac:dyDescent="0.25">
      <c r="S7297" s="78">
        <v>34684</v>
      </c>
      <c r="T7297" s="29">
        <v>6.13</v>
      </c>
    </row>
    <row r="7298" spans="19:21" x14ac:dyDescent="0.25">
      <c r="S7298" s="78">
        <v>34685</v>
      </c>
      <c r="T7298" s="29">
        <v>6.13</v>
      </c>
    </row>
    <row r="7299" spans="19:21" x14ac:dyDescent="0.25">
      <c r="S7299" s="78">
        <v>34686</v>
      </c>
      <c r="T7299" s="29">
        <v>6.13</v>
      </c>
    </row>
    <row r="7300" spans="19:21" x14ac:dyDescent="0.25">
      <c r="S7300" s="78">
        <v>34687</v>
      </c>
      <c r="T7300" s="29">
        <v>6.13</v>
      </c>
    </row>
    <row r="7301" spans="19:21" x14ac:dyDescent="0.25">
      <c r="S7301" s="78">
        <v>34688</v>
      </c>
      <c r="T7301" s="29">
        <v>6.13</v>
      </c>
    </row>
    <row r="7302" spans="19:21" x14ac:dyDescent="0.25">
      <c r="S7302" s="78">
        <v>34689</v>
      </c>
      <c r="T7302" s="29">
        <v>6.13</v>
      </c>
    </row>
    <row r="7303" spans="19:21" x14ac:dyDescent="0.25">
      <c r="S7303" s="78">
        <v>34690</v>
      </c>
      <c r="T7303" s="29">
        <v>6.13</v>
      </c>
    </row>
    <row r="7304" spans="19:21" x14ac:dyDescent="0.25">
      <c r="S7304" s="78">
        <v>34691</v>
      </c>
      <c r="T7304" s="29">
        <v>6.13</v>
      </c>
    </row>
    <row r="7305" spans="19:21" x14ac:dyDescent="0.25">
      <c r="S7305" s="78">
        <v>34692</v>
      </c>
      <c r="T7305" s="29">
        <v>6.13</v>
      </c>
    </row>
    <row r="7306" spans="19:21" x14ac:dyDescent="0.25">
      <c r="S7306" s="78">
        <v>34693</v>
      </c>
      <c r="T7306" s="29">
        <v>6.13</v>
      </c>
    </row>
    <row r="7307" spans="19:21" x14ac:dyDescent="0.25">
      <c r="S7307" s="78">
        <v>34694</v>
      </c>
      <c r="T7307" s="29">
        <v>6.13</v>
      </c>
    </row>
    <row r="7308" spans="19:21" x14ac:dyDescent="0.25">
      <c r="S7308" s="78">
        <v>34695</v>
      </c>
      <c r="T7308" s="29">
        <v>6.13</v>
      </c>
    </row>
    <row r="7309" spans="19:21" x14ac:dyDescent="0.25">
      <c r="S7309" s="78">
        <v>34696</v>
      </c>
      <c r="T7309" s="29">
        <v>6.13</v>
      </c>
    </row>
    <row r="7310" spans="19:21" x14ac:dyDescent="0.25">
      <c r="S7310" s="78">
        <v>34697</v>
      </c>
      <c r="T7310" s="29">
        <v>6.13</v>
      </c>
    </row>
    <row r="7311" spans="19:21" x14ac:dyDescent="0.25">
      <c r="S7311" s="78">
        <v>34698</v>
      </c>
      <c r="T7311" s="29">
        <v>6.13</v>
      </c>
    </row>
    <row r="7312" spans="19:21" x14ac:dyDescent="0.25">
      <c r="S7312" s="78">
        <v>34699</v>
      </c>
      <c r="T7312" s="29">
        <v>6.13</v>
      </c>
      <c r="U7312" s="40">
        <f>AVERAGE(T7221:T7312)</f>
        <v>5.7658695652173879</v>
      </c>
    </row>
    <row r="7313" spans="19:20" x14ac:dyDescent="0.25">
      <c r="S7313" s="78">
        <v>34700</v>
      </c>
      <c r="T7313" s="29">
        <v>6.13</v>
      </c>
    </row>
    <row r="7314" spans="19:20" x14ac:dyDescent="0.25">
      <c r="S7314" s="78">
        <v>34701</v>
      </c>
      <c r="T7314" s="29">
        <v>6.13</v>
      </c>
    </row>
    <row r="7315" spans="19:20" x14ac:dyDescent="0.25">
      <c r="S7315" s="78">
        <v>34702</v>
      </c>
      <c r="T7315" s="29">
        <v>6.13</v>
      </c>
    </row>
    <row r="7316" spans="19:20" x14ac:dyDescent="0.25">
      <c r="S7316" s="78">
        <v>34703</v>
      </c>
      <c r="T7316" s="29">
        <v>6.13</v>
      </c>
    </row>
    <row r="7317" spans="19:20" x14ac:dyDescent="0.25">
      <c r="S7317" s="78">
        <v>34704</v>
      </c>
      <c r="T7317" s="29">
        <v>6.13</v>
      </c>
    </row>
    <row r="7318" spans="19:20" x14ac:dyDescent="0.25">
      <c r="S7318" s="78">
        <v>34705</v>
      </c>
      <c r="T7318" s="29">
        <v>6.13</v>
      </c>
    </row>
    <row r="7319" spans="19:20" x14ac:dyDescent="0.25">
      <c r="S7319" s="78">
        <v>34706</v>
      </c>
      <c r="T7319" s="29">
        <v>6.13</v>
      </c>
    </row>
    <row r="7320" spans="19:20" x14ac:dyDescent="0.25">
      <c r="S7320" s="78">
        <v>34707</v>
      </c>
      <c r="T7320" s="29">
        <v>6.13</v>
      </c>
    </row>
    <row r="7321" spans="19:20" x14ac:dyDescent="0.25">
      <c r="S7321" s="78">
        <v>34708</v>
      </c>
      <c r="T7321" s="29">
        <v>6.13</v>
      </c>
    </row>
    <row r="7322" spans="19:20" x14ac:dyDescent="0.25">
      <c r="S7322" s="78">
        <v>34709</v>
      </c>
      <c r="T7322" s="29">
        <v>6.13</v>
      </c>
    </row>
    <row r="7323" spans="19:20" x14ac:dyDescent="0.25">
      <c r="S7323" s="78">
        <v>34710</v>
      </c>
      <c r="T7323" s="29">
        <v>6.13</v>
      </c>
    </row>
    <row r="7324" spans="19:20" x14ac:dyDescent="0.25">
      <c r="S7324" s="78">
        <v>34711</v>
      </c>
      <c r="T7324" s="29">
        <v>6.13</v>
      </c>
    </row>
    <row r="7325" spans="19:20" x14ac:dyDescent="0.25">
      <c r="S7325" s="78">
        <v>34712</v>
      </c>
      <c r="T7325" s="29">
        <v>6.13</v>
      </c>
    </row>
    <row r="7326" spans="19:20" x14ac:dyDescent="0.25">
      <c r="S7326" s="78">
        <v>34713</v>
      </c>
      <c r="T7326" s="29">
        <v>6.13</v>
      </c>
    </row>
    <row r="7327" spans="19:20" x14ac:dyDescent="0.25">
      <c r="S7327" s="78">
        <v>34714</v>
      </c>
      <c r="T7327" s="29">
        <v>6.13</v>
      </c>
    </row>
    <row r="7328" spans="19:20" x14ac:dyDescent="0.25">
      <c r="S7328" s="78">
        <v>34715</v>
      </c>
      <c r="T7328" s="29">
        <v>6.13</v>
      </c>
    </row>
    <row r="7329" spans="19:20" x14ac:dyDescent="0.25">
      <c r="S7329" s="78">
        <v>34716</v>
      </c>
      <c r="T7329" s="29">
        <v>6.13</v>
      </c>
    </row>
    <row r="7330" spans="19:20" x14ac:dyDescent="0.25">
      <c r="S7330" s="78">
        <v>34717</v>
      </c>
      <c r="T7330" s="29">
        <v>6.13</v>
      </c>
    </row>
    <row r="7331" spans="19:20" x14ac:dyDescent="0.25">
      <c r="S7331" s="78">
        <v>34718</v>
      </c>
      <c r="T7331" s="29">
        <v>6.13</v>
      </c>
    </row>
    <row r="7332" spans="19:20" x14ac:dyDescent="0.25">
      <c r="S7332" s="78">
        <v>34719</v>
      </c>
      <c r="T7332" s="29">
        <v>6.13</v>
      </c>
    </row>
    <row r="7333" spans="19:20" x14ac:dyDescent="0.25">
      <c r="S7333" s="78">
        <v>34720</v>
      </c>
      <c r="T7333" s="29">
        <v>6.13</v>
      </c>
    </row>
    <row r="7334" spans="19:20" x14ac:dyDescent="0.25">
      <c r="S7334" s="78">
        <v>34721</v>
      </c>
      <c r="T7334" s="29">
        <v>6.13</v>
      </c>
    </row>
    <row r="7335" spans="19:20" x14ac:dyDescent="0.25">
      <c r="S7335" s="78">
        <v>34722</v>
      </c>
      <c r="T7335" s="29">
        <v>6.13</v>
      </c>
    </row>
    <row r="7336" spans="19:20" x14ac:dyDescent="0.25">
      <c r="S7336" s="78">
        <v>34723</v>
      </c>
      <c r="T7336" s="29">
        <v>6.13</v>
      </c>
    </row>
    <row r="7337" spans="19:20" x14ac:dyDescent="0.25">
      <c r="S7337" s="78">
        <v>34724</v>
      </c>
      <c r="T7337" s="29">
        <v>6.13</v>
      </c>
    </row>
    <row r="7338" spans="19:20" x14ac:dyDescent="0.25">
      <c r="S7338" s="78">
        <v>34725</v>
      </c>
      <c r="T7338" s="29">
        <v>6.13</v>
      </c>
    </row>
    <row r="7339" spans="19:20" x14ac:dyDescent="0.25">
      <c r="S7339" s="78">
        <v>34726</v>
      </c>
      <c r="T7339" s="29">
        <v>6.13</v>
      </c>
    </row>
    <row r="7340" spans="19:20" x14ac:dyDescent="0.25">
      <c r="S7340" s="78">
        <v>34727</v>
      </c>
      <c r="T7340" s="29">
        <v>6.13</v>
      </c>
    </row>
    <row r="7341" spans="19:20" x14ac:dyDescent="0.25">
      <c r="S7341" s="78">
        <v>34728</v>
      </c>
      <c r="T7341" s="29">
        <v>6.13</v>
      </c>
    </row>
    <row r="7342" spans="19:20" x14ac:dyDescent="0.25">
      <c r="S7342" s="78">
        <v>34729</v>
      </c>
      <c r="T7342" s="29">
        <v>6.13</v>
      </c>
    </row>
    <row r="7343" spans="19:20" x14ac:dyDescent="0.25">
      <c r="S7343" s="78">
        <v>34730</v>
      </c>
      <c r="T7343" s="29">
        <v>6.13</v>
      </c>
    </row>
    <row r="7344" spans="19:20" x14ac:dyDescent="0.25">
      <c r="S7344" s="78">
        <v>34731</v>
      </c>
      <c r="T7344" s="29">
        <v>6.13</v>
      </c>
    </row>
    <row r="7345" spans="19:20" x14ac:dyDescent="0.25">
      <c r="S7345" s="78">
        <v>34732</v>
      </c>
      <c r="T7345" s="29">
        <v>6.63</v>
      </c>
    </row>
    <row r="7346" spans="19:20" x14ac:dyDescent="0.25">
      <c r="S7346" s="78">
        <v>34733</v>
      </c>
      <c r="T7346" s="29">
        <v>6.63</v>
      </c>
    </row>
    <row r="7347" spans="19:20" x14ac:dyDescent="0.25">
      <c r="S7347" s="78">
        <v>34734</v>
      </c>
      <c r="T7347" s="29">
        <v>6.63</v>
      </c>
    </row>
    <row r="7348" spans="19:20" x14ac:dyDescent="0.25">
      <c r="S7348" s="78">
        <v>34735</v>
      </c>
      <c r="T7348" s="29">
        <v>6.63</v>
      </c>
    </row>
    <row r="7349" spans="19:20" x14ac:dyDescent="0.25">
      <c r="S7349" s="78">
        <v>34736</v>
      </c>
      <c r="T7349" s="29">
        <v>6.63</v>
      </c>
    </row>
    <row r="7350" spans="19:20" x14ac:dyDescent="0.25">
      <c r="S7350" s="78">
        <v>34737</v>
      </c>
      <c r="T7350" s="29">
        <v>6.63</v>
      </c>
    </row>
    <row r="7351" spans="19:20" x14ac:dyDescent="0.25">
      <c r="S7351" s="78">
        <v>34738</v>
      </c>
      <c r="T7351" s="29">
        <v>6.63</v>
      </c>
    </row>
    <row r="7352" spans="19:20" x14ac:dyDescent="0.25">
      <c r="S7352" s="78">
        <v>34739</v>
      </c>
      <c r="T7352" s="29">
        <v>6.63</v>
      </c>
    </row>
    <row r="7353" spans="19:20" x14ac:dyDescent="0.25">
      <c r="S7353" s="78">
        <v>34740</v>
      </c>
      <c r="T7353" s="29">
        <v>6.63</v>
      </c>
    </row>
    <row r="7354" spans="19:20" x14ac:dyDescent="0.25">
      <c r="S7354" s="78">
        <v>34741</v>
      </c>
      <c r="T7354" s="29">
        <v>6.63</v>
      </c>
    </row>
    <row r="7355" spans="19:20" x14ac:dyDescent="0.25">
      <c r="S7355" s="78">
        <v>34742</v>
      </c>
      <c r="T7355" s="29">
        <v>6.63</v>
      </c>
    </row>
    <row r="7356" spans="19:20" x14ac:dyDescent="0.25">
      <c r="S7356" s="78">
        <v>34743</v>
      </c>
      <c r="T7356" s="29">
        <v>6.63</v>
      </c>
    </row>
    <row r="7357" spans="19:20" x14ac:dyDescent="0.25">
      <c r="S7357" s="78">
        <v>34744</v>
      </c>
      <c r="T7357" s="29">
        <v>6.63</v>
      </c>
    </row>
    <row r="7358" spans="19:20" x14ac:dyDescent="0.25">
      <c r="S7358" s="78">
        <v>34745</v>
      </c>
      <c r="T7358" s="29">
        <v>6.63</v>
      </c>
    </row>
    <row r="7359" spans="19:20" x14ac:dyDescent="0.25">
      <c r="S7359" s="78">
        <v>34746</v>
      </c>
      <c r="T7359" s="29">
        <v>6.63</v>
      </c>
    </row>
    <row r="7360" spans="19:20" x14ac:dyDescent="0.25">
      <c r="S7360" s="78">
        <v>34747</v>
      </c>
      <c r="T7360" s="29">
        <v>6.63</v>
      </c>
    </row>
    <row r="7361" spans="19:20" x14ac:dyDescent="0.25">
      <c r="S7361" s="78">
        <v>34748</v>
      </c>
      <c r="T7361" s="29">
        <v>6.63</v>
      </c>
    </row>
    <row r="7362" spans="19:20" x14ac:dyDescent="0.25">
      <c r="S7362" s="78">
        <v>34749</v>
      </c>
      <c r="T7362" s="29">
        <v>6.63</v>
      </c>
    </row>
    <row r="7363" spans="19:20" x14ac:dyDescent="0.25">
      <c r="S7363" s="78">
        <v>34750</v>
      </c>
      <c r="T7363" s="29">
        <v>6.63</v>
      </c>
    </row>
    <row r="7364" spans="19:20" x14ac:dyDescent="0.25">
      <c r="S7364" s="78">
        <v>34751</v>
      </c>
      <c r="T7364" s="29">
        <v>6.63</v>
      </c>
    </row>
    <row r="7365" spans="19:20" x14ac:dyDescent="0.25">
      <c r="S7365" s="78">
        <v>34752</v>
      </c>
      <c r="T7365" s="29">
        <v>6.63</v>
      </c>
    </row>
    <row r="7366" spans="19:20" x14ac:dyDescent="0.25">
      <c r="S7366" s="78">
        <v>34753</v>
      </c>
      <c r="T7366" s="29">
        <v>6.63</v>
      </c>
    </row>
    <row r="7367" spans="19:20" x14ac:dyDescent="0.25">
      <c r="S7367" s="78">
        <v>34754</v>
      </c>
      <c r="T7367" s="29">
        <v>6.63</v>
      </c>
    </row>
    <row r="7368" spans="19:20" x14ac:dyDescent="0.25">
      <c r="S7368" s="78">
        <v>34755</v>
      </c>
      <c r="T7368" s="29">
        <v>6.63</v>
      </c>
    </row>
    <row r="7369" spans="19:20" x14ac:dyDescent="0.25">
      <c r="S7369" s="78">
        <v>34756</v>
      </c>
      <c r="T7369" s="29">
        <v>6.63</v>
      </c>
    </row>
    <row r="7370" spans="19:20" x14ac:dyDescent="0.25">
      <c r="S7370" s="78">
        <v>34757</v>
      </c>
      <c r="T7370" s="29">
        <v>6.63</v>
      </c>
    </row>
    <row r="7371" spans="19:20" x14ac:dyDescent="0.25">
      <c r="S7371" s="78">
        <v>34758</v>
      </c>
      <c r="T7371" s="29">
        <v>6.63</v>
      </c>
    </row>
    <row r="7372" spans="19:20" x14ac:dyDescent="0.25">
      <c r="S7372" s="78">
        <v>34759</v>
      </c>
      <c r="T7372" s="29">
        <v>6.63</v>
      </c>
    </row>
    <row r="7373" spans="19:20" x14ac:dyDescent="0.25">
      <c r="S7373" s="78">
        <v>34760</v>
      </c>
      <c r="T7373" s="29">
        <v>6.63</v>
      </c>
    </row>
    <row r="7374" spans="19:20" x14ac:dyDescent="0.25">
      <c r="S7374" s="78">
        <v>34761</v>
      </c>
      <c r="T7374" s="29">
        <v>6.63</v>
      </c>
    </row>
    <row r="7375" spans="19:20" x14ac:dyDescent="0.25">
      <c r="S7375" s="78">
        <v>34762</v>
      </c>
      <c r="T7375" s="29">
        <v>6.63</v>
      </c>
    </row>
    <row r="7376" spans="19:20" x14ac:dyDescent="0.25">
      <c r="S7376" s="78">
        <v>34763</v>
      </c>
      <c r="T7376" s="29">
        <v>6.63</v>
      </c>
    </row>
    <row r="7377" spans="19:20" x14ac:dyDescent="0.25">
      <c r="S7377" s="78">
        <v>34764</v>
      </c>
      <c r="T7377" s="29">
        <v>6.63</v>
      </c>
    </row>
    <row r="7378" spans="19:20" x14ac:dyDescent="0.25">
      <c r="S7378" s="78">
        <v>34765</v>
      </c>
      <c r="T7378" s="29">
        <v>6.63</v>
      </c>
    </row>
    <row r="7379" spans="19:20" x14ac:dyDescent="0.25">
      <c r="S7379" s="78">
        <v>34766</v>
      </c>
      <c r="T7379" s="29">
        <v>6.63</v>
      </c>
    </row>
    <row r="7380" spans="19:20" x14ac:dyDescent="0.25">
      <c r="S7380" s="78">
        <v>34767</v>
      </c>
      <c r="T7380" s="29">
        <v>6.63</v>
      </c>
    </row>
    <row r="7381" spans="19:20" x14ac:dyDescent="0.25">
      <c r="S7381" s="78">
        <v>34768</v>
      </c>
      <c r="T7381" s="29">
        <v>6.63</v>
      </c>
    </row>
    <row r="7382" spans="19:20" x14ac:dyDescent="0.25">
      <c r="S7382" s="78">
        <v>34769</v>
      </c>
      <c r="T7382" s="29">
        <v>6.63</v>
      </c>
    </row>
    <row r="7383" spans="19:20" x14ac:dyDescent="0.25">
      <c r="S7383" s="78">
        <v>34770</v>
      </c>
      <c r="T7383" s="29">
        <v>6.63</v>
      </c>
    </row>
    <row r="7384" spans="19:20" x14ac:dyDescent="0.25">
      <c r="S7384" s="78">
        <v>34771</v>
      </c>
      <c r="T7384" s="29">
        <v>6.63</v>
      </c>
    </row>
    <row r="7385" spans="19:20" x14ac:dyDescent="0.25">
      <c r="S7385" s="78">
        <v>34772</v>
      </c>
      <c r="T7385" s="29">
        <v>6.63</v>
      </c>
    </row>
    <row r="7386" spans="19:20" x14ac:dyDescent="0.25">
      <c r="S7386" s="78">
        <v>34773</v>
      </c>
      <c r="T7386" s="29">
        <v>6.63</v>
      </c>
    </row>
    <row r="7387" spans="19:20" x14ac:dyDescent="0.25">
      <c r="S7387" s="78">
        <v>34774</v>
      </c>
      <c r="T7387" s="29">
        <v>6.63</v>
      </c>
    </row>
    <row r="7388" spans="19:20" x14ac:dyDescent="0.25">
      <c r="S7388" s="78">
        <v>34775</v>
      </c>
      <c r="T7388" s="29">
        <v>6.63</v>
      </c>
    </row>
    <row r="7389" spans="19:20" x14ac:dyDescent="0.25">
      <c r="S7389" s="78">
        <v>34776</v>
      </c>
      <c r="T7389" s="29">
        <v>6.63</v>
      </c>
    </row>
    <row r="7390" spans="19:20" x14ac:dyDescent="0.25">
      <c r="S7390" s="78">
        <v>34777</v>
      </c>
      <c r="T7390" s="29">
        <v>6.63</v>
      </c>
    </row>
    <row r="7391" spans="19:20" x14ac:dyDescent="0.25">
      <c r="S7391" s="78">
        <v>34778</v>
      </c>
      <c r="T7391" s="29">
        <v>6.63</v>
      </c>
    </row>
    <row r="7392" spans="19:20" x14ac:dyDescent="0.25">
      <c r="S7392" s="78">
        <v>34779</v>
      </c>
      <c r="T7392" s="29">
        <v>6.63</v>
      </c>
    </row>
    <row r="7393" spans="19:21" x14ac:dyDescent="0.25">
      <c r="S7393" s="78">
        <v>34780</v>
      </c>
      <c r="T7393" s="29">
        <v>6.63</v>
      </c>
    </row>
    <row r="7394" spans="19:21" x14ac:dyDescent="0.25">
      <c r="S7394" s="78">
        <v>34781</v>
      </c>
      <c r="T7394" s="29">
        <v>6.63</v>
      </c>
    </row>
    <row r="7395" spans="19:21" x14ac:dyDescent="0.25">
      <c r="S7395" s="78">
        <v>34782</v>
      </c>
      <c r="T7395" s="29">
        <v>6.63</v>
      </c>
    </row>
    <row r="7396" spans="19:21" x14ac:dyDescent="0.25">
      <c r="S7396" s="78">
        <v>34783</v>
      </c>
      <c r="T7396" s="29">
        <v>6.63</v>
      </c>
    </row>
    <row r="7397" spans="19:21" x14ac:dyDescent="0.25">
      <c r="S7397" s="78">
        <v>34784</v>
      </c>
      <c r="T7397" s="29">
        <v>6.63</v>
      </c>
    </row>
    <row r="7398" spans="19:21" x14ac:dyDescent="0.25">
      <c r="S7398" s="78">
        <v>34785</v>
      </c>
      <c r="T7398" s="29">
        <v>6.63</v>
      </c>
    </row>
    <row r="7399" spans="19:21" x14ac:dyDescent="0.25">
      <c r="S7399" s="78">
        <v>34786</v>
      </c>
      <c r="T7399" s="29">
        <v>6.63</v>
      </c>
    </row>
    <row r="7400" spans="19:21" x14ac:dyDescent="0.25">
      <c r="S7400" s="78">
        <v>34787</v>
      </c>
      <c r="T7400" s="29">
        <v>6.63</v>
      </c>
    </row>
    <row r="7401" spans="19:21" x14ac:dyDescent="0.25">
      <c r="S7401" s="78">
        <v>34788</v>
      </c>
      <c r="T7401" s="29">
        <v>6.63</v>
      </c>
    </row>
    <row r="7402" spans="19:21" x14ac:dyDescent="0.25">
      <c r="S7402" s="78">
        <v>34789</v>
      </c>
      <c r="T7402" s="29">
        <v>6.63</v>
      </c>
      <c r="U7402" s="39">
        <f>AVERAGE(T7313:T7402)</f>
        <v>6.4522222222222192</v>
      </c>
    </row>
    <row r="7403" spans="19:21" x14ac:dyDescent="0.25">
      <c r="S7403" s="78">
        <v>34790</v>
      </c>
      <c r="T7403" s="29">
        <v>6.63</v>
      </c>
    </row>
    <row r="7404" spans="19:21" x14ac:dyDescent="0.25">
      <c r="S7404" s="78">
        <v>34791</v>
      </c>
      <c r="T7404" s="29">
        <v>6.63</v>
      </c>
    </row>
    <row r="7405" spans="19:21" x14ac:dyDescent="0.25">
      <c r="S7405" s="78">
        <v>34792</v>
      </c>
      <c r="T7405" s="29">
        <v>6.63</v>
      </c>
    </row>
    <row r="7406" spans="19:21" x14ac:dyDescent="0.25">
      <c r="S7406" s="78">
        <v>34793</v>
      </c>
      <c r="T7406" s="29">
        <v>6.63</v>
      </c>
    </row>
    <row r="7407" spans="19:21" x14ac:dyDescent="0.25">
      <c r="S7407" s="78">
        <v>34794</v>
      </c>
      <c r="T7407" s="29">
        <v>6.63</v>
      </c>
    </row>
    <row r="7408" spans="19:21" x14ac:dyDescent="0.25">
      <c r="S7408" s="78">
        <v>34795</v>
      </c>
      <c r="T7408" s="29">
        <v>6.63</v>
      </c>
    </row>
    <row r="7409" spans="19:20" x14ac:dyDescent="0.25">
      <c r="S7409" s="78">
        <v>34796</v>
      </c>
      <c r="T7409" s="29">
        <v>6.63</v>
      </c>
    </row>
    <row r="7410" spans="19:20" x14ac:dyDescent="0.25">
      <c r="S7410" s="78">
        <v>34797</v>
      </c>
      <c r="T7410" s="29">
        <v>6.63</v>
      </c>
    </row>
    <row r="7411" spans="19:20" x14ac:dyDescent="0.25">
      <c r="S7411" s="78">
        <v>34798</v>
      </c>
      <c r="T7411" s="29">
        <v>6.63</v>
      </c>
    </row>
    <row r="7412" spans="19:20" x14ac:dyDescent="0.25">
      <c r="S7412" s="78">
        <v>34799</v>
      </c>
      <c r="T7412" s="29">
        <v>6.63</v>
      </c>
    </row>
    <row r="7413" spans="19:20" x14ac:dyDescent="0.25">
      <c r="S7413" s="78">
        <v>34800</v>
      </c>
      <c r="T7413" s="29">
        <v>6.63</v>
      </c>
    </row>
    <row r="7414" spans="19:20" x14ac:dyDescent="0.25">
      <c r="S7414" s="78">
        <v>34801</v>
      </c>
      <c r="T7414" s="29">
        <v>6.63</v>
      </c>
    </row>
    <row r="7415" spans="19:20" x14ac:dyDescent="0.25">
      <c r="S7415" s="78">
        <v>34802</v>
      </c>
      <c r="T7415" s="29">
        <v>6.63</v>
      </c>
    </row>
    <row r="7416" spans="19:20" x14ac:dyDescent="0.25">
      <c r="S7416" s="78">
        <v>34803</v>
      </c>
      <c r="T7416" s="29">
        <v>6.63</v>
      </c>
    </row>
    <row r="7417" spans="19:20" x14ac:dyDescent="0.25">
      <c r="S7417" s="78">
        <v>34804</v>
      </c>
      <c r="T7417" s="29">
        <v>6.63</v>
      </c>
    </row>
    <row r="7418" spans="19:20" x14ac:dyDescent="0.25">
      <c r="S7418" s="78">
        <v>34805</v>
      </c>
      <c r="T7418" s="29">
        <v>6.63</v>
      </c>
    </row>
    <row r="7419" spans="19:20" x14ac:dyDescent="0.25">
      <c r="S7419" s="78">
        <v>34806</v>
      </c>
      <c r="T7419" s="29">
        <v>6.63</v>
      </c>
    </row>
    <row r="7420" spans="19:20" x14ac:dyDescent="0.25">
      <c r="S7420" s="78">
        <v>34807</v>
      </c>
      <c r="T7420" s="29">
        <v>6.63</v>
      </c>
    </row>
    <row r="7421" spans="19:20" x14ac:dyDescent="0.25">
      <c r="S7421" s="78">
        <v>34808</v>
      </c>
      <c r="T7421" s="29">
        <v>6.63</v>
      </c>
    </row>
    <row r="7422" spans="19:20" x14ac:dyDescent="0.25">
      <c r="S7422" s="78">
        <v>34809</v>
      </c>
      <c r="T7422" s="29">
        <v>6.63</v>
      </c>
    </row>
    <row r="7423" spans="19:20" x14ac:dyDescent="0.25">
      <c r="S7423" s="78">
        <v>34810</v>
      </c>
      <c r="T7423" s="29">
        <v>6.63</v>
      </c>
    </row>
    <row r="7424" spans="19:20" x14ac:dyDescent="0.25">
      <c r="S7424" s="78">
        <v>34811</v>
      </c>
      <c r="T7424" s="29">
        <v>6.63</v>
      </c>
    </row>
    <row r="7425" spans="19:20" x14ac:dyDescent="0.25">
      <c r="S7425" s="78">
        <v>34812</v>
      </c>
      <c r="T7425" s="29">
        <v>6.63</v>
      </c>
    </row>
    <row r="7426" spans="19:20" x14ac:dyDescent="0.25">
      <c r="S7426" s="78">
        <v>34813</v>
      </c>
      <c r="T7426" s="29">
        <v>6.63</v>
      </c>
    </row>
    <row r="7427" spans="19:20" x14ac:dyDescent="0.25">
      <c r="S7427" s="78">
        <v>34814</v>
      </c>
      <c r="T7427" s="29">
        <v>6.63</v>
      </c>
    </row>
    <row r="7428" spans="19:20" x14ac:dyDescent="0.25">
      <c r="S7428" s="78">
        <v>34815</v>
      </c>
      <c r="T7428" s="29">
        <v>6.63</v>
      </c>
    </row>
    <row r="7429" spans="19:20" x14ac:dyDescent="0.25">
      <c r="S7429" s="78">
        <v>34816</v>
      </c>
      <c r="T7429" s="29">
        <v>6.63</v>
      </c>
    </row>
    <row r="7430" spans="19:20" x14ac:dyDescent="0.25">
      <c r="S7430" s="78">
        <v>34817</v>
      </c>
      <c r="T7430" s="29">
        <v>6.63</v>
      </c>
    </row>
    <row r="7431" spans="19:20" x14ac:dyDescent="0.25">
      <c r="S7431" s="78">
        <v>34818</v>
      </c>
      <c r="T7431" s="29">
        <v>6.63</v>
      </c>
    </row>
    <row r="7432" spans="19:20" x14ac:dyDescent="0.25">
      <c r="S7432" s="78">
        <v>34819</v>
      </c>
      <c r="T7432" s="29">
        <v>6.63</v>
      </c>
    </row>
    <row r="7433" spans="19:20" x14ac:dyDescent="0.25">
      <c r="S7433" s="78">
        <v>34820</v>
      </c>
      <c r="T7433" s="29">
        <v>6.63</v>
      </c>
    </row>
    <row r="7434" spans="19:20" x14ac:dyDescent="0.25">
      <c r="S7434" s="78">
        <v>34821</v>
      </c>
      <c r="T7434" s="29">
        <v>6.63</v>
      </c>
    </row>
    <row r="7435" spans="19:20" x14ac:dyDescent="0.25">
      <c r="S7435" s="78">
        <v>34822</v>
      </c>
      <c r="T7435" s="29">
        <v>6.63</v>
      </c>
    </row>
    <row r="7436" spans="19:20" x14ac:dyDescent="0.25">
      <c r="S7436" s="78">
        <v>34823</v>
      </c>
      <c r="T7436" s="29">
        <v>6.63</v>
      </c>
    </row>
    <row r="7437" spans="19:20" x14ac:dyDescent="0.25">
      <c r="S7437" s="78">
        <v>34824</v>
      </c>
      <c r="T7437" s="29">
        <v>6.63</v>
      </c>
    </row>
    <row r="7438" spans="19:20" x14ac:dyDescent="0.25">
      <c r="S7438" s="78">
        <v>34825</v>
      </c>
      <c r="T7438" s="29">
        <v>6.63</v>
      </c>
    </row>
    <row r="7439" spans="19:20" x14ac:dyDescent="0.25">
      <c r="S7439" s="78">
        <v>34826</v>
      </c>
      <c r="T7439" s="29">
        <v>6.63</v>
      </c>
    </row>
    <row r="7440" spans="19:20" x14ac:dyDescent="0.25">
      <c r="S7440" s="78">
        <v>34827</v>
      </c>
      <c r="T7440" s="29">
        <v>6.63</v>
      </c>
    </row>
    <row r="7441" spans="19:20" x14ac:dyDescent="0.25">
      <c r="S7441" s="78">
        <v>34828</v>
      </c>
      <c r="T7441" s="29">
        <v>6.63</v>
      </c>
    </row>
    <row r="7442" spans="19:20" x14ac:dyDescent="0.25">
      <c r="S7442" s="78">
        <v>34829</v>
      </c>
      <c r="T7442" s="29">
        <v>6.63</v>
      </c>
    </row>
    <row r="7443" spans="19:20" x14ac:dyDescent="0.25">
      <c r="S7443" s="78">
        <v>34830</v>
      </c>
      <c r="T7443" s="29">
        <v>6.63</v>
      </c>
    </row>
    <row r="7444" spans="19:20" x14ac:dyDescent="0.25">
      <c r="S7444" s="78">
        <v>34831</v>
      </c>
      <c r="T7444" s="29">
        <v>6.63</v>
      </c>
    </row>
    <row r="7445" spans="19:20" x14ac:dyDescent="0.25">
      <c r="S7445" s="78">
        <v>34832</v>
      </c>
      <c r="T7445" s="29">
        <v>6.63</v>
      </c>
    </row>
    <row r="7446" spans="19:20" x14ac:dyDescent="0.25">
      <c r="S7446" s="78">
        <v>34833</v>
      </c>
      <c r="T7446" s="29">
        <v>6.63</v>
      </c>
    </row>
    <row r="7447" spans="19:20" x14ac:dyDescent="0.25">
      <c r="S7447" s="78">
        <v>34834</v>
      </c>
      <c r="T7447" s="29">
        <v>6.63</v>
      </c>
    </row>
    <row r="7448" spans="19:20" x14ac:dyDescent="0.25">
      <c r="S7448" s="78">
        <v>34835</v>
      </c>
      <c r="T7448" s="29">
        <v>6.63</v>
      </c>
    </row>
    <row r="7449" spans="19:20" x14ac:dyDescent="0.25">
      <c r="S7449" s="78">
        <v>34836</v>
      </c>
      <c r="T7449" s="29">
        <v>6.63</v>
      </c>
    </row>
    <row r="7450" spans="19:20" x14ac:dyDescent="0.25">
      <c r="S7450" s="78">
        <v>34837</v>
      </c>
      <c r="T7450" s="29">
        <v>6.63</v>
      </c>
    </row>
    <row r="7451" spans="19:20" x14ac:dyDescent="0.25">
      <c r="S7451" s="78">
        <v>34838</v>
      </c>
      <c r="T7451" s="29">
        <v>6.63</v>
      </c>
    </row>
    <row r="7452" spans="19:20" x14ac:dyDescent="0.25">
      <c r="S7452" s="78">
        <v>34839</v>
      </c>
      <c r="T7452" s="29">
        <v>6.63</v>
      </c>
    </row>
    <row r="7453" spans="19:20" x14ac:dyDescent="0.25">
      <c r="S7453" s="78">
        <v>34840</v>
      </c>
      <c r="T7453" s="29">
        <v>6.63</v>
      </c>
    </row>
    <row r="7454" spans="19:20" x14ac:dyDescent="0.25">
      <c r="S7454" s="78">
        <v>34841</v>
      </c>
      <c r="T7454" s="29">
        <v>6.63</v>
      </c>
    </row>
    <row r="7455" spans="19:20" x14ac:dyDescent="0.25">
      <c r="S7455" s="78">
        <v>34842</v>
      </c>
      <c r="T7455" s="29">
        <v>6.63</v>
      </c>
    </row>
    <row r="7456" spans="19:20" x14ac:dyDescent="0.25">
      <c r="S7456" s="78">
        <v>34843</v>
      </c>
      <c r="T7456" s="29">
        <v>6.63</v>
      </c>
    </row>
    <row r="7457" spans="19:20" x14ac:dyDescent="0.25">
      <c r="S7457" s="78">
        <v>34844</v>
      </c>
      <c r="T7457" s="29">
        <v>6.63</v>
      </c>
    </row>
    <row r="7458" spans="19:20" x14ac:dyDescent="0.25">
      <c r="S7458" s="78">
        <v>34845</v>
      </c>
      <c r="T7458" s="29">
        <v>6.63</v>
      </c>
    </row>
    <row r="7459" spans="19:20" x14ac:dyDescent="0.25">
      <c r="S7459" s="78">
        <v>34846</v>
      </c>
      <c r="T7459" s="29">
        <v>6.63</v>
      </c>
    </row>
    <row r="7460" spans="19:20" x14ac:dyDescent="0.25">
      <c r="S7460" s="78">
        <v>34847</v>
      </c>
      <c r="T7460" s="29">
        <v>6.63</v>
      </c>
    </row>
    <row r="7461" spans="19:20" x14ac:dyDescent="0.25">
      <c r="S7461" s="78">
        <v>34848</v>
      </c>
      <c r="T7461" s="29">
        <v>6.63</v>
      </c>
    </row>
    <row r="7462" spans="19:20" x14ac:dyDescent="0.25">
      <c r="S7462" s="78">
        <v>34849</v>
      </c>
      <c r="T7462" s="29">
        <v>6.63</v>
      </c>
    </row>
    <row r="7463" spans="19:20" x14ac:dyDescent="0.25">
      <c r="S7463" s="78">
        <v>34850</v>
      </c>
      <c r="T7463" s="29">
        <v>6.63</v>
      </c>
    </row>
    <row r="7464" spans="19:20" x14ac:dyDescent="0.25">
      <c r="S7464" s="78">
        <v>34851</v>
      </c>
      <c r="T7464" s="29">
        <v>6.63</v>
      </c>
    </row>
    <row r="7465" spans="19:20" x14ac:dyDescent="0.25">
      <c r="S7465" s="78">
        <v>34852</v>
      </c>
      <c r="T7465" s="29">
        <v>6.63</v>
      </c>
    </row>
    <row r="7466" spans="19:20" x14ac:dyDescent="0.25">
      <c r="S7466" s="78">
        <v>34853</v>
      </c>
      <c r="T7466" s="29">
        <v>6.63</v>
      </c>
    </row>
    <row r="7467" spans="19:20" x14ac:dyDescent="0.25">
      <c r="S7467" s="78">
        <v>34854</v>
      </c>
      <c r="T7467" s="29">
        <v>6.63</v>
      </c>
    </row>
    <row r="7468" spans="19:20" x14ac:dyDescent="0.25">
      <c r="S7468" s="78">
        <v>34855</v>
      </c>
      <c r="T7468" s="29">
        <v>6.63</v>
      </c>
    </row>
    <row r="7469" spans="19:20" x14ac:dyDescent="0.25">
      <c r="S7469" s="78">
        <v>34856</v>
      </c>
      <c r="T7469" s="29">
        <v>6.63</v>
      </c>
    </row>
    <row r="7470" spans="19:20" x14ac:dyDescent="0.25">
      <c r="S7470" s="78">
        <v>34857</v>
      </c>
      <c r="T7470" s="29">
        <v>6.63</v>
      </c>
    </row>
    <row r="7471" spans="19:20" x14ac:dyDescent="0.25">
      <c r="S7471" s="78">
        <v>34858</v>
      </c>
      <c r="T7471" s="29">
        <v>6.63</v>
      </c>
    </row>
    <row r="7472" spans="19:20" x14ac:dyDescent="0.25">
      <c r="S7472" s="78">
        <v>34859</v>
      </c>
      <c r="T7472" s="29">
        <v>6.63</v>
      </c>
    </row>
    <row r="7473" spans="19:20" x14ac:dyDescent="0.25">
      <c r="S7473" s="78">
        <v>34860</v>
      </c>
      <c r="T7473" s="29">
        <v>6.63</v>
      </c>
    </row>
    <row r="7474" spans="19:20" x14ac:dyDescent="0.25">
      <c r="S7474" s="78">
        <v>34861</v>
      </c>
      <c r="T7474" s="29">
        <v>6.63</v>
      </c>
    </row>
    <row r="7475" spans="19:20" x14ac:dyDescent="0.25">
      <c r="S7475" s="78">
        <v>34862</v>
      </c>
      <c r="T7475" s="29">
        <v>6.63</v>
      </c>
    </row>
    <row r="7476" spans="19:20" x14ac:dyDescent="0.25">
      <c r="S7476" s="78">
        <v>34863</v>
      </c>
      <c r="T7476" s="29">
        <v>6.63</v>
      </c>
    </row>
    <row r="7477" spans="19:20" x14ac:dyDescent="0.25">
      <c r="S7477" s="78">
        <v>34864</v>
      </c>
      <c r="T7477" s="29">
        <v>6.63</v>
      </c>
    </row>
    <row r="7478" spans="19:20" x14ac:dyDescent="0.25">
      <c r="S7478" s="78">
        <v>34865</v>
      </c>
      <c r="T7478" s="29">
        <v>6.63</v>
      </c>
    </row>
    <row r="7479" spans="19:20" x14ac:dyDescent="0.25">
      <c r="S7479" s="78">
        <v>34866</v>
      </c>
      <c r="T7479" s="29">
        <v>6.63</v>
      </c>
    </row>
    <row r="7480" spans="19:20" x14ac:dyDescent="0.25">
      <c r="S7480" s="78">
        <v>34867</v>
      </c>
      <c r="T7480" s="29">
        <v>6.63</v>
      </c>
    </row>
    <row r="7481" spans="19:20" x14ac:dyDescent="0.25">
      <c r="S7481" s="78">
        <v>34868</v>
      </c>
      <c r="T7481" s="29">
        <v>6.63</v>
      </c>
    </row>
    <row r="7482" spans="19:20" x14ac:dyDescent="0.25">
      <c r="S7482" s="78">
        <v>34869</v>
      </c>
      <c r="T7482" s="29">
        <v>6.63</v>
      </c>
    </row>
    <row r="7483" spans="19:20" x14ac:dyDescent="0.25">
      <c r="S7483" s="78">
        <v>34870</v>
      </c>
      <c r="T7483" s="29">
        <v>6.63</v>
      </c>
    </row>
    <row r="7484" spans="19:20" x14ac:dyDescent="0.25">
      <c r="S7484" s="78">
        <v>34871</v>
      </c>
      <c r="T7484" s="29">
        <v>6.63</v>
      </c>
    </row>
    <row r="7485" spans="19:20" x14ac:dyDescent="0.25">
      <c r="S7485" s="78">
        <v>34872</v>
      </c>
      <c r="T7485" s="29">
        <v>6.63</v>
      </c>
    </row>
    <row r="7486" spans="19:20" x14ac:dyDescent="0.25">
      <c r="S7486" s="78">
        <v>34873</v>
      </c>
      <c r="T7486" s="29">
        <v>6.63</v>
      </c>
    </row>
    <row r="7487" spans="19:20" x14ac:dyDescent="0.25">
      <c r="S7487" s="78">
        <v>34874</v>
      </c>
      <c r="T7487" s="29">
        <v>6.63</v>
      </c>
    </row>
    <row r="7488" spans="19:20" x14ac:dyDescent="0.25">
      <c r="S7488" s="78">
        <v>34875</v>
      </c>
      <c r="T7488" s="29">
        <v>6.63</v>
      </c>
    </row>
    <row r="7489" spans="19:21" x14ac:dyDescent="0.25">
      <c r="S7489" s="78">
        <v>34876</v>
      </c>
      <c r="T7489" s="29">
        <v>6.63</v>
      </c>
    </row>
    <row r="7490" spans="19:21" x14ac:dyDescent="0.25">
      <c r="S7490" s="78">
        <v>34877</v>
      </c>
      <c r="T7490" s="29">
        <v>6.63</v>
      </c>
    </row>
    <row r="7491" spans="19:21" x14ac:dyDescent="0.25">
      <c r="S7491" s="78">
        <v>34878</v>
      </c>
      <c r="T7491" s="29">
        <v>6.63</v>
      </c>
    </row>
    <row r="7492" spans="19:21" x14ac:dyDescent="0.25">
      <c r="S7492" s="78">
        <v>34879</v>
      </c>
      <c r="T7492" s="29">
        <v>6.63</v>
      </c>
    </row>
    <row r="7493" spans="19:21" x14ac:dyDescent="0.25">
      <c r="S7493" s="78">
        <v>34880</v>
      </c>
      <c r="T7493" s="29">
        <v>6.63</v>
      </c>
      <c r="U7493" s="40">
        <f>AVERAGE(T7403:T7493)</f>
        <v>6.6299999999999963</v>
      </c>
    </row>
    <row r="7494" spans="19:21" x14ac:dyDescent="0.25">
      <c r="S7494" s="78">
        <v>34881</v>
      </c>
      <c r="T7494" s="29">
        <v>6.63</v>
      </c>
    </row>
    <row r="7495" spans="19:21" x14ac:dyDescent="0.25">
      <c r="S7495" s="78">
        <v>34882</v>
      </c>
      <c r="T7495" s="29">
        <v>6.63</v>
      </c>
    </row>
    <row r="7496" spans="19:21" x14ac:dyDescent="0.25">
      <c r="S7496" s="78">
        <v>34883</v>
      </c>
      <c r="T7496" s="29">
        <v>6.63</v>
      </c>
    </row>
    <row r="7497" spans="19:21" x14ac:dyDescent="0.25">
      <c r="S7497" s="78">
        <v>34884</v>
      </c>
      <c r="T7497" s="29">
        <v>6.63</v>
      </c>
    </row>
    <row r="7498" spans="19:21" x14ac:dyDescent="0.25">
      <c r="S7498" s="78">
        <v>34885</v>
      </c>
      <c r="T7498" s="29">
        <v>6.63</v>
      </c>
    </row>
    <row r="7499" spans="19:21" x14ac:dyDescent="0.25">
      <c r="S7499" s="78">
        <v>34886</v>
      </c>
      <c r="T7499" s="29">
        <v>6.63</v>
      </c>
    </row>
    <row r="7500" spans="19:21" x14ac:dyDescent="0.25">
      <c r="S7500" s="78">
        <v>34887</v>
      </c>
      <c r="T7500" s="29">
        <v>6.63</v>
      </c>
    </row>
    <row r="7501" spans="19:21" x14ac:dyDescent="0.25">
      <c r="S7501" s="78">
        <v>34888</v>
      </c>
      <c r="T7501" s="29">
        <v>6.63</v>
      </c>
    </row>
    <row r="7502" spans="19:21" x14ac:dyDescent="0.25">
      <c r="S7502" s="78">
        <v>34889</v>
      </c>
      <c r="T7502" s="29">
        <v>6.63</v>
      </c>
    </row>
    <row r="7503" spans="19:21" x14ac:dyDescent="0.25">
      <c r="S7503" s="78">
        <v>34890</v>
      </c>
      <c r="T7503" s="29">
        <v>6.63</v>
      </c>
    </row>
    <row r="7504" spans="19:21" x14ac:dyDescent="0.25">
      <c r="S7504" s="78">
        <v>34891</v>
      </c>
      <c r="T7504" s="29">
        <v>6.63</v>
      </c>
    </row>
    <row r="7505" spans="19:20" x14ac:dyDescent="0.25">
      <c r="S7505" s="78">
        <v>34892</v>
      </c>
      <c r="T7505" s="29">
        <v>6.63</v>
      </c>
    </row>
    <row r="7506" spans="19:20" x14ac:dyDescent="0.25">
      <c r="S7506" s="78">
        <v>34893</v>
      </c>
      <c r="T7506" s="29">
        <v>6.63</v>
      </c>
    </row>
    <row r="7507" spans="19:20" x14ac:dyDescent="0.25">
      <c r="S7507" s="78">
        <v>34894</v>
      </c>
      <c r="T7507" s="29">
        <v>6.63</v>
      </c>
    </row>
    <row r="7508" spans="19:20" x14ac:dyDescent="0.25">
      <c r="S7508" s="78">
        <v>34895</v>
      </c>
      <c r="T7508" s="29">
        <v>6.63</v>
      </c>
    </row>
    <row r="7509" spans="19:20" x14ac:dyDescent="0.25">
      <c r="S7509" s="78">
        <v>34896</v>
      </c>
      <c r="T7509" s="29">
        <v>6.63</v>
      </c>
    </row>
    <row r="7510" spans="19:20" x14ac:dyDescent="0.25">
      <c r="S7510" s="78">
        <v>34897</v>
      </c>
      <c r="T7510" s="29">
        <v>6.63</v>
      </c>
    </row>
    <row r="7511" spans="19:20" x14ac:dyDescent="0.25">
      <c r="S7511" s="78">
        <v>34898</v>
      </c>
      <c r="T7511" s="29">
        <v>6.63</v>
      </c>
    </row>
    <row r="7512" spans="19:20" x14ac:dyDescent="0.25">
      <c r="S7512" s="78">
        <v>34899</v>
      </c>
      <c r="T7512" s="29">
        <v>6.63</v>
      </c>
    </row>
    <row r="7513" spans="19:20" x14ac:dyDescent="0.25">
      <c r="S7513" s="78">
        <v>34900</v>
      </c>
      <c r="T7513" s="29">
        <v>6.63</v>
      </c>
    </row>
    <row r="7514" spans="19:20" x14ac:dyDescent="0.25">
      <c r="S7514" s="78">
        <v>34901</v>
      </c>
      <c r="T7514" s="29">
        <v>6.63</v>
      </c>
    </row>
    <row r="7515" spans="19:20" x14ac:dyDescent="0.25">
      <c r="S7515" s="78">
        <v>34902</v>
      </c>
      <c r="T7515" s="29">
        <v>6.63</v>
      </c>
    </row>
    <row r="7516" spans="19:20" x14ac:dyDescent="0.25">
      <c r="S7516" s="78">
        <v>34903</v>
      </c>
      <c r="T7516" s="29">
        <v>6.63</v>
      </c>
    </row>
    <row r="7517" spans="19:20" x14ac:dyDescent="0.25">
      <c r="S7517" s="78">
        <v>34904</v>
      </c>
      <c r="T7517" s="29">
        <v>6.63</v>
      </c>
    </row>
    <row r="7518" spans="19:20" x14ac:dyDescent="0.25">
      <c r="S7518" s="78">
        <v>34905</v>
      </c>
      <c r="T7518" s="29">
        <v>6.63</v>
      </c>
    </row>
    <row r="7519" spans="19:20" x14ac:dyDescent="0.25">
      <c r="S7519" s="78">
        <v>34906</v>
      </c>
      <c r="T7519" s="29">
        <v>6.63</v>
      </c>
    </row>
    <row r="7520" spans="19:20" x14ac:dyDescent="0.25">
      <c r="S7520" s="78">
        <v>34907</v>
      </c>
      <c r="T7520" s="29">
        <v>6.63</v>
      </c>
    </row>
    <row r="7521" spans="19:20" x14ac:dyDescent="0.25">
      <c r="S7521" s="78">
        <v>34908</v>
      </c>
      <c r="T7521" s="29">
        <v>6.63</v>
      </c>
    </row>
    <row r="7522" spans="19:20" x14ac:dyDescent="0.25">
      <c r="S7522" s="78">
        <v>34909</v>
      </c>
      <c r="T7522" s="29">
        <v>6.63</v>
      </c>
    </row>
    <row r="7523" spans="19:20" x14ac:dyDescent="0.25">
      <c r="S7523" s="78">
        <v>34910</v>
      </c>
      <c r="T7523" s="29">
        <v>6.63</v>
      </c>
    </row>
    <row r="7524" spans="19:20" x14ac:dyDescent="0.25">
      <c r="S7524" s="78">
        <v>34911</v>
      </c>
      <c r="T7524" s="29">
        <v>6.63</v>
      </c>
    </row>
    <row r="7525" spans="19:20" x14ac:dyDescent="0.25">
      <c r="S7525" s="78">
        <v>34912</v>
      </c>
      <c r="T7525" s="29">
        <v>6.63</v>
      </c>
    </row>
    <row r="7526" spans="19:20" x14ac:dyDescent="0.25">
      <c r="S7526" s="78">
        <v>34913</v>
      </c>
      <c r="T7526" s="29">
        <v>6.63</v>
      </c>
    </row>
    <row r="7527" spans="19:20" x14ac:dyDescent="0.25">
      <c r="S7527" s="78">
        <v>34914</v>
      </c>
      <c r="T7527" s="29">
        <v>6.63</v>
      </c>
    </row>
    <row r="7528" spans="19:20" x14ac:dyDescent="0.25">
      <c r="S7528" s="78">
        <v>34915</v>
      </c>
      <c r="T7528" s="29">
        <v>6.63</v>
      </c>
    </row>
    <row r="7529" spans="19:20" x14ac:dyDescent="0.25">
      <c r="S7529" s="78">
        <v>34916</v>
      </c>
      <c r="T7529" s="29">
        <v>6.63</v>
      </c>
    </row>
    <row r="7530" spans="19:20" x14ac:dyDescent="0.25">
      <c r="S7530" s="78">
        <v>34917</v>
      </c>
      <c r="T7530" s="29">
        <v>6.63</v>
      </c>
    </row>
    <row r="7531" spans="19:20" x14ac:dyDescent="0.25">
      <c r="S7531" s="78">
        <v>34918</v>
      </c>
      <c r="T7531" s="29">
        <v>6.63</v>
      </c>
    </row>
    <row r="7532" spans="19:20" x14ac:dyDescent="0.25">
      <c r="S7532" s="78">
        <v>34919</v>
      </c>
      <c r="T7532" s="29">
        <v>6.63</v>
      </c>
    </row>
    <row r="7533" spans="19:20" x14ac:dyDescent="0.25">
      <c r="S7533" s="78">
        <v>34920</v>
      </c>
      <c r="T7533" s="29">
        <v>6.63</v>
      </c>
    </row>
    <row r="7534" spans="19:20" x14ac:dyDescent="0.25">
      <c r="S7534" s="78">
        <v>34921</v>
      </c>
      <c r="T7534" s="29">
        <v>6.63</v>
      </c>
    </row>
    <row r="7535" spans="19:20" x14ac:dyDescent="0.25">
      <c r="S7535" s="78">
        <v>34922</v>
      </c>
      <c r="T7535" s="29">
        <v>6.63</v>
      </c>
    </row>
    <row r="7536" spans="19:20" x14ac:dyDescent="0.25">
      <c r="S7536" s="78">
        <v>34923</v>
      </c>
      <c r="T7536" s="29">
        <v>6.63</v>
      </c>
    </row>
    <row r="7537" spans="19:20" x14ac:dyDescent="0.25">
      <c r="S7537" s="78">
        <v>34924</v>
      </c>
      <c r="T7537" s="29">
        <v>6.63</v>
      </c>
    </row>
    <row r="7538" spans="19:20" x14ac:dyDescent="0.25">
      <c r="S7538" s="78">
        <v>34925</v>
      </c>
      <c r="T7538" s="29">
        <v>6.63</v>
      </c>
    </row>
    <row r="7539" spans="19:20" x14ac:dyDescent="0.25">
      <c r="S7539" s="78">
        <v>34926</v>
      </c>
      <c r="T7539" s="29">
        <v>6.63</v>
      </c>
    </row>
    <row r="7540" spans="19:20" x14ac:dyDescent="0.25">
      <c r="S7540" s="78">
        <v>34927</v>
      </c>
      <c r="T7540" s="29">
        <v>6.63</v>
      </c>
    </row>
    <row r="7541" spans="19:20" x14ac:dyDescent="0.25">
      <c r="S7541" s="78">
        <v>34928</v>
      </c>
      <c r="T7541" s="29">
        <v>6.63</v>
      </c>
    </row>
    <row r="7542" spans="19:20" x14ac:dyDescent="0.25">
      <c r="S7542" s="78">
        <v>34929</v>
      </c>
      <c r="T7542" s="29">
        <v>6.63</v>
      </c>
    </row>
    <row r="7543" spans="19:20" x14ac:dyDescent="0.25">
      <c r="S7543" s="78">
        <v>34930</v>
      </c>
      <c r="T7543" s="29">
        <v>6.63</v>
      </c>
    </row>
    <row r="7544" spans="19:20" x14ac:dyDescent="0.25">
      <c r="S7544" s="78">
        <v>34931</v>
      </c>
      <c r="T7544" s="29">
        <v>6.63</v>
      </c>
    </row>
    <row r="7545" spans="19:20" x14ac:dyDescent="0.25">
      <c r="S7545" s="78">
        <v>34932</v>
      </c>
      <c r="T7545" s="29">
        <v>6.63</v>
      </c>
    </row>
    <row r="7546" spans="19:20" x14ac:dyDescent="0.25">
      <c r="S7546" s="78">
        <v>34933</v>
      </c>
      <c r="T7546" s="29">
        <v>6.63</v>
      </c>
    </row>
    <row r="7547" spans="19:20" x14ac:dyDescent="0.25">
      <c r="S7547" s="78">
        <v>34934</v>
      </c>
      <c r="T7547" s="29">
        <v>6.63</v>
      </c>
    </row>
    <row r="7548" spans="19:20" x14ac:dyDescent="0.25">
      <c r="S7548" s="78">
        <v>34935</v>
      </c>
      <c r="T7548" s="29">
        <v>6.63</v>
      </c>
    </row>
    <row r="7549" spans="19:20" x14ac:dyDescent="0.25">
      <c r="S7549" s="78">
        <v>34936</v>
      </c>
      <c r="T7549" s="29">
        <v>6.63</v>
      </c>
    </row>
    <row r="7550" spans="19:20" x14ac:dyDescent="0.25">
      <c r="S7550" s="78">
        <v>34937</v>
      </c>
      <c r="T7550" s="29">
        <v>6.63</v>
      </c>
    </row>
    <row r="7551" spans="19:20" x14ac:dyDescent="0.25">
      <c r="S7551" s="78">
        <v>34938</v>
      </c>
      <c r="T7551" s="29">
        <v>6.63</v>
      </c>
    </row>
    <row r="7552" spans="19:20" x14ac:dyDescent="0.25">
      <c r="S7552" s="78">
        <v>34939</v>
      </c>
      <c r="T7552" s="29">
        <v>6.63</v>
      </c>
    </row>
    <row r="7553" spans="19:20" x14ac:dyDescent="0.25">
      <c r="S7553" s="78">
        <v>34940</v>
      </c>
      <c r="T7553" s="29">
        <v>6.63</v>
      </c>
    </row>
    <row r="7554" spans="19:20" x14ac:dyDescent="0.25">
      <c r="S7554" s="78">
        <v>34941</v>
      </c>
      <c r="T7554" s="29">
        <v>6.63</v>
      </c>
    </row>
    <row r="7555" spans="19:20" x14ac:dyDescent="0.25">
      <c r="S7555" s="78">
        <v>34942</v>
      </c>
      <c r="T7555" s="29">
        <v>6.63</v>
      </c>
    </row>
    <row r="7556" spans="19:20" x14ac:dyDescent="0.25">
      <c r="S7556" s="78">
        <v>34943</v>
      </c>
      <c r="T7556" s="29">
        <v>6.63</v>
      </c>
    </row>
    <row r="7557" spans="19:20" x14ac:dyDescent="0.25">
      <c r="S7557" s="78">
        <v>34944</v>
      </c>
      <c r="T7557" s="29">
        <v>6.63</v>
      </c>
    </row>
    <row r="7558" spans="19:20" x14ac:dyDescent="0.25">
      <c r="S7558" s="78">
        <v>34945</v>
      </c>
      <c r="T7558" s="29">
        <v>6.63</v>
      </c>
    </row>
    <row r="7559" spans="19:20" x14ac:dyDescent="0.25">
      <c r="S7559" s="78">
        <v>34946</v>
      </c>
      <c r="T7559" s="29">
        <v>6.63</v>
      </c>
    </row>
    <row r="7560" spans="19:20" x14ac:dyDescent="0.25">
      <c r="S7560" s="78">
        <v>34947</v>
      </c>
      <c r="T7560" s="29">
        <v>6.63</v>
      </c>
    </row>
    <row r="7561" spans="19:20" x14ac:dyDescent="0.25">
      <c r="S7561" s="78">
        <v>34948</v>
      </c>
      <c r="T7561" s="29">
        <v>6.63</v>
      </c>
    </row>
    <row r="7562" spans="19:20" x14ac:dyDescent="0.25">
      <c r="S7562" s="78">
        <v>34949</v>
      </c>
      <c r="T7562" s="29">
        <v>6.63</v>
      </c>
    </row>
    <row r="7563" spans="19:20" x14ac:dyDescent="0.25">
      <c r="S7563" s="78">
        <v>34950</v>
      </c>
      <c r="T7563" s="29">
        <v>6.63</v>
      </c>
    </row>
    <row r="7564" spans="19:20" x14ac:dyDescent="0.25">
      <c r="S7564" s="78">
        <v>34951</v>
      </c>
      <c r="T7564" s="29">
        <v>6.63</v>
      </c>
    </row>
    <row r="7565" spans="19:20" x14ac:dyDescent="0.25">
      <c r="S7565" s="78">
        <v>34952</v>
      </c>
      <c r="T7565" s="29">
        <v>6.63</v>
      </c>
    </row>
    <row r="7566" spans="19:20" x14ac:dyDescent="0.25">
      <c r="S7566" s="78">
        <v>34953</v>
      </c>
      <c r="T7566" s="29">
        <v>6.63</v>
      </c>
    </row>
    <row r="7567" spans="19:20" x14ac:dyDescent="0.25">
      <c r="S7567" s="78">
        <v>34954</v>
      </c>
      <c r="T7567" s="29">
        <v>6.63</v>
      </c>
    </row>
    <row r="7568" spans="19:20" x14ac:dyDescent="0.25">
      <c r="S7568" s="78">
        <v>34955</v>
      </c>
      <c r="T7568" s="29">
        <v>6.63</v>
      </c>
    </row>
    <row r="7569" spans="19:20" x14ac:dyDescent="0.25">
      <c r="S7569" s="78">
        <v>34956</v>
      </c>
      <c r="T7569" s="29">
        <v>6.63</v>
      </c>
    </row>
    <row r="7570" spans="19:20" x14ac:dyDescent="0.25">
      <c r="S7570" s="78">
        <v>34957</v>
      </c>
      <c r="T7570" s="29">
        <v>6.63</v>
      </c>
    </row>
    <row r="7571" spans="19:20" x14ac:dyDescent="0.25">
      <c r="S7571" s="78">
        <v>34958</v>
      </c>
      <c r="T7571" s="29">
        <v>6.63</v>
      </c>
    </row>
    <row r="7572" spans="19:20" x14ac:dyDescent="0.25">
      <c r="S7572" s="78">
        <v>34959</v>
      </c>
      <c r="T7572" s="29">
        <v>6.63</v>
      </c>
    </row>
    <row r="7573" spans="19:20" x14ac:dyDescent="0.25">
      <c r="S7573" s="78">
        <v>34960</v>
      </c>
      <c r="T7573" s="29">
        <v>6.63</v>
      </c>
    </row>
    <row r="7574" spans="19:20" x14ac:dyDescent="0.25">
      <c r="S7574" s="78">
        <v>34961</v>
      </c>
      <c r="T7574" s="29">
        <v>6.63</v>
      </c>
    </row>
    <row r="7575" spans="19:20" x14ac:dyDescent="0.25">
      <c r="S7575" s="78">
        <v>34962</v>
      </c>
      <c r="T7575" s="29">
        <v>6.63</v>
      </c>
    </row>
    <row r="7576" spans="19:20" x14ac:dyDescent="0.25">
      <c r="S7576" s="78">
        <v>34963</v>
      </c>
      <c r="T7576" s="29">
        <v>6.63</v>
      </c>
    </row>
    <row r="7577" spans="19:20" x14ac:dyDescent="0.25">
      <c r="S7577" s="78">
        <v>34964</v>
      </c>
      <c r="T7577" s="29">
        <v>6.63</v>
      </c>
    </row>
    <row r="7578" spans="19:20" x14ac:dyDescent="0.25">
      <c r="S7578" s="78">
        <v>34965</v>
      </c>
      <c r="T7578" s="29">
        <v>6.63</v>
      </c>
    </row>
    <row r="7579" spans="19:20" x14ac:dyDescent="0.25">
      <c r="S7579" s="78">
        <v>34966</v>
      </c>
      <c r="T7579" s="29">
        <v>6.63</v>
      </c>
    </row>
    <row r="7580" spans="19:20" x14ac:dyDescent="0.25">
      <c r="S7580" s="78">
        <v>34967</v>
      </c>
      <c r="T7580" s="29">
        <v>6.63</v>
      </c>
    </row>
    <row r="7581" spans="19:20" x14ac:dyDescent="0.25">
      <c r="S7581" s="78">
        <v>34968</v>
      </c>
      <c r="T7581" s="29">
        <v>6.63</v>
      </c>
    </row>
    <row r="7582" spans="19:20" x14ac:dyDescent="0.25">
      <c r="S7582" s="78">
        <v>34969</v>
      </c>
      <c r="T7582" s="29">
        <v>6.63</v>
      </c>
    </row>
    <row r="7583" spans="19:20" x14ac:dyDescent="0.25">
      <c r="S7583" s="78">
        <v>34970</v>
      </c>
      <c r="T7583" s="29">
        <v>6.63</v>
      </c>
    </row>
    <row r="7584" spans="19:20" x14ac:dyDescent="0.25">
      <c r="S7584" s="78">
        <v>34971</v>
      </c>
      <c r="T7584" s="29">
        <v>6.63</v>
      </c>
    </row>
    <row r="7585" spans="19:21" x14ac:dyDescent="0.25">
      <c r="S7585" s="78">
        <v>34972</v>
      </c>
      <c r="T7585" s="29">
        <v>6.63</v>
      </c>
      <c r="U7585" s="40">
        <f>AVERAGE(T7494:T7585)</f>
        <v>6.6299999999999963</v>
      </c>
    </row>
    <row r="7586" spans="19:21" x14ac:dyDescent="0.25">
      <c r="S7586" s="78">
        <v>34973</v>
      </c>
      <c r="T7586" s="29">
        <v>6.63</v>
      </c>
    </row>
    <row r="7587" spans="19:21" x14ac:dyDescent="0.25">
      <c r="S7587" s="78">
        <v>34974</v>
      </c>
      <c r="T7587" s="29">
        <v>6.63</v>
      </c>
    </row>
    <row r="7588" spans="19:21" x14ac:dyDescent="0.25">
      <c r="S7588" s="78">
        <v>34975</v>
      </c>
      <c r="T7588" s="29">
        <v>6.63</v>
      </c>
    </row>
    <row r="7589" spans="19:21" x14ac:dyDescent="0.25">
      <c r="S7589" s="78">
        <v>34976</v>
      </c>
      <c r="T7589" s="29">
        <v>6.63</v>
      </c>
    </row>
    <row r="7590" spans="19:21" x14ac:dyDescent="0.25">
      <c r="S7590" s="78">
        <v>34977</v>
      </c>
      <c r="T7590" s="29">
        <v>6.63</v>
      </c>
    </row>
    <row r="7591" spans="19:21" x14ac:dyDescent="0.25">
      <c r="S7591" s="78">
        <v>34978</v>
      </c>
      <c r="T7591" s="29">
        <v>6.63</v>
      </c>
    </row>
    <row r="7592" spans="19:21" x14ac:dyDescent="0.25">
      <c r="S7592" s="78">
        <v>34979</v>
      </c>
      <c r="T7592" s="29">
        <v>6.63</v>
      </c>
    </row>
    <row r="7593" spans="19:21" x14ac:dyDescent="0.25">
      <c r="S7593" s="78">
        <v>34980</v>
      </c>
      <c r="T7593" s="29">
        <v>6.63</v>
      </c>
    </row>
    <row r="7594" spans="19:21" x14ac:dyDescent="0.25">
      <c r="S7594" s="78">
        <v>34981</v>
      </c>
      <c r="T7594" s="29">
        <v>6.63</v>
      </c>
    </row>
    <row r="7595" spans="19:21" x14ac:dyDescent="0.25">
      <c r="S7595" s="78">
        <v>34982</v>
      </c>
      <c r="T7595" s="29">
        <v>6.63</v>
      </c>
    </row>
    <row r="7596" spans="19:21" x14ac:dyDescent="0.25">
      <c r="S7596" s="78">
        <v>34983</v>
      </c>
      <c r="T7596" s="29">
        <v>6.63</v>
      </c>
    </row>
    <row r="7597" spans="19:21" x14ac:dyDescent="0.25">
      <c r="S7597" s="78">
        <v>34984</v>
      </c>
      <c r="T7597" s="29">
        <v>6.63</v>
      </c>
    </row>
    <row r="7598" spans="19:21" x14ac:dyDescent="0.25">
      <c r="S7598" s="78">
        <v>34985</v>
      </c>
      <c r="T7598" s="29">
        <v>6.63</v>
      </c>
    </row>
    <row r="7599" spans="19:21" x14ac:dyDescent="0.25">
      <c r="S7599" s="78">
        <v>34986</v>
      </c>
      <c r="T7599" s="29">
        <v>6.63</v>
      </c>
    </row>
    <row r="7600" spans="19:21" x14ac:dyDescent="0.25">
      <c r="S7600" s="78">
        <v>34987</v>
      </c>
      <c r="T7600" s="29">
        <v>6.63</v>
      </c>
    </row>
    <row r="7601" spans="19:20" x14ac:dyDescent="0.25">
      <c r="S7601" s="78">
        <v>34988</v>
      </c>
      <c r="T7601" s="29">
        <v>6.63</v>
      </c>
    </row>
    <row r="7602" spans="19:20" x14ac:dyDescent="0.25">
      <c r="S7602" s="78">
        <v>34989</v>
      </c>
      <c r="T7602" s="29">
        <v>6.63</v>
      </c>
    </row>
    <row r="7603" spans="19:20" x14ac:dyDescent="0.25">
      <c r="S7603" s="78">
        <v>34990</v>
      </c>
      <c r="T7603" s="29">
        <v>6.63</v>
      </c>
    </row>
    <row r="7604" spans="19:20" x14ac:dyDescent="0.25">
      <c r="S7604" s="78">
        <v>34991</v>
      </c>
      <c r="T7604" s="29">
        <v>6.63</v>
      </c>
    </row>
    <row r="7605" spans="19:20" x14ac:dyDescent="0.25">
      <c r="S7605" s="78">
        <v>34992</v>
      </c>
      <c r="T7605" s="29">
        <v>6.63</v>
      </c>
    </row>
    <row r="7606" spans="19:20" x14ac:dyDescent="0.25">
      <c r="S7606" s="78">
        <v>34993</v>
      </c>
      <c r="T7606" s="29">
        <v>6.63</v>
      </c>
    </row>
    <row r="7607" spans="19:20" x14ac:dyDescent="0.25">
      <c r="S7607" s="78">
        <v>34994</v>
      </c>
      <c r="T7607" s="29">
        <v>6.63</v>
      </c>
    </row>
    <row r="7608" spans="19:20" x14ac:dyDescent="0.25">
      <c r="S7608" s="78">
        <v>34995</v>
      </c>
      <c r="T7608" s="29">
        <v>6.63</v>
      </c>
    </row>
    <row r="7609" spans="19:20" x14ac:dyDescent="0.25">
      <c r="S7609" s="78">
        <v>34996</v>
      </c>
      <c r="T7609" s="29">
        <v>6.63</v>
      </c>
    </row>
    <row r="7610" spans="19:20" x14ac:dyDescent="0.25">
      <c r="S7610" s="78">
        <v>34997</v>
      </c>
      <c r="T7610" s="29">
        <v>6.63</v>
      </c>
    </row>
    <row r="7611" spans="19:20" x14ac:dyDescent="0.25">
      <c r="S7611" s="78">
        <v>34998</v>
      </c>
      <c r="T7611" s="29">
        <v>6.63</v>
      </c>
    </row>
    <row r="7612" spans="19:20" x14ac:dyDescent="0.25">
      <c r="S7612" s="78">
        <v>34999</v>
      </c>
      <c r="T7612" s="29">
        <v>6.63</v>
      </c>
    </row>
    <row r="7613" spans="19:20" x14ac:dyDescent="0.25">
      <c r="S7613" s="78">
        <v>35000</v>
      </c>
      <c r="T7613" s="29">
        <v>6.63</v>
      </c>
    </row>
    <row r="7614" spans="19:20" x14ac:dyDescent="0.25">
      <c r="S7614" s="78">
        <v>35001</v>
      </c>
      <c r="T7614" s="29">
        <v>6.63</v>
      </c>
    </row>
    <row r="7615" spans="19:20" x14ac:dyDescent="0.25">
      <c r="S7615" s="78">
        <v>35002</v>
      </c>
      <c r="T7615" s="29">
        <v>6.63</v>
      </c>
    </row>
    <row r="7616" spans="19:20" x14ac:dyDescent="0.25">
      <c r="S7616" s="78">
        <v>35003</v>
      </c>
      <c r="T7616" s="29">
        <v>6.63</v>
      </c>
    </row>
    <row r="7617" spans="19:20" x14ac:dyDescent="0.25">
      <c r="S7617" s="78">
        <v>35004</v>
      </c>
      <c r="T7617" s="29">
        <v>6.63</v>
      </c>
    </row>
    <row r="7618" spans="19:20" x14ac:dyDescent="0.25">
      <c r="S7618" s="78">
        <v>35005</v>
      </c>
      <c r="T7618" s="29">
        <v>6.63</v>
      </c>
    </row>
    <row r="7619" spans="19:20" x14ac:dyDescent="0.25">
      <c r="S7619" s="78">
        <v>35006</v>
      </c>
      <c r="T7619" s="29">
        <v>6.63</v>
      </c>
    </row>
    <row r="7620" spans="19:20" x14ac:dyDescent="0.25">
      <c r="S7620" s="78">
        <v>35007</v>
      </c>
      <c r="T7620" s="29">
        <v>6.63</v>
      </c>
    </row>
    <row r="7621" spans="19:20" x14ac:dyDescent="0.25">
      <c r="S7621" s="78">
        <v>35008</v>
      </c>
      <c r="T7621" s="29">
        <v>6.63</v>
      </c>
    </row>
    <row r="7622" spans="19:20" x14ac:dyDescent="0.25">
      <c r="S7622" s="78">
        <v>35009</v>
      </c>
      <c r="T7622" s="29">
        <v>6.63</v>
      </c>
    </row>
    <row r="7623" spans="19:20" x14ac:dyDescent="0.25">
      <c r="S7623" s="78">
        <v>35010</v>
      </c>
      <c r="T7623" s="29">
        <v>6.63</v>
      </c>
    </row>
    <row r="7624" spans="19:20" x14ac:dyDescent="0.25">
      <c r="S7624" s="78">
        <v>35011</v>
      </c>
      <c r="T7624" s="29">
        <v>6.63</v>
      </c>
    </row>
    <row r="7625" spans="19:20" x14ac:dyDescent="0.25">
      <c r="S7625" s="78">
        <v>35012</v>
      </c>
      <c r="T7625" s="29">
        <v>6.63</v>
      </c>
    </row>
    <row r="7626" spans="19:20" x14ac:dyDescent="0.25">
      <c r="S7626" s="78">
        <v>35013</v>
      </c>
      <c r="T7626" s="29">
        <v>6.63</v>
      </c>
    </row>
    <row r="7627" spans="19:20" x14ac:dyDescent="0.25">
      <c r="S7627" s="78">
        <v>35014</v>
      </c>
      <c r="T7627" s="29">
        <v>6.63</v>
      </c>
    </row>
    <row r="7628" spans="19:20" x14ac:dyDescent="0.25">
      <c r="S7628" s="78">
        <v>35015</v>
      </c>
      <c r="T7628" s="29">
        <v>6.63</v>
      </c>
    </row>
    <row r="7629" spans="19:20" x14ac:dyDescent="0.25">
      <c r="S7629" s="78">
        <v>35016</v>
      </c>
      <c r="T7629" s="29">
        <v>6.63</v>
      </c>
    </row>
    <row r="7630" spans="19:20" x14ac:dyDescent="0.25">
      <c r="S7630" s="78">
        <v>35017</v>
      </c>
      <c r="T7630" s="29">
        <v>6.63</v>
      </c>
    </row>
    <row r="7631" spans="19:20" x14ac:dyDescent="0.25">
      <c r="S7631" s="78">
        <v>35018</v>
      </c>
      <c r="T7631" s="29">
        <v>6.63</v>
      </c>
    </row>
    <row r="7632" spans="19:20" x14ac:dyDescent="0.25">
      <c r="S7632" s="78">
        <v>35019</v>
      </c>
      <c r="T7632" s="29">
        <v>6.63</v>
      </c>
    </row>
    <row r="7633" spans="19:20" x14ac:dyDescent="0.25">
      <c r="S7633" s="78">
        <v>35020</v>
      </c>
      <c r="T7633" s="29">
        <v>6.63</v>
      </c>
    </row>
    <row r="7634" spans="19:20" x14ac:dyDescent="0.25">
      <c r="S7634" s="78">
        <v>35021</v>
      </c>
      <c r="T7634" s="29">
        <v>6.63</v>
      </c>
    </row>
    <row r="7635" spans="19:20" x14ac:dyDescent="0.25">
      <c r="S7635" s="78">
        <v>35022</v>
      </c>
      <c r="T7635" s="29">
        <v>6.63</v>
      </c>
    </row>
    <row r="7636" spans="19:20" x14ac:dyDescent="0.25">
      <c r="S7636" s="78">
        <v>35023</v>
      </c>
      <c r="T7636" s="29">
        <v>6.63</v>
      </c>
    </row>
    <row r="7637" spans="19:20" x14ac:dyDescent="0.25">
      <c r="S7637" s="78">
        <v>35024</v>
      </c>
      <c r="T7637" s="29">
        <v>6.63</v>
      </c>
    </row>
    <row r="7638" spans="19:20" x14ac:dyDescent="0.25">
      <c r="S7638" s="78">
        <v>35025</v>
      </c>
      <c r="T7638" s="29">
        <v>6.63</v>
      </c>
    </row>
    <row r="7639" spans="19:20" x14ac:dyDescent="0.25">
      <c r="S7639" s="78">
        <v>35026</v>
      </c>
      <c r="T7639" s="29">
        <v>6.63</v>
      </c>
    </row>
    <row r="7640" spans="19:20" x14ac:dyDescent="0.25">
      <c r="S7640" s="78">
        <v>35027</v>
      </c>
      <c r="T7640" s="29">
        <v>6.63</v>
      </c>
    </row>
    <row r="7641" spans="19:20" x14ac:dyDescent="0.25">
      <c r="S7641" s="78">
        <v>35028</v>
      </c>
      <c r="T7641" s="29">
        <v>6.63</v>
      </c>
    </row>
    <row r="7642" spans="19:20" x14ac:dyDescent="0.25">
      <c r="S7642" s="78">
        <v>35029</v>
      </c>
      <c r="T7642" s="29">
        <v>6.63</v>
      </c>
    </row>
    <row r="7643" spans="19:20" x14ac:dyDescent="0.25">
      <c r="S7643" s="78">
        <v>35030</v>
      </c>
      <c r="T7643" s="29">
        <v>6.63</v>
      </c>
    </row>
    <row r="7644" spans="19:20" x14ac:dyDescent="0.25">
      <c r="S7644" s="78">
        <v>35031</v>
      </c>
      <c r="T7644" s="29">
        <v>6.63</v>
      </c>
    </row>
    <row r="7645" spans="19:20" x14ac:dyDescent="0.25">
      <c r="S7645" s="78">
        <v>35032</v>
      </c>
      <c r="T7645" s="29">
        <v>6.63</v>
      </c>
    </row>
    <row r="7646" spans="19:20" x14ac:dyDescent="0.25">
      <c r="S7646" s="78">
        <v>35033</v>
      </c>
      <c r="T7646" s="29">
        <v>6.63</v>
      </c>
    </row>
    <row r="7647" spans="19:20" x14ac:dyDescent="0.25">
      <c r="S7647" s="78">
        <v>35034</v>
      </c>
      <c r="T7647" s="29">
        <v>6.63</v>
      </c>
    </row>
    <row r="7648" spans="19:20" x14ac:dyDescent="0.25">
      <c r="S7648" s="78">
        <v>35035</v>
      </c>
      <c r="T7648" s="29">
        <v>6.63</v>
      </c>
    </row>
    <row r="7649" spans="19:20" x14ac:dyDescent="0.25">
      <c r="S7649" s="78">
        <v>35036</v>
      </c>
      <c r="T7649" s="29">
        <v>6.63</v>
      </c>
    </row>
    <row r="7650" spans="19:20" x14ac:dyDescent="0.25">
      <c r="S7650" s="78">
        <v>35037</v>
      </c>
      <c r="T7650" s="29">
        <v>6.63</v>
      </c>
    </row>
    <row r="7651" spans="19:20" x14ac:dyDescent="0.25">
      <c r="S7651" s="78">
        <v>35038</v>
      </c>
      <c r="T7651" s="29">
        <v>6.63</v>
      </c>
    </row>
    <row r="7652" spans="19:20" x14ac:dyDescent="0.25">
      <c r="S7652" s="78">
        <v>35039</v>
      </c>
      <c r="T7652" s="29">
        <v>6.63</v>
      </c>
    </row>
    <row r="7653" spans="19:20" x14ac:dyDescent="0.25">
      <c r="S7653" s="78">
        <v>35040</v>
      </c>
      <c r="T7653" s="29">
        <v>6.63</v>
      </c>
    </row>
    <row r="7654" spans="19:20" x14ac:dyDescent="0.25">
      <c r="S7654" s="78">
        <v>35041</v>
      </c>
      <c r="T7654" s="29">
        <v>6.63</v>
      </c>
    </row>
    <row r="7655" spans="19:20" x14ac:dyDescent="0.25">
      <c r="S7655" s="78">
        <v>35042</v>
      </c>
      <c r="T7655" s="29">
        <v>6.63</v>
      </c>
    </row>
    <row r="7656" spans="19:20" x14ac:dyDescent="0.25">
      <c r="S7656" s="78">
        <v>35043</v>
      </c>
      <c r="T7656" s="29">
        <v>6.63</v>
      </c>
    </row>
    <row r="7657" spans="19:20" x14ac:dyDescent="0.25">
      <c r="S7657" s="78">
        <v>35044</v>
      </c>
      <c r="T7657" s="29">
        <v>6.63</v>
      </c>
    </row>
    <row r="7658" spans="19:20" x14ac:dyDescent="0.25">
      <c r="S7658" s="78">
        <v>35045</v>
      </c>
      <c r="T7658" s="29">
        <v>6.63</v>
      </c>
    </row>
    <row r="7659" spans="19:20" x14ac:dyDescent="0.25">
      <c r="S7659" s="78">
        <v>35046</v>
      </c>
      <c r="T7659" s="29">
        <v>6.38</v>
      </c>
    </row>
    <row r="7660" spans="19:20" x14ac:dyDescent="0.25">
      <c r="S7660" s="78">
        <v>35047</v>
      </c>
      <c r="T7660" s="29">
        <v>6.38</v>
      </c>
    </row>
    <row r="7661" spans="19:20" x14ac:dyDescent="0.25">
      <c r="S7661" s="78">
        <v>35048</v>
      </c>
      <c r="T7661" s="29">
        <v>6.38</v>
      </c>
    </row>
    <row r="7662" spans="19:20" x14ac:dyDescent="0.25">
      <c r="S7662" s="78">
        <v>35049</v>
      </c>
      <c r="T7662" s="29">
        <v>6.38</v>
      </c>
    </row>
    <row r="7663" spans="19:20" x14ac:dyDescent="0.25">
      <c r="S7663" s="78">
        <v>35050</v>
      </c>
      <c r="T7663" s="29">
        <v>6.38</v>
      </c>
    </row>
    <row r="7664" spans="19:20" x14ac:dyDescent="0.25">
      <c r="S7664" s="78">
        <v>35051</v>
      </c>
      <c r="T7664" s="29">
        <v>6.38</v>
      </c>
    </row>
    <row r="7665" spans="19:21" x14ac:dyDescent="0.25">
      <c r="S7665" s="78">
        <v>35052</v>
      </c>
      <c r="T7665" s="29">
        <v>6.38</v>
      </c>
    </row>
    <row r="7666" spans="19:21" x14ac:dyDescent="0.25">
      <c r="S7666" s="78">
        <v>35053</v>
      </c>
      <c r="T7666" s="29">
        <v>6.38</v>
      </c>
    </row>
    <row r="7667" spans="19:21" x14ac:dyDescent="0.25">
      <c r="S7667" s="78">
        <v>35054</v>
      </c>
      <c r="T7667" s="29">
        <v>6.38</v>
      </c>
    </row>
    <row r="7668" spans="19:21" x14ac:dyDescent="0.25">
      <c r="S7668" s="78">
        <v>35055</v>
      </c>
      <c r="T7668" s="29">
        <v>6.38</v>
      </c>
    </row>
    <row r="7669" spans="19:21" x14ac:dyDescent="0.25">
      <c r="S7669" s="78">
        <v>35056</v>
      </c>
      <c r="T7669" s="29">
        <v>6.38</v>
      </c>
    </row>
    <row r="7670" spans="19:21" x14ac:dyDescent="0.25">
      <c r="S7670" s="78">
        <v>35057</v>
      </c>
      <c r="T7670" s="29">
        <v>6.38</v>
      </c>
    </row>
    <row r="7671" spans="19:21" x14ac:dyDescent="0.25">
      <c r="S7671" s="78">
        <v>35058</v>
      </c>
      <c r="T7671" s="29">
        <v>6.38</v>
      </c>
    </row>
    <row r="7672" spans="19:21" x14ac:dyDescent="0.25">
      <c r="S7672" s="78">
        <v>35059</v>
      </c>
      <c r="T7672" s="29">
        <v>6.38</v>
      </c>
    </row>
    <row r="7673" spans="19:21" x14ac:dyDescent="0.25">
      <c r="S7673" s="78">
        <v>35060</v>
      </c>
      <c r="T7673" s="29">
        <v>6.38</v>
      </c>
    </row>
    <row r="7674" spans="19:21" x14ac:dyDescent="0.25">
      <c r="S7674" s="78">
        <v>35061</v>
      </c>
      <c r="T7674" s="29">
        <v>6.38</v>
      </c>
    </row>
    <row r="7675" spans="19:21" x14ac:dyDescent="0.25">
      <c r="S7675" s="78">
        <v>35062</v>
      </c>
      <c r="T7675" s="29">
        <v>6.38</v>
      </c>
    </row>
    <row r="7676" spans="19:21" x14ac:dyDescent="0.25">
      <c r="S7676" s="78">
        <v>35063</v>
      </c>
      <c r="T7676" s="29">
        <v>6.38</v>
      </c>
    </row>
    <row r="7677" spans="19:21" x14ac:dyDescent="0.25">
      <c r="S7677" s="78">
        <v>35064</v>
      </c>
      <c r="T7677" s="29">
        <v>6.38</v>
      </c>
      <c r="U7677" s="40">
        <f>AVERAGE(T7586:T7677)</f>
        <v>6.5783695652173879</v>
      </c>
    </row>
    <row r="7678" spans="19:21" x14ac:dyDescent="0.25">
      <c r="S7678" s="78">
        <v>35065</v>
      </c>
      <c r="T7678" s="29">
        <v>6.38</v>
      </c>
    </row>
    <row r="7679" spans="19:21" x14ac:dyDescent="0.25">
      <c r="S7679" s="78">
        <v>35066</v>
      </c>
      <c r="T7679" s="29">
        <v>6.38</v>
      </c>
    </row>
    <row r="7680" spans="19:21" x14ac:dyDescent="0.25">
      <c r="S7680" s="78">
        <v>35067</v>
      </c>
      <c r="T7680" s="29">
        <v>6.38</v>
      </c>
    </row>
    <row r="7681" spans="19:20" x14ac:dyDescent="0.25">
      <c r="S7681" s="78">
        <v>35068</v>
      </c>
      <c r="T7681" s="29">
        <v>6.38</v>
      </c>
    </row>
    <row r="7682" spans="19:20" x14ac:dyDescent="0.25">
      <c r="S7682" s="78">
        <v>35069</v>
      </c>
      <c r="T7682" s="29">
        <v>6.38</v>
      </c>
    </row>
    <row r="7683" spans="19:20" x14ac:dyDescent="0.25">
      <c r="S7683" s="78">
        <v>35070</v>
      </c>
      <c r="T7683" s="29">
        <v>6.38</v>
      </c>
    </row>
    <row r="7684" spans="19:20" x14ac:dyDescent="0.25">
      <c r="S7684" s="78">
        <v>35071</v>
      </c>
      <c r="T7684" s="29">
        <v>6.38</v>
      </c>
    </row>
    <row r="7685" spans="19:20" x14ac:dyDescent="0.25">
      <c r="S7685" s="78">
        <v>35072</v>
      </c>
      <c r="T7685" s="29">
        <v>6.38</v>
      </c>
    </row>
    <row r="7686" spans="19:20" x14ac:dyDescent="0.25">
      <c r="S7686" s="78">
        <v>35073</v>
      </c>
      <c r="T7686" s="29">
        <v>6.38</v>
      </c>
    </row>
    <row r="7687" spans="19:20" x14ac:dyDescent="0.25">
      <c r="S7687" s="78">
        <v>35074</v>
      </c>
      <c r="T7687" s="29">
        <v>6.38</v>
      </c>
    </row>
    <row r="7688" spans="19:20" x14ac:dyDescent="0.25">
      <c r="S7688" s="78">
        <v>35075</v>
      </c>
      <c r="T7688" s="29">
        <v>6.38</v>
      </c>
    </row>
    <row r="7689" spans="19:20" x14ac:dyDescent="0.25">
      <c r="S7689" s="78">
        <v>35076</v>
      </c>
      <c r="T7689" s="29">
        <v>6.38</v>
      </c>
    </row>
    <row r="7690" spans="19:20" x14ac:dyDescent="0.25">
      <c r="S7690" s="78">
        <v>35077</v>
      </c>
      <c r="T7690" s="29">
        <v>6.38</v>
      </c>
    </row>
    <row r="7691" spans="19:20" x14ac:dyDescent="0.25">
      <c r="S7691" s="78">
        <v>35078</v>
      </c>
      <c r="T7691" s="29">
        <v>6.38</v>
      </c>
    </row>
    <row r="7692" spans="19:20" x14ac:dyDescent="0.25">
      <c r="S7692" s="78">
        <v>35079</v>
      </c>
      <c r="T7692" s="29">
        <v>6.38</v>
      </c>
    </row>
    <row r="7693" spans="19:20" x14ac:dyDescent="0.25">
      <c r="S7693" s="78">
        <v>35080</v>
      </c>
      <c r="T7693" s="29">
        <v>6.38</v>
      </c>
    </row>
    <row r="7694" spans="19:20" x14ac:dyDescent="0.25">
      <c r="S7694" s="78">
        <v>35081</v>
      </c>
      <c r="T7694" s="29">
        <v>6.38</v>
      </c>
    </row>
    <row r="7695" spans="19:20" x14ac:dyDescent="0.25">
      <c r="S7695" s="78">
        <v>35082</v>
      </c>
      <c r="T7695" s="29">
        <v>6.13</v>
      </c>
    </row>
    <row r="7696" spans="19:20" x14ac:dyDescent="0.25">
      <c r="S7696" s="78">
        <v>35083</v>
      </c>
      <c r="T7696" s="29">
        <v>6.13</v>
      </c>
    </row>
    <row r="7697" spans="19:20" x14ac:dyDescent="0.25">
      <c r="S7697" s="78">
        <v>35084</v>
      </c>
      <c r="T7697" s="29">
        <v>6.13</v>
      </c>
    </row>
    <row r="7698" spans="19:20" x14ac:dyDescent="0.25">
      <c r="S7698" s="78">
        <v>35085</v>
      </c>
      <c r="T7698" s="29">
        <v>6.13</v>
      </c>
    </row>
    <row r="7699" spans="19:20" x14ac:dyDescent="0.25">
      <c r="S7699" s="78">
        <v>35086</v>
      </c>
      <c r="T7699" s="29">
        <v>6.13</v>
      </c>
    </row>
    <row r="7700" spans="19:20" x14ac:dyDescent="0.25">
      <c r="S7700" s="78">
        <v>35087</v>
      </c>
      <c r="T7700" s="29">
        <v>6.13</v>
      </c>
    </row>
    <row r="7701" spans="19:20" x14ac:dyDescent="0.25">
      <c r="S7701" s="78">
        <v>35088</v>
      </c>
      <c r="T7701" s="29">
        <v>6.13</v>
      </c>
    </row>
    <row r="7702" spans="19:20" x14ac:dyDescent="0.25">
      <c r="S7702" s="78">
        <v>35089</v>
      </c>
      <c r="T7702" s="29">
        <v>6.13</v>
      </c>
    </row>
    <row r="7703" spans="19:20" x14ac:dyDescent="0.25">
      <c r="S7703" s="78">
        <v>35090</v>
      </c>
      <c r="T7703" s="29">
        <v>6.13</v>
      </c>
    </row>
    <row r="7704" spans="19:20" x14ac:dyDescent="0.25">
      <c r="S7704" s="78">
        <v>35091</v>
      </c>
      <c r="T7704" s="29">
        <v>6.13</v>
      </c>
    </row>
    <row r="7705" spans="19:20" x14ac:dyDescent="0.25">
      <c r="S7705" s="78">
        <v>35092</v>
      </c>
      <c r="T7705" s="29">
        <v>6.13</v>
      </c>
    </row>
    <row r="7706" spans="19:20" x14ac:dyDescent="0.25">
      <c r="S7706" s="78">
        <v>35093</v>
      </c>
      <c r="T7706" s="29">
        <v>6.13</v>
      </c>
    </row>
    <row r="7707" spans="19:20" x14ac:dyDescent="0.25">
      <c r="S7707" s="78">
        <v>35094</v>
      </c>
      <c r="T7707" s="29">
        <v>6.13</v>
      </c>
    </row>
    <row r="7708" spans="19:20" x14ac:dyDescent="0.25">
      <c r="S7708" s="78">
        <v>35095</v>
      </c>
      <c r="T7708" s="29">
        <v>6.13</v>
      </c>
    </row>
    <row r="7709" spans="19:20" x14ac:dyDescent="0.25">
      <c r="S7709" s="78">
        <v>35096</v>
      </c>
      <c r="T7709" s="29">
        <v>6.13</v>
      </c>
    </row>
    <row r="7710" spans="19:20" x14ac:dyDescent="0.25">
      <c r="S7710" s="78">
        <v>35097</v>
      </c>
      <c r="T7710" s="29">
        <v>6.13</v>
      </c>
    </row>
    <row r="7711" spans="19:20" x14ac:dyDescent="0.25">
      <c r="S7711" s="78">
        <v>35098</v>
      </c>
      <c r="T7711" s="29">
        <v>6.13</v>
      </c>
    </row>
    <row r="7712" spans="19:20" x14ac:dyDescent="0.25">
      <c r="S7712" s="78">
        <v>35099</v>
      </c>
      <c r="T7712" s="29">
        <v>6.13</v>
      </c>
    </row>
    <row r="7713" spans="19:20" x14ac:dyDescent="0.25">
      <c r="S7713" s="78">
        <v>35100</v>
      </c>
      <c r="T7713" s="29">
        <v>6.13</v>
      </c>
    </row>
    <row r="7714" spans="19:20" x14ac:dyDescent="0.25">
      <c r="S7714" s="78">
        <v>35101</v>
      </c>
      <c r="T7714" s="29">
        <v>6.13</v>
      </c>
    </row>
    <row r="7715" spans="19:20" x14ac:dyDescent="0.25">
      <c r="S7715" s="78">
        <v>35102</v>
      </c>
      <c r="T7715" s="29">
        <v>6.13</v>
      </c>
    </row>
    <row r="7716" spans="19:20" x14ac:dyDescent="0.25">
      <c r="S7716" s="78">
        <v>35103</v>
      </c>
      <c r="T7716" s="29">
        <v>6.13</v>
      </c>
    </row>
    <row r="7717" spans="19:20" x14ac:dyDescent="0.25">
      <c r="S7717" s="78">
        <v>35104</v>
      </c>
      <c r="T7717" s="29">
        <v>6.13</v>
      </c>
    </row>
    <row r="7718" spans="19:20" x14ac:dyDescent="0.25">
      <c r="S7718" s="78">
        <v>35105</v>
      </c>
      <c r="T7718" s="29">
        <v>6.13</v>
      </c>
    </row>
    <row r="7719" spans="19:20" x14ac:dyDescent="0.25">
      <c r="S7719" s="78">
        <v>35106</v>
      </c>
      <c r="T7719" s="29">
        <v>6.13</v>
      </c>
    </row>
    <row r="7720" spans="19:20" x14ac:dyDescent="0.25">
      <c r="S7720" s="78">
        <v>35107</v>
      </c>
      <c r="T7720" s="29">
        <v>6.13</v>
      </c>
    </row>
    <row r="7721" spans="19:20" x14ac:dyDescent="0.25">
      <c r="S7721" s="78">
        <v>35108</v>
      </c>
      <c r="T7721" s="29">
        <v>6.13</v>
      </c>
    </row>
    <row r="7722" spans="19:20" x14ac:dyDescent="0.25">
      <c r="S7722" s="78">
        <v>35109</v>
      </c>
      <c r="T7722" s="29">
        <v>6.13</v>
      </c>
    </row>
    <row r="7723" spans="19:20" x14ac:dyDescent="0.25">
      <c r="S7723" s="78">
        <v>35110</v>
      </c>
      <c r="T7723" s="29">
        <v>6.13</v>
      </c>
    </row>
    <row r="7724" spans="19:20" x14ac:dyDescent="0.25">
      <c r="S7724" s="78">
        <v>35111</v>
      </c>
      <c r="T7724" s="29">
        <v>6.13</v>
      </c>
    </row>
    <row r="7725" spans="19:20" x14ac:dyDescent="0.25">
      <c r="S7725" s="78">
        <v>35112</v>
      </c>
      <c r="T7725" s="29">
        <v>6.13</v>
      </c>
    </row>
    <row r="7726" spans="19:20" x14ac:dyDescent="0.25">
      <c r="S7726" s="78">
        <v>35113</v>
      </c>
      <c r="T7726" s="29">
        <v>6.13</v>
      </c>
    </row>
    <row r="7727" spans="19:20" x14ac:dyDescent="0.25">
      <c r="S7727" s="78">
        <v>35114</v>
      </c>
      <c r="T7727" s="29">
        <v>6.13</v>
      </c>
    </row>
    <row r="7728" spans="19:20" x14ac:dyDescent="0.25">
      <c r="S7728" s="78">
        <v>35115</v>
      </c>
      <c r="T7728" s="29">
        <v>6.13</v>
      </c>
    </row>
    <row r="7729" spans="19:20" x14ac:dyDescent="0.25">
      <c r="S7729" s="78">
        <v>35116</v>
      </c>
      <c r="T7729" s="29">
        <v>6.13</v>
      </c>
    </row>
    <row r="7730" spans="19:20" x14ac:dyDescent="0.25">
      <c r="S7730" s="78">
        <v>35117</v>
      </c>
      <c r="T7730" s="29">
        <v>6.13</v>
      </c>
    </row>
    <row r="7731" spans="19:20" x14ac:dyDescent="0.25">
      <c r="S7731" s="78">
        <v>35118</v>
      </c>
      <c r="T7731" s="29">
        <v>6.13</v>
      </c>
    </row>
    <row r="7732" spans="19:20" x14ac:dyDescent="0.25">
      <c r="S7732" s="78">
        <v>35119</v>
      </c>
      <c r="T7732" s="29">
        <v>6.13</v>
      </c>
    </row>
    <row r="7733" spans="19:20" x14ac:dyDescent="0.25">
      <c r="S7733" s="78">
        <v>35120</v>
      </c>
      <c r="T7733" s="29">
        <v>6.13</v>
      </c>
    </row>
    <row r="7734" spans="19:20" x14ac:dyDescent="0.25">
      <c r="S7734" s="78">
        <v>35121</v>
      </c>
      <c r="T7734" s="29">
        <v>6.13</v>
      </c>
    </row>
    <row r="7735" spans="19:20" x14ac:dyDescent="0.25">
      <c r="S7735" s="78">
        <v>35122</v>
      </c>
      <c r="T7735" s="29">
        <v>6.13</v>
      </c>
    </row>
    <row r="7736" spans="19:20" x14ac:dyDescent="0.25">
      <c r="S7736" s="78">
        <v>35123</v>
      </c>
      <c r="T7736" s="29">
        <v>6.13</v>
      </c>
    </row>
    <row r="7737" spans="19:20" x14ac:dyDescent="0.25">
      <c r="S7737" s="78">
        <v>35124</v>
      </c>
      <c r="T7737" s="29">
        <v>6.13</v>
      </c>
    </row>
    <row r="7738" spans="19:20" x14ac:dyDescent="0.25">
      <c r="S7738" s="78">
        <v>35125</v>
      </c>
      <c r="T7738" s="29">
        <v>6.13</v>
      </c>
    </row>
    <row r="7739" spans="19:20" x14ac:dyDescent="0.25">
      <c r="S7739" s="78">
        <v>35126</v>
      </c>
      <c r="T7739" s="29">
        <v>6.13</v>
      </c>
    </row>
    <row r="7740" spans="19:20" x14ac:dyDescent="0.25">
      <c r="S7740" s="78">
        <v>35127</v>
      </c>
      <c r="T7740" s="29">
        <v>6.13</v>
      </c>
    </row>
    <row r="7741" spans="19:20" x14ac:dyDescent="0.25">
      <c r="S7741" s="78">
        <v>35128</v>
      </c>
      <c r="T7741" s="29">
        <v>6.13</v>
      </c>
    </row>
    <row r="7742" spans="19:20" x14ac:dyDescent="0.25">
      <c r="S7742" s="78">
        <v>35129</v>
      </c>
      <c r="T7742" s="29">
        <v>6.13</v>
      </c>
    </row>
    <row r="7743" spans="19:20" x14ac:dyDescent="0.25">
      <c r="S7743" s="78">
        <v>35130</v>
      </c>
      <c r="T7743" s="29">
        <v>6.13</v>
      </c>
    </row>
    <row r="7744" spans="19:20" x14ac:dyDescent="0.25">
      <c r="S7744" s="78">
        <v>35131</v>
      </c>
      <c r="T7744" s="29">
        <v>6.13</v>
      </c>
    </row>
    <row r="7745" spans="19:20" x14ac:dyDescent="0.25">
      <c r="S7745" s="78">
        <v>35132</v>
      </c>
      <c r="T7745" s="29">
        <v>5.94</v>
      </c>
    </row>
    <row r="7746" spans="19:20" x14ac:dyDescent="0.25">
      <c r="S7746" s="78">
        <v>35133</v>
      </c>
      <c r="T7746" s="29">
        <v>5.94</v>
      </c>
    </row>
    <row r="7747" spans="19:20" x14ac:dyDescent="0.25">
      <c r="S7747" s="78">
        <v>35134</v>
      </c>
      <c r="T7747" s="29">
        <v>5.94</v>
      </c>
    </row>
    <row r="7748" spans="19:20" x14ac:dyDescent="0.25">
      <c r="S7748" s="78">
        <v>35135</v>
      </c>
      <c r="T7748" s="29">
        <v>5.94</v>
      </c>
    </row>
    <row r="7749" spans="19:20" x14ac:dyDescent="0.25">
      <c r="S7749" s="78">
        <v>35136</v>
      </c>
      <c r="T7749" s="29">
        <v>5.94</v>
      </c>
    </row>
    <row r="7750" spans="19:20" x14ac:dyDescent="0.25">
      <c r="S7750" s="78">
        <v>35137</v>
      </c>
      <c r="T7750" s="29">
        <v>5.94</v>
      </c>
    </row>
    <row r="7751" spans="19:20" x14ac:dyDescent="0.25">
      <c r="S7751" s="78">
        <v>35138</v>
      </c>
      <c r="T7751" s="29">
        <v>5.94</v>
      </c>
    </row>
    <row r="7752" spans="19:20" x14ac:dyDescent="0.25">
      <c r="S7752" s="78">
        <v>35139</v>
      </c>
      <c r="T7752" s="29">
        <v>5.94</v>
      </c>
    </row>
    <row r="7753" spans="19:20" x14ac:dyDescent="0.25">
      <c r="S7753" s="78">
        <v>35140</v>
      </c>
      <c r="T7753" s="29">
        <v>5.94</v>
      </c>
    </row>
    <row r="7754" spans="19:20" x14ac:dyDescent="0.25">
      <c r="S7754" s="78">
        <v>35141</v>
      </c>
      <c r="T7754" s="29">
        <v>5.94</v>
      </c>
    </row>
    <row r="7755" spans="19:20" x14ac:dyDescent="0.25">
      <c r="S7755" s="78">
        <v>35142</v>
      </c>
      <c r="T7755" s="29">
        <v>5.94</v>
      </c>
    </row>
    <row r="7756" spans="19:20" x14ac:dyDescent="0.25">
      <c r="S7756" s="78">
        <v>35143</v>
      </c>
      <c r="T7756" s="29">
        <v>5.94</v>
      </c>
    </row>
    <row r="7757" spans="19:20" x14ac:dyDescent="0.25">
      <c r="S7757" s="78">
        <v>35144</v>
      </c>
      <c r="T7757" s="29">
        <v>5.94</v>
      </c>
    </row>
    <row r="7758" spans="19:20" x14ac:dyDescent="0.25">
      <c r="S7758" s="78">
        <v>35145</v>
      </c>
      <c r="T7758" s="29">
        <v>5.94</v>
      </c>
    </row>
    <row r="7759" spans="19:20" x14ac:dyDescent="0.25">
      <c r="S7759" s="78">
        <v>35146</v>
      </c>
      <c r="T7759" s="29">
        <v>5.94</v>
      </c>
    </row>
    <row r="7760" spans="19:20" x14ac:dyDescent="0.25">
      <c r="S7760" s="78">
        <v>35147</v>
      </c>
      <c r="T7760" s="29">
        <v>5.94</v>
      </c>
    </row>
    <row r="7761" spans="19:21" x14ac:dyDescent="0.25">
      <c r="S7761" s="78">
        <v>35148</v>
      </c>
      <c r="T7761" s="29">
        <v>5.94</v>
      </c>
    </row>
    <row r="7762" spans="19:21" x14ac:dyDescent="0.25">
      <c r="S7762" s="78">
        <v>35149</v>
      </c>
      <c r="T7762" s="29">
        <v>5.94</v>
      </c>
    </row>
    <row r="7763" spans="19:21" x14ac:dyDescent="0.25">
      <c r="S7763" s="78">
        <v>35150</v>
      </c>
      <c r="T7763" s="29">
        <v>5.94</v>
      </c>
    </row>
    <row r="7764" spans="19:21" x14ac:dyDescent="0.25">
      <c r="S7764" s="78">
        <v>35151</v>
      </c>
      <c r="T7764" s="29">
        <v>5.94</v>
      </c>
    </row>
    <row r="7765" spans="19:21" x14ac:dyDescent="0.25">
      <c r="S7765" s="78">
        <v>35152</v>
      </c>
      <c r="T7765" s="29">
        <v>5.94</v>
      </c>
    </row>
    <row r="7766" spans="19:21" x14ac:dyDescent="0.25">
      <c r="S7766" s="78">
        <v>35153</v>
      </c>
      <c r="T7766" s="29">
        <v>5.94</v>
      </c>
    </row>
    <row r="7767" spans="19:21" x14ac:dyDescent="0.25">
      <c r="S7767" s="78">
        <v>35154</v>
      </c>
      <c r="T7767" s="29">
        <v>5.94</v>
      </c>
    </row>
    <row r="7768" spans="19:21" x14ac:dyDescent="0.25">
      <c r="S7768" s="78">
        <v>35155</v>
      </c>
      <c r="T7768" s="29">
        <v>5.94</v>
      </c>
      <c r="U7768" s="39">
        <f>AVERAGE(T7678:T7768)</f>
        <v>6.1265934065934076</v>
      </c>
    </row>
    <row r="7769" spans="19:21" x14ac:dyDescent="0.25">
      <c r="S7769" s="78">
        <v>35156</v>
      </c>
      <c r="T7769" s="29">
        <v>5.94</v>
      </c>
    </row>
    <row r="7770" spans="19:21" x14ac:dyDescent="0.25">
      <c r="S7770" s="78">
        <v>35157</v>
      </c>
      <c r="T7770" s="29">
        <v>5.94</v>
      </c>
    </row>
    <row r="7771" spans="19:21" x14ac:dyDescent="0.25">
      <c r="S7771" s="78">
        <v>35158</v>
      </c>
      <c r="T7771" s="29">
        <v>5.94</v>
      </c>
    </row>
    <row r="7772" spans="19:21" x14ac:dyDescent="0.25">
      <c r="S7772" s="78">
        <v>35159</v>
      </c>
      <c r="T7772" s="29">
        <v>5.94</v>
      </c>
    </row>
    <row r="7773" spans="19:21" x14ac:dyDescent="0.25">
      <c r="S7773" s="78">
        <v>35160</v>
      </c>
      <c r="T7773" s="29">
        <v>5.94</v>
      </c>
    </row>
    <row r="7774" spans="19:21" x14ac:dyDescent="0.25">
      <c r="S7774" s="78">
        <v>35161</v>
      </c>
      <c r="T7774" s="29">
        <v>5.94</v>
      </c>
    </row>
    <row r="7775" spans="19:21" x14ac:dyDescent="0.25">
      <c r="S7775" s="78">
        <v>35162</v>
      </c>
      <c r="T7775" s="29">
        <v>5.94</v>
      </c>
    </row>
    <row r="7776" spans="19:21" x14ac:dyDescent="0.25">
      <c r="S7776" s="78">
        <v>35163</v>
      </c>
      <c r="T7776" s="29">
        <v>5.94</v>
      </c>
    </row>
    <row r="7777" spans="19:20" x14ac:dyDescent="0.25">
      <c r="S7777" s="78">
        <v>35164</v>
      </c>
      <c r="T7777" s="29">
        <v>5.94</v>
      </c>
    </row>
    <row r="7778" spans="19:20" x14ac:dyDescent="0.25">
      <c r="S7778" s="78">
        <v>35165</v>
      </c>
      <c r="T7778" s="29">
        <v>5.94</v>
      </c>
    </row>
    <row r="7779" spans="19:20" x14ac:dyDescent="0.25">
      <c r="S7779" s="78">
        <v>35166</v>
      </c>
      <c r="T7779" s="29">
        <v>5.94</v>
      </c>
    </row>
    <row r="7780" spans="19:20" x14ac:dyDescent="0.25">
      <c r="S7780" s="78">
        <v>35167</v>
      </c>
      <c r="T7780" s="29">
        <v>5.94</v>
      </c>
    </row>
    <row r="7781" spans="19:20" x14ac:dyDescent="0.25">
      <c r="S7781" s="78">
        <v>35168</v>
      </c>
      <c r="T7781" s="29">
        <v>5.94</v>
      </c>
    </row>
    <row r="7782" spans="19:20" x14ac:dyDescent="0.25">
      <c r="S7782" s="78">
        <v>35169</v>
      </c>
      <c r="T7782" s="29">
        <v>5.94</v>
      </c>
    </row>
    <row r="7783" spans="19:20" x14ac:dyDescent="0.25">
      <c r="S7783" s="78">
        <v>35170</v>
      </c>
      <c r="T7783" s="29">
        <v>5.94</v>
      </c>
    </row>
    <row r="7784" spans="19:20" x14ac:dyDescent="0.25">
      <c r="S7784" s="78">
        <v>35171</v>
      </c>
      <c r="T7784" s="29">
        <v>5.94</v>
      </c>
    </row>
    <row r="7785" spans="19:20" x14ac:dyDescent="0.25">
      <c r="S7785" s="78">
        <v>35172</v>
      </c>
      <c r="T7785" s="29">
        <v>5.94</v>
      </c>
    </row>
    <row r="7786" spans="19:20" x14ac:dyDescent="0.25">
      <c r="S7786" s="78">
        <v>35173</v>
      </c>
      <c r="T7786" s="29">
        <v>5.94</v>
      </c>
    </row>
    <row r="7787" spans="19:20" x14ac:dyDescent="0.25">
      <c r="S7787" s="78">
        <v>35174</v>
      </c>
      <c r="T7787" s="29">
        <v>5.94</v>
      </c>
    </row>
    <row r="7788" spans="19:20" x14ac:dyDescent="0.25">
      <c r="S7788" s="78">
        <v>35175</v>
      </c>
      <c r="T7788" s="29">
        <v>5.94</v>
      </c>
    </row>
    <row r="7789" spans="19:20" x14ac:dyDescent="0.25">
      <c r="S7789" s="78">
        <v>35176</v>
      </c>
      <c r="T7789" s="29">
        <v>5.94</v>
      </c>
    </row>
    <row r="7790" spans="19:20" x14ac:dyDescent="0.25">
      <c r="S7790" s="78">
        <v>35177</v>
      </c>
      <c r="T7790" s="29">
        <v>5.94</v>
      </c>
    </row>
    <row r="7791" spans="19:20" x14ac:dyDescent="0.25">
      <c r="S7791" s="78">
        <v>35178</v>
      </c>
      <c r="T7791" s="29">
        <v>5.94</v>
      </c>
    </row>
    <row r="7792" spans="19:20" x14ac:dyDescent="0.25">
      <c r="S7792" s="78">
        <v>35179</v>
      </c>
      <c r="T7792" s="29">
        <v>5.94</v>
      </c>
    </row>
    <row r="7793" spans="19:20" x14ac:dyDescent="0.25">
      <c r="S7793" s="78">
        <v>35180</v>
      </c>
      <c r="T7793" s="29">
        <v>5.94</v>
      </c>
    </row>
    <row r="7794" spans="19:20" x14ac:dyDescent="0.25">
      <c r="S7794" s="78">
        <v>35181</v>
      </c>
      <c r="T7794" s="29">
        <v>5.94</v>
      </c>
    </row>
    <row r="7795" spans="19:20" x14ac:dyDescent="0.25">
      <c r="S7795" s="78">
        <v>35182</v>
      </c>
      <c r="T7795" s="29">
        <v>5.94</v>
      </c>
    </row>
    <row r="7796" spans="19:20" x14ac:dyDescent="0.25">
      <c r="S7796" s="78">
        <v>35183</v>
      </c>
      <c r="T7796" s="29">
        <v>5.94</v>
      </c>
    </row>
    <row r="7797" spans="19:20" x14ac:dyDescent="0.25">
      <c r="S7797" s="78">
        <v>35184</v>
      </c>
      <c r="T7797" s="29">
        <v>5.94</v>
      </c>
    </row>
    <row r="7798" spans="19:20" x14ac:dyDescent="0.25">
      <c r="S7798" s="78">
        <v>35185</v>
      </c>
      <c r="T7798" s="29">
        <v>5.94</v>
      </c>
    </row>
    <row r="7799" spans="19:20" x14ac:dyDescent="0.25">
      <c r="S7799" s="78">
        <v>35186</v>
      </c>
      <c r="T7799" s="29">
        <v>5.94</v>
      </c>
    </row>
    <row r="7800" spans="19:20" x14ac:dyDescent="0.25">
      <c r="S7800" s="78">
        <v>35187</v>
      </c>
      <c r="T7800" s="29">
        <v>5.94</v>
      </c>
    </row>
    <row r="7801" spans="19:20" x14ac:dyDescent="0.25">
      <c r="S7801" s="78">
        <v>35188</v>
      </c>
      <c r="T7801" s="29">
        <v>5.94</v>
      </c>
    </row>
    <row r="7802" spans="19:20" x14ac:dyDescent="0.25">
      <c r="S7802" s="78">
        <v>35189</v>
      </c>
      <c r="T7802" s="29">
        <v>5.94</v>
      </c>
    </row>
    <row r="7803" spans="19:20" x14ac:dyDescent="0.25">
      <c r="S7803" s="78">
        <v>35190</v>
      </c>
      <c r="T7803" s="29">
        <v>5.94</v>
      </c>
    </row>
    <row r="7804" spans="19:20" x14ac:dyDescent="0.25">
      <c r="S7804" s="78">
        <v>35191</v>
      </c>
      <c r="T7804" s="29">
        <v>5.94</v>
      </c>
    </row>
    <row r="7805" spans="19:20" x14ac:dyDescent="0.25">
      <c r="S7805" s="78">
        <v>35192</v>
      </c>
      <c r="T7805" s="29">
        <v>5.94</v>
      </c>
    </row>
    <row r="7806" spans="19:20" x14ac:dyDescent="0.25">
      <c r="S7806" s="78">
        <v>35193</v>
      </c>
      <c r="T7806" s="29">
        <v>5.94</v>
      </c>
    </row>
    <row r="7807" spans="19:20" x14ac:dyDescent="0.25">
      <c r="S7807" s="78">
        <v>35194</v>
      </c>
      <c r="T7807" s="29">
        <v>5.94</v>
      </c>
    </row>
    <row r="7808" spans="19:20" x14ac:dyDescent="0.25">
      <c r="S7808" s="78">
        <v>35195</v>
      </c>
      <c r="T7808" s="29">
        <v>5.94</v>
      </c>
    </row>
    <row r="7809" spans="19:20" x14ac:dyDescent="0.25">
      <c r="S7809" s="78">
        <v>35196</v>
      </c>
      <c r="T7809" s="29">
        <v>5.94</v>
      </c>
    </row>
    <row r="7810" spans="19:20" x14ac:dyDescent="0.25">
      <c r="S7810" s="78">
        <v>35197</v>
      </c>
      <c r="T7810" s="29">
        <v>5.94</v>
      </c>
    </row>
    <row r="7811" spans="19:20" x14ac:dyDescent="0.25">
      <c r="S7811" s="78">
        <v>35198</v>
      </c>
      <c r="T7811" s="29">
        <v>5.94</v>
      </c>
    </row>
    <row r="7812" spans="19:20" x14ac:dyDescent="0.25">
      <c r="S7812" s="78">
        <v>35199</v>
      </c>
      <c r="T7812" s="29">
        <v>5.94</v>
      </c>
    </row>
    <row r="7813" spans="19:20" x14ac:dyDescent="0.25">
      <c r="S7813" s="78">
        <v>35200</v>
      </c>
      <c r="T7813" s="29">
        <v>5.94</v>
      </c>
    </row>
    <row r="7814" spans="19:20" x14ac:dyDescent="0.25">
      <c r="S7814" s="78">
        <v>35201</v>
      </c>
      <c r="T7814" s="29">
        <v>5.94</v>
      </c>
    </row>
    <row r="7815" spans="19:20" x14ac:dyDescent="0.25">
      <c r="S7815" s="78">
        <v>35202</v>
      </c>
      <c r="T7815" s="29">
        <v>5.94</v>
      </c>
    </row>
    <row r="7816" spans="19:20" x14ac:dyDescent="0.25">
      <c r="S7816" s="78">
        <v>35203</v>
      </c>
      <c r="T7816" s="29">
        <v>5.94</v>
      </c>
    </row>
    <row r="7817" spans="19:20" x14ac:dyDescent="0.25">
      <c r="S7817" s="78">
        <v>35204</v>
      </c>
      <c r="T7817" s="29">
        <v>5.94</v>
      </c>
    </row>
    <row r="7818" spans="19:20" x14ac:dyDescent="0.25">
      <c r="S7818" s="78">
        <v>35205</v>
      </c>
      <c r="T7818" s="29">
        <v>5.94</v>
      </c>
    </row>
    <row r="7819" spans="19:20" x14ac:dyDescent="0.25">
      <c r="S7819" s="78">
        <v>35206</v>
      </c>
      <c r="T7819" s="29">
        <v>5.94</v>
      </c>
    </row>
    <row r="7820" spans="19:20" x14ac:dyDescent="0.25">
      <c r="S7820" s="78">
        <v>35207</v>
      </c>
      <c r="T7820" s="29">
        <v>5.94</v>
      </c>
    </row>
    <row r="7821" spans="19:20" x14ac:dyDescent="0.25">
      <c r="S7821" s="78">
        <v>35208</v>
      </c>
      <c r="T7821" s="29">
        <v>5.94</v>
      </c>
    </row>
    <row r="7822" spans="19:20" x14ac:dyDescent="0.25">
      <c r="S7822" s="78">
        <v>35209</v>
      </c>
      <c r="T7822" s="29">
        <v>5.94</v>
      </c>
    </row>
    <row r="7823" spans="19:20" x14ac:dyDescent="0.25">
      <c r="S7823" s="78">
        <v>35210</v>
      </c>
      <c r="T7823" s="29">
        <v>5.94</v>
      </c>
    </row>
    <row r="7824" spans="19:20" x14ac:dyDescent="0.25">
      <c r="S7824" s="78">
        <v>35211</v>
      </c>
      <c r="T7824" s="29">
        <v>5.94</v>
      </c>
    </row>
    <row r="7825" spans="19:20" x14ac:dyDescent="0.25">
      <c r="S7825" s="78">
        <v>35212</v>
      </c>
      <c r="T7825" s="29">
        <v>5.94</v>
      </c>
    </row>
    <row r="7826" spans="19:20" x14ac:dyDescent="0.25">
      <c r="S7826" s="78">
        <v>35213</v>
      </c>
      <c r="T7826" s="29">
        <v>5.94</v>
      </c>
    </row>
    <row r="7827" spans="19:20" x14ac:dyDescent="0.25">
      <c r="S7827" s="78">
        <v>35214</v>
      </c>
      <c r="T7827" s="29">
        <v>5.94</v>
      </c>
    </row>
    <row r="7828" spans="19:20" x14ac:dyDescent="0.25">
      <c r="S7828" s="78">
        <v>35215</v>
      </c>
      <c r="T7828" s="29">
        <v>5.94</v>
      </c>
    </row>
    <row r="7829" spans="19:20" x14ac:dyDescent="0.25">
      <c r="S7829" s="78">
        <v>35216</v>
      </c>
      <c r="T7829" s="29">
        <v>5.94</v>
      </c>
    </row>
    <row r="7830" spans="19:20" x14ac:dyDescent="0.25">
      <c r="S7830" s="78">
        <v>35217</v>
      </c>
      <c r="T7830" s="29">
        <v>5.94</v>
      </c>
    </row>
    <row r="7831" spans="19:20" x14ac:dyDescent="0.25">
      <c r="S7831" s="78">
        <v>35218</v>
      </c>
      <c r="T7831" s="29">
        <v>5.94</v>
      </c>
    </row>
    <row r="7832" spans="19:20" x14ac:dyDescent="0.25">
      <c r="S7832" s="78">
        <v>35219</v>
      </c>
      <c r="T7832" s="29">
        <v>5.94</v>
      </c>
    </row>
    <row r="7833" spans="19:20" x14ac:dyDescent="0.25">
      <c r="S7833" s="78">
        <v>35220</v>
      </c>
      <c r="T7833" s="29">
        <v>5.94</v>
      </c>
    </row>
    <row r="7834" spans="19:20" x14ac:dyDescent="0.25">
      <c r="S7834" s="78">
        <v>35221</v>
      </c>
      <c r="T7834" s="29">
        <v>5.94</v>
      </c>
    </row>
    <row r="7835" spans="19:20" x14ac:dyDescent="0.25">
      <c r="S7835" s="78">
        <v>35222</v>
      </c>
      <c r="T7835" s="29">
        <v>5.69</v>
      </c>
    </row>
    <row r="7836" spans="19:20" x14ac:dyDescent="0.25">
      <c r="S7836" s="78">
        <v>35223</v>
      </c>
      <c r="T7836" s="29">
        <v>5.69</v>
      </c>
    </row>
    <row r="7837" spans="19:20" x14ac:dyDescent="0.25">
      <c r="S7837" s="78">
        <v>35224</v>
      </c>
      <c r="T7837" s="29">
        <v>5.69</v>
      </c>
    </row>
    <row r="7838" spans="19:20" x14ac:dyDescent="0.25">
      <c r="S7838" s="78">
        <v>35225</v>
      </c>
      <c r="T7838" s="29">
        <v>5.69</v>
      </c>
    </row>
    <row r="7839" spans="19:20" x14ac:dyDescent="0.25">
      <c r="S7839" s="78">
        <v>35226</v>
      </c>
      <c r="T7839" s="29">
        <v>5.69</v>
      </c>
    </row>
    <row r="7840" spans="19:20" x14ac:dyDescent="0.25">
      <c r="S7840" s="78">
        <v>35227</v>
      </c>
      <c r="T7840" s="29">
        <v>5.69</v>
      </c>
    </row>
    <row r="7841" spans="19:20" x14ac:dyDescent="0.25">
      <c r="S7841" s="78">
        <v>35228</v>
      </c>
      <c r="T7841" s="29">
        <v>5.69</v>
      </c>
    </row>
    <row r="7842" spans="19:20" x14ac:dyDescent="0.25">
      <c r="S7842" s="78">
        <v>35229</v>
      </c>
      <c r="T7842" s="29">
        <v>5.69</v>
      </c>
    </row>
    <row r="7843" spans="19:20" x14ac:dyDescent="0.25">
      <c r="S7843" s="78">
        <v>35230</v>
      </c>
      <c r="T7843" s="29">
        <v>5.69</v>
      </c>
    </row>
    <row r="7844" spans="19:20" x14ac:dyDescent="0.25">
      <c r="S7844" s="78">
        <v>35231</v>
      </c>
      <c r="T7844" s="29">
        <v>5.69</v>
      </c>
    </row>
    <row r="7845" spans="19:20" x14ac:dyDescent="0.25">
      <c r="S7845" s="78">
        <v>35232</v>
      </c>
      <c r="T7845" s="29">
        <v>5.69</v>
      </c>
    </row>
    <row r="7846" spans="19:20" x14ac:dyDescent="0.25">
      <c r="S7846" s="78">
        <v>35233</v>
      </c>
      <c r="T7846" s="29">
        <v>5.69</v>
      </c>
    </row>
    <row r="7847" spans="19:20" x14ac:dyDescent="0.25">
      <c r="S7847" s="78">
        <v>35234</v>
      </c>
      <c r="T7847" s="29">
        <v>5.69</v>
      </c>
    </row>
    <row r="7848" spans="19:20" x14ac:dyDescent="0.25">
      <c r="S7848" s="78">
        <v>35235</v>
      </c>
      <c r="T7848" s="29">
        <v>5.69</v>
      </c>
    </row>
    <row r="7849" spans="19:20" x14ac:dyDescent="0.25">
      <c r="S7849" s="78">
        <v>35236</v>
      </c>
      <c r="T7849" s="29">
        <v>5.69</v>
      </c>
    </row>
    <row r="7850" spans="19:20" x14ac:dyDescent="0.25">
      <c r="S7850" s="78">
        <v>35237</v>
      </c>
      <c r="T7850" s="29">
        <v>5.69</v>
      </c>
    </row>
    <row r="7851" spans="19:20" x14ac:dyDescent="0.25">
      <c r="S7851" s="78">
        <v>35238</v>
      </c>
      <c r="T7851" s="29">
        <v>5.69</v>
      </c>
    </row>
    <row r="7852" spans="19:20" x14ac:dyDescent="0.25">
      <c r="S7852" s="78">
        <v>35239</v>
      </c>
      <c r="T7852" s="29">
        <v>5.69</v>
      </c>
    </row>
    <row r="7853" spans="19:20" x14ac:dyDescent="0.25">
      <c r="S7853" s="78">
        <v>35240</v>
      </c>
      <c r="T7853" s="29">
        <v>5.69</v>
      </c>
    </row>
    <row r="7854" spans="19:20" x14ac:dyDescent="0.25">
      <c r="S7854" s="78">
        <v>35241</v>
      </c>
      <c r="T7854" s="29">
        <v>5.69</v>
      </c>
    </row>
    <row r="7855" spans="19:20" x14ac:dyDescent="0.25">
      <c r="S7855" s="78">
        <v>35242</v>
      </c>
      <c r="T7855" s="29">
        <v>5.69</v>
      </c>
    </row>
    <row r="7856" spans="19:20" x14ac:dyDescent="0.25">
      <c r="S7856" s="78">
        <v>35243</v>
      </c>
      <c r="T7856" s="29">
        <v>5.69</v>
      </c>
    </row>
    <row r="7857" spans="19:21" x14ac:dyDescent="0.25">
      <c r="S7857" s="78">
        <v>35244</v>
      </c>
      <c r="T7857" s="29">
        <v>5.69</v>
      </c>
    </row>
    <row r="7858" spans="19:21" x14ac:dyDescent="0.25">
      <c r="S7858" s="78">
        <v>35245</v>
      </c>
      <c r="T7858" s="29">
        <v>5.69</v>
      </c>
      <c r="U7858" s="40"/>
    </row>
    <row r="7859" spans="19:21" x14ac:dyDescent="0.25">
      <c r="S7859" s="78">
        <v>35246</v>
      </c>
      <c r="T7859" s="29">
        <v>5.69</v>
      </c>
      <c r="U7859" s="40">
        <f>AVERAGE(T7769:T7859)</f>
        <v>5.871318681318682</v>
      </c>
    </row>
    <row r="7860" spans="19:21" x14ac:dyDescent="0.25">
      <c r="S7860" s="78">
        <v>35247</v>
      </c>
      <c r="T7860" s="29">
        <v>5.69</v>
      </c>
    </row>
    <row r="7861" spans="19:21" x14ac:dyDescent="0.25">
      <c r="S7861" s="78">
        <v>35248</v>
      </c>
      <c r="T7861" s="29">
        <v>5.69</v>
      </c>
    </row>
    <row r="7862" spans="19:21" x14ac:dyDescent="0.25">
      <c r="S7862" s="78">
        <v>35249</v>
      </c>
      <c r="T7862" s="29">
        <v>5.69</v>
      </c>
    </row>
    <row r="7863" spans="19:21" x14ac:dyDescent="0.25">
      <c r="S7863" s="78">
        <v>35250</v>
      </c>
      <c r="T7863" s="29">
        <v>5.69</v>
      </c>
    </row>
    <row r="7864" spans="19:21" x14ac:dyDescent="0.25">
      <c r="S7864" s="78">
        <v>35251</v>
      </c>
      <c r="T7864" s="29">
        <v>5.69</v>
      </c>
    </row>
    <row r="7865" spans="19:21" x14ac:dyDescent="0.25">
      <c r="S7865" s="78">
        <v>35252</v>
      </c>
      <c r="T7865" s="29">
        <v>5.69</v>
      </c>
    </row>
    <row r="7866" spans="19:21" x14ac:dyDescent="0.25">
      <c r="S7866" s="78">
        <v>35253</v>
      </c>
      <c r="T7866" s="29">
        <v>5.69</v>
      </c>
    </row>
    <row r="7867" spans="19:21" x14ac:dyDescent="0.25">
      <c r="S7867" s="78">
        <v>35254</v>
      </c>
      <c r="T7867" s="29">
        <v>5.69</v>
      </c>
    </row>
    <row r="7868" spans="19:21" x14ac:dyDescent="0.25">
      <c r="S7868" s="78">
        <v>35255</v>
      </c>
      <c r="T7868" s="29">
        <v>5.69</v>
      </c>
    </row>
    <row r="7869" spans="19:21" x14ac:dyDescent="0.25">
      <c r="S7869" s="78">
        <v>35256</v>
      </c>
      <c r="T7869" s="29">
        <v>5.69</v>
      </c>
    </row>
    <row r="7870" spans="19:21" x14ac:dyDescent="0.25">
      <c r="S7870" s="78">
        <v>35257</v>
      </c>
      <c r="T7870" s="29">
        <v>5.69</v>
      </c>
    </row>
    <row r="7871" spans="19:21" x14ac:dyDescent="0.25">
      <c r="S7871" s="78">
        <v>35258</v>
      </c>
      <c r="T7871" s="29">
        <v>5.69</v>
      </c>
    </row>
    <row r="7872" spans="19:21" x14ac:dyDescent="0.25">
      <c r="S7872" s="78">
        <v>35259</v>
      </c>
      <c r="T7872" s="29">
        <v>5.69</v>
      </c>
    </row>
    <row r="7873" spans="19:20" x14ac:dyDescent="0.25">
      <c r="S7873" s="78">
        <v>35260</v>
      </c>
      <c r="T7873" s="29">
        <v>5.69</v>
      </c>
    </row>
    <row r="7874" spans="19:20" x14ac:dyDescent="0.25">
      <c r="S7874" s="78">
        <v>35261</v>
      </c>
      <c r="T7874" s="29">
        <v>5.69</v>
      </c>
    </row>
    <row r="7875" spans="19:20" x14ac:dyDescent="0.25">
      <c r="S7875" s="78">
        <v>35262</v>
      </c>
      <c r="T7875" s="29">
        <v>5.69</v>
      </c>
    </row>
    <row r="7876" spans="19:20" x14ac:dyDescent="0.25">
      <c r="S7876" s="78">
        <v>35263</v>
      </c>
      <c r="T7876" s="29">
        <v>5.69</v>
      </c>
    </row>
    <row r="7877" spans="19:20" x14ac:dyDescent="0.25">
      <c r="S7877" s="78">
        <v>35264</v>
      </c>
      <c r="T7877" s="29">
        <v>5.69</v>
      </c>
    </row>
    <row r="7878" spans="19:20" x14ac:dyDescent="0.25">
      <c r="S7878" s="78">
        <v>35265</v>
      </c>
      <c r="T7878" s="29">
        <v>5.69</v>
      </c>
    </row>
    <row r="7879" spans="19:20" x14ac:dyDescent="0.25">
      <c r="S7879" s="78">
        <v>35266</v>
      </c>
      <c r="T7879" s="29">
        <v>5.69</v>
      </c>
    </row>
    <row r="7880" spans="19:20" x14ac:dyDescent="0.25">
      <c r="S7880" s="78">
        <v>35267</v>
      </c>
      <c r="T7880" s="29">
        <v>5.69</v>
      </c>
    </row>
    <row r="7881" spans="19:20" x14ac:dyDescent="0.25">
      <c r="S7881" s="78">
        <v>35268</v>
      </c>
      <c r="T7881" s="29">
        <v>5.69</v>
      </c>
    </row>
    <row r="7882" spans="19:20" x14ac:dyDescent="0.25">
      <c r="S7882" s="78">
        <v>35269</v>
      </c>
      <c r="T7882" s="29">
        <v>5.69</v>
      </c>
    </row>
    <row r="7883" spans="19:20" x14ac:dyDescent="0.25">
      <c r="S7883" s="78">
        <v>35270</v>
      </c>
      <c r="T7883" s="29">
        <v>5.69</v>
      </c>
    </row>
    <row r="7884" spans="19:20" x14ac:dyDescent="0.25">
      <c r="S7884" s="78">
        <v>35271</v>
      </c>
      <c r="T7884" s="29">
        <v>5.69</v>
      </c>
    </row>
    <row r="7885" spans="19:20" x14ac:dyDescent="0.25">
      <c r="S7885" s="78">
        <v>35272</v>
      </c>
      <c r="T7885" s="29">
        <v>5.69</v>
      </c>
    </row>
    <row r="7886" spans="19:20" x14ac:dyDescent="0.25">
      <c r="S7886" s="78">
        <v>35273</v>
      </c>
      <c r="T7886" s="29">
        <v>5.69</v>
      </c>
    </row>
    <row r="7887" spans="19:20" x14ac:dyDescent="0.25">
      <c r="S7887" s="78">
        <v>35274</v>
      </c>
      <c r="T7887" s="29">
        <v>5.69</v>
      </c>
    </row>
    <row r="7888" spans="19:20" x14ac:dyDescent="0.25">
      <c r="S7888" s="78">
        <v>35275</v>
      </c>
      <c r="T7888" s="29">
        <v>5.69</v>
      </c>
    </row>
    <row r="7889" spans="19:20" x14ac:dyDescent="0.25">
      <c r="S7889" s="78">
        <v>35276</v>
      </c>
      <c r="T7889" s="29">
        <v>5.69</v>
      </c>
    </row>
    <row r="7890" spans="19:20" x14ac:dyDescent="0.25">
      <c r="S7890" s="78">
        <v>35277</v>
      </c>
      <c r="T7890" s="29">
        <v>5.69</v>
      </c>
    </row>
    <row r="7891" spans="19:20" x14ac:dyDescent="0.25">
      <c r="S7891" s="78">
        <v>35278</v>
      </c>
      <c r="T7891" s="29">
        <v>5.69</v>
      </c>
    </row>
    <row r="7892" spans="19:20" x14ac:dyDescent="0.25">
      <c r="S7892" s="78">
        <v>35279</v>
      </c>
      <c r="T7892" s="29">
        <v>5.69</v>
      </c>
    </row>
    <row r="7893" spans="19:20" x14ac:dyDescent="0.25">
      <c r="S7893" s="78">
        <v>35280</v>
      </c>
      <c r="T7893" s="29">
        <v>5.69</v>
      </c>
    </row>
    <row r="7894" spans="19:20" x14ac:dyDescent="0.25">
      <c r="S7894" s="78">
        <v>35281</v>
      </c>
      <c r="T7894" s="29">
        <v>5.69</v>
      </c>
    </row>
    <row r="7895" spans="19:20" x14ac:dyDescent="0.25">
      <c r="S7895" s="78">
        <v>35282</v>
      </c>
      <c r="T7895" s="29">
        <v>5.69</v>
      </c>
    </row>
    <row r="7896" spans="19:20" x14ac:dyDescent="0.25">
      <c r="S7896" s="78">
        <v>35283</v>
      </c>
      <c r="T7896" s="29">
        <v>5.69</v>
      </c>
    </row>
    <row r="7897" spans="19:20" x14ac:dyDescent="0.25">
      <c r="S7897" s="78">
        <v>35284</v>
      </c>
      <c r="T7897" s="29">
        <v>5.69</v>
      </c>
    </row>
    <row r="7898" spans="19:20" x14ac:dyDescent="0.25">
      <c r="S7898" s="78">
        <v>35285</v>
      </c>
      <c r="T7898" s="29">
        <v>5.69</v>
      </c>
    </row>
    <row r="7899" spans="19:20" x14ac:dyDescent="0.25">
      <c r="S7899" s="78">
        <v>35286</v>
      </c>
      <c r="T7899" s="29">
        <v>5.69</v>
      </c>
    </row>
    <row r="7900" spans="19:20" x14ac:dyDescent="0.25">
      <c r="S7900" s="78">
        <v>35287</v>
      </c>
      <c r="T7900" s="29">
        <v>5.69</v>
      </c>
    </row>
    <row r="7901" spans="19:20" x14ac:dyDescent="0.25">
      <c r="S7901" s="78">
        <v>35288</v>
      </c>
      <c r="T7901" s="29">
        <v>5.69</v>
      </c>
    </row>
    <row r="7902" spans="19:20" x14ac:dyDescent="0.25">
      <c r="S7902" s="78">
        <v>35289</v>
      </c>
      <c r="T7902" s="29">
        <v>5.69</v>
      </c>
    </row>
    <row r="7903" spans="19:20" x14ac:dyDescent="0.25">
      <c r="S7903" s="78">
        <v>35290</v>
      </c>
      <c r="T7903" s="29">
        <v>5.69</v>
      </c>
    </row>
    <row r="7904" spans="19:20" x14ac:dyDescent="0.25">
      <c r="S7904" s="78">
        <v>35291</v>
      </c>
      <c r="T7904" s="29">
        <v>5.69</v>
      </c>
    </row>
    <row r="7905" spans="19:20" x14ac:dyDescent="0.25">
      <c r="S7905" s="78">
        <v>35292</v>
      </c>
      <c r="T7905" s="29">
        <v>5.69</v>
      </c>
    </row>
    <row r="7906" spans="19:20" x14ac:dyDescent="0.25">
      <c r="S7906" s="78">
        <v>35293</v>
      </c>
      <c r="T7906" s="29">
        <v>5.69</v>
      </c>
    </row>
    <row r="7907" spans="19:20" x14ac:dyDescent="0.25">
      <c r="S7907" s="78">
        <v>35294</v>
      </c>
      <c r="T7907" s="29">
        <v>5.69</v>
      </c>
    </row>
    <row r="7908" spans="19:20" x14ac:dyDescent="0.25">
      <c r="S7908" s="78">
        <v>35295</v>
      </c>
      <c r="T7908" s="29">
        <v>5.69</v>
      </c>
    </row>
    <row r="7909" spans="19:20" x14ac:dyDescent="0.25">
      <c r="S7909" s="78">
        <v>35296</v>
      </c>
      <c r="T7909" s="29">
        <v>5.69</v>
      </c>
    </row>
    <row r="7910" spans="19:20" x14ac:dyDescent="0.25">
      <c r="S7910" s="78">
        <v>35297</v>
      </c>
      <c r="T7910" s="29">
        <v>5.69</v>
      </c>
    </row>
    <row r="7911" spans="19:20" x14ac:dyDescent="0.25">
      <c r="S7911" s="78">
        <v>35298</v>
      </c>
      <c r="T7911" s="29">
        <v>5.69</v>
      </c>
    </row>
    <row r="7912" spans="19:20" x14ac:dyDescent="0.25">
      <c r="S7912" s="78">
        <v>35299</v>
      </c>
      <c r="T7912" s="29">
        <v>5.69</v>
      </c>
    </row>
    <row r="7913" spans="19:20" x14ac:dyDescent="0.25">
      <c r="S7913" s="78">
        <v>35300</v>
      </c>
      <c r="T7913" s="29">
        <v>5.69</v>
      </c>
    </row>
    <row r="7914" spans="19:20" x14ac:dyDescent="0.25">
      <c r="S7914" s="78">
        <v>35301</v>
      </c>
      <c r="T7914" s="29">
        <v>5.69</v>
      </c>
    </row>
    <row r="7915" spans="19:20" x14ac:dyDescent="0.25">
      <c r="S7915" s="78">
        <v>35302</v>
      </c>
      <c r="T7915" s="29">
        <v>5.69</v>
      </c>
    </row>
    <row r="7916" spans="19:20" x14ac:dyDescent="0.25">
      <c r="S7916" s="78">
        <v>35303</v>
      </c>
      <c r="T7916" s="29">
        <v>5.69</v>
      </c>
    </row>
    <row r="7917" spans="19:20" x14ac:dyDescent="0.25">
      <c r="S7917" s="78">
        <v>35304</v>
      </c>
      <c r="T7917" s="29">
        <v>5.69</v>
      </c>
    </row>
    <row r="7918" spans="19:20" x14ac:dyDescent="0.25">
      <c r="S7918" s="78">
        <v>35305</v>
      </c>
      <c r="T7918" s="29">
        <v>5.69</v>
      </c>
    </row>
    <row r="7919" spans="19:20" x14ac:dyDescent="0.25">
      <c r="S7919" s="78">
        <v>35306</v>
      </c>
      <c r="T7919" s="29">
        <v>5.69</v>
      </c>
    </row>
    <row r="7920" spans="19:20" x14ac:dyDescent="0.25">
      <c r="S7920" s="78">
        <v>35307</v>
      </c>
      <c r="T7920" s="29">
        <v>5.69</v>
      </c>
    </row>
    <row r="7921" spans="19:20" x14ac:dyDescent="0.25">
      <c r="S7921" s="78">
        <v>35308</v>
      </c>
      <c r="T7921" s="29">
        <v>5.69</v>
      </c>
    </row>
    <row r="7922" spans="19:20" x14ac:dyDescent="0.25">
      <c r="S7922" s="78">
        <v>35309</v>
      </c>
      <c r="T7922" s="29">
        <v>5.69</v>
      </c>
    </row>
    <row r="7923" spans="19:20" x14ac:dyDescent="0.25">
      <c r="S7923" s="78">
        <v>35310</v>
      </c>
      <c r="T7923" s="29">
        <v>5.69</v>
      </c>
    </row>
    <row r="7924" spans="19:20" x14ac:dyDescent="0.25">
      <c r="S7924" s="78">
        <v>35311</v>
      </c>
      <c r="T7924" s="29">
        <v>5.69</v>
      </c>
    </row>
    <row r="7925" spans="19:20" x14ac:dyDescent="0.25">
      <c r="S7925" s="78">
        <v>35312</v>
      </c>
      <c r="T7925" s="29">
        <v>5.69</v>
      </c>
    </row>
    <row r="7926" spans="19:20" x14ac:dyDescent="0.25">
      <c r="S7926" s="78">
        <v>35313</v>
      </c>
      <c r="T7926" s="29">
        <v>5.69</v>
      </c>
    </row>
    <row r="7927" spans="19:20" x14ac:dyDescent="0.25">
      <c r="S7927" s="78">
        <v>35314</v>
      </c>
      <c r="T7927" s="29">
        <v>5.69</v>
      </c>
    </row>
    <row r="7928" spans="19:20" x14ac:dyDescent="0.25">
      <c r="S7928" s="78">
        <v>35315</v>
      </c>
      <c r="T7928" s="29">
        <v>5.69</v>
      </c>
    </row>
    <row r="7929" spans="19:20" x14ac:dyDescent="0.25">
      <c r="S7929" s="78">
        <v>35316</v>
      </c>
      <c r="T7929" s="29">
        <v>5.69</v>
      </c>
    </row>
    <row r="7930" spans="19:20" x14ac:dyDescent="0.25">
      <c r="S7930" s="78">
        <v>35317</v>
      </c>
      <c r="T7930" s="29">
        <v>5.69</v>
      </c>
    </row>
    <row r="7931" spans="19:20" x14ac:dyDescent="0.25">
      <c r="S7931" s="78">
        <v>35318</v>
      </c>
      <c r="T7931" s="29">
        <v>5.69</v>
      </c>
    </row>
    <row r="7932" spans="19:20" x14ac:dyDescent="0.25">
      <c r="S7932" s="78">
        <v>35319</v>
      </c>
      <c r="T7932" s="29">
        <v>5.69</v>
      </c>
    </row>
    <row r="7933" spans="19:20" x14ac:dyDescent="0.25">
      <c r="S7933" s="78">
        <v>35320</v>
      </c>
      <c r="T7933" s="29">
        <v>5.69</v>
      </c>
    </row>
    <row r="7934" spans="19:20" x14ac:dyDescent="0.25">
      <c r="S7934" s="78">
        <v>35321</v>
      </c>
      <c r="T7934" s="29">
        <v>5.69</v>
      </c>
    </row>
    <row r="7935" spans="19:20" x14ac:dyDescent="0.25">
      <c r="S7935" s="78">
        <v>35322</v>
      </c>
      <c r="T7935" s="29">
        <v>5.69</v>
      </c>
    </row>
    <row r="7936" spans="19:20" x14ac:dyDescent="0.25">
      <c r="S7936" s="78">
        <v>35323</v>
      </c>
      <c r="T7936" s="29">
        <v>5.69</v>
      </c>
    </row>
    <row r="7937" spans="19:21" x14ac:dyDescent="0.25">
      <c r="S7937" s="78">
        <v>35324</v>
      </c>
      <c r="T7937" s="29">
        <v>5.69</v>
      </c>
    </row>
    <row r="7938" spans="19:21" x14ac:dyDescent="0.25">
      <c r="S7938" s="78">
        <v>35325</v>
      </c>
      <c r="T7938" s="29">
        <v>5.69</v>
      </c>
    </row>
    <row r="7939" spans="19:21" x14ac:dyDescent="0.25">
      <c r="S7939" s="78">
        <v>35326</v>
      </c>
      <c r="T7939" s="29">
        <v>5.69</v>
      </c>
    </row>
    <row r="7940" spans="19:21" x14ac:dyDescent="0.25">
      <c r="S7940" s="78">
        <v>35327</v>
      </c>
      <c r="T7940" s="29">
        <v>5.69</v>
      </c>
    </row>
    <row r="7941" spans="19:21" x14ac:dyDescent="0.25">
      <c r="S7941" s="78">
        <v>35328</v>
      </c>
      <c r="T7941" s="29">
        <v>5.69</v>
      </c>
    </row>
    <row r="7942" spans="19:21" x14ac:dyDescent="0.25">
      <c r="S7942" s="78">
        <v>35329</v>
      </c>
      <c r="T7942" s="29">
        <v>5.69</v>
      </c>
    </row>
    <row r="7943" spans="19:21" x14ac:dyDescent="0.25">
      <c r="S7943" s="78">
        <v>35330</v>
      </c>
      <c r="T7943" s="29">
        <v>5.69</v>
      </c>
    </row>
    <row r="7944" spans="19:21" x14ac:dyDescent="0.25">
      <c r="S7944" s="78">
        <v>35331</v>
      </c>
      <c r="T7944" s="29">
        <v>5.69</v>
      </c>
    </row>
    <row r="7945" spans="19:21" x14ac:dyDescent="0.25">
      <c r="S7945" s="78">
        <v>35332</v>
      </c>
      <c r="T7945" s="29">
        <v>5.69</v>
      </c>
    </row>
    <row r="7946" spans="19:21" x14ac:dyDescent="0.25">
      <c r="S7946" s="78">
        <v>35333</v>
      </c>
      <c r="T7946" s="29">
        <v>5.69</v>
      </c>
    </row>
    <row r="7947" spans="19:21" x14ac:dyDescent="0.25">
      <c r="S7947" s="78">
        <v>35334</v>
      </c>
      <c r="T7947" s="29">
        <v>5.69</v>
      </c>
    </row>
    <row r="7948" spans="19:21" x14ac:dyDescent="0.25">
      <c r="S7948" s="78">
        <v>35335</v>
      </c>
      <c r="T7948" s="29">
        <v>5.69</v>
      </c>
    </row>
    <row r="7949" spans="19:21" x14ac:dyDescent="0.25">
      <c r="S7949" s="78">
        <v>35336</v>
      </c>
      <c r="T7949" s="29">
        <v>5.69</v>
      </c>
    </row>
    <row r="7950" spans="19:21" x14ac:dyDescent="0.25">
      <c r="S7950" s="78">
        <v>35337</v>
      </c>
      <c r="T7950" s="29">
        <v>5.69</v>
      </c>
      <c r="U7950" s="40"/>
    </row>
    <row r="7951" spans="19:21" x14ac:dyDescent="0.25">
      <c r="S7951" s="78">
        <v>35338</v>
      </c>
      <c r="T7951" s="29">
        <v>5.69</v>
      </c>
      <c r="U7951" s="40">
        <f>AVERAGE(T7860:T7951)</f>
        <v>5.69</v>
      </c>
    </row>
    <row r="7952" spans="19:21" x14ac:dyDescent="0.25">
      <c r="S7952" s="78">
        <v>35339</v>
      </c>
      <c r="T7952" s="29">
        <v>5.69</v>
      </c>
    </row>
    <row r="7953" spans="19:20" x14ac:dyDescent="0.25">
      <c r="S7953" s="78">
        <v>35340</v>
      </c>
      <c r="T7953" s="29">
        <v>5.69</v>
      </c>
    </row>
    <row r="7954" spans="19:20" x14ac:dyDescent="0.25">
      <c r="S7954" s="78">
        <v>35341</v>
      </c>
      <c r="T7954" s="29">
        <v>5.69</v>
      </c>
    </row>
    <row r="7955" spans="19:20" x14ac:dyDescent="0.25">
      <c r="S7955" s="78">
        <v>35342</v>
      </c>
      <c r="T7955" s="29">
        <v>5.69</v>
      </c>
    </row>
    <row r="7956" spans="19:20" x14ac:dyDescent="0.25">
      <c r="S7956" s="78">
        <v>35343</v>
      </c>
      <c r="T7956" s="29">
        <v>5.69</v>
      </c>
    </row>
    <row r="7957" spans="19:20" x14ac:dyDescent="0.25">
      <c r="S7957" s="78">
        <v>35344</v>
      </c>
      <c r="T7957" s="29">
        <v>5.69</v>
      </c>
    </row>
    <row r="7958" spans="19:20" x14ac:dyDescent="0.25">
      <c r="S7958" s="78">
        <v>35345</v>
      </c>
      <c r="T7958" s="29">
        <v>5.69</v>
      </c>
    </row>
    <row r="7959" spans="19:20" x14ac:dyDescent="0.25">
      <c r="S7959" s="78">
        <v>35346</v>
      </c>
      <c r="T7959" s="29">
        <v>5.69</v>
      </c>
    </row>
    <row r="7960" spans="19:20" x14ac:dyDescent="0.25">
      <c r="S7960" s="78">
        <v>35347</v>
      </c>
      <c r="T7960" s="29">
        <v>5.69</v>
      </c>
    </row>
    <row r="7961" spans="19:20" x14ac:dyDescent="0.25">
      <c r="S7961" s="78">
        <v>35348</v>
      </c>
      <c r="T7961" s="29">
        <v>5.69</v>
      </c>
    </row>
    <row r="7962" spans="19:20" x14ac:dyDescent="0.25">
      <c r="S7962" s="78">
        <v>35349</v>
      </c>
      <c r="T7962" s="29">
        <v>5.69</v>
      </c>
    </row>
    <row r="7963" spans="19:20" x14ac:dyDescent="0.25">
      <c r="S7963" s="78">
        <v>35350</v>
      </c>
      <c r="T7963" s="29">
        <v>5.69</v>
      </c>
    </row>
    <row r="7964" spans="19:20" x14ac:dyDescent="0.25">
      <c r="S7964" s="78">
        <v>35351</v>
      </c>
      <c r="T7964" s="29">
        <v>5.69</v>
      </c>
    </row>
    <row r="7965" spans="19:20" x14ac:dyDescent="0.25">
      <c r="S7965" s="78">
        <v>35352</v>
      </c>
      <c r="T7965" s="29">
        <v>5.69</v>
      </c>
    </row>
    <row r="7966" spans="19:20" x14ac:dyDescent="0.25">
      <c r="S7966" s="78">
        <v>35353</v>
      </c>
      <c r="T7966" s="29">
        <v>5.69</v>
      </c>
    </row>
    <row r="7967" spans="19:20" x14ac:dyDescent="0.25">
      <c r="S7967" s="78">
        <v>35354</v>
      </c>
      <c r="T7967" s="29">
        <v>5.69</v>
      </c>
    </row>
    <row r="7968" spans="19:20" x14ac:dyDescent="0.25">
      <c r="S7968" s="78">
        <v>35355</v>
      </c>
      <c r="T7968" s="29">
        <v>5.69</v>
      </c>
    </row>
    <row r="7969" spans="19:20" x14ac:dyDescent="0.25">
      <c r="S7969" s="78">
        <v>35356</v>
      </c>
      <c r="T7969" s="29">
        <v>5.69</v>
      </c>
    </row>
    <row r="7970" spans="19:20" x14ac:dyDescent="0.25">
      <c r="S7970" s="78">
        <v>35357</v>
      </c>
      <c r="T7970" s="29">
        <v>5.69</v>
      </c>
    </row>
    <row r="7971" spans="19:20" x14ac:dyDescent="0.25">
      <c r="S7971" s="78">
        <v>35358</v>
      </c>
      <c r="T7971" s="29">
        <v>5.69</v>
      </c>
    </row>
    <row r="7972" spans="19:20" x14ac:dyDescent="0.25">
      <c r="S7972" s="78">
        <v>35359</v>
      </c>
      <c r="T7972" s="29">
        <v>5.69</v>
      </c>
    </row>
    <row r="7973" spans="19:20" x14ac:dyDescent="0.25">
      <c r="S7973" s="78">
        <v>35360</v>
      </c>
      <c r="T7973" s="29">
        <v>5.69</v>
      </c>
    </row>
    <row r="7974" spans="19:20" x14ac:dyDescent="0.25">
      <c r="S7974" s="78">
        <v>35361</v>
      </c>
      <c r="T7974" s="29">
        <v>5.69</v>
      </c>
    </row>
    <row r="7975" spans="19:20" x14ac:dyDescent="0.25">
      <c r="S7975" s="78">
        <v>35362</v>
      </c>
      <c r="T7975" s="29">
        <v>5.69</v>
      </c>
    </row>
    <row r="7976" spans="19:20" x14ac:dyDescent="0.25">
      <c r="S7976" s="78">
        <v>35363</v>
      </c>
      <c r="T7976" s="29">
        <v>5.69</v>
      </c>
    </row>
    <row r="7977" spans="19:20" x14ac:dyDescent="0.25">
      <c r="S7977" s="78">
        <v>35364</v>
      </c>
      <c r="T7977" s="29">
        <v>5.69</v>
      </c>
    </row>
    <row r="7978" spans="19:20" x14ac:dyDescent="0.25">
      <c r="S7978" s="78">
        <v>35365</v>
      </c>
      <c r="T7978" s="29">
        <v>5.69</v>
      </c>
    </row>
    <row r="7979" spans="19:20" x14ac:dyDescent="0.25">
      <c r="S7979" s="78">
        <v>35366</v>
      </c>
      <c r="T7979" s="29">
        <v>5.69</v>
      </c>
    </row>
    <row r="7980" spans="19:20" x14ac:dyDescent="0.25">
      <c r="S7980" s="78">
        <v>35367</v>
      </c>
      <c r="T7980" s="29">
        <v>5.69</v>
      </c>
    </row>
    <row r="7981" spans="19:20" x14ac:dyDescent="0.25">
      <c r="S7981" s="78">
        <v>35368</v>
      </c>
      <c r="T7981" s="29">
        <v>5.94</v>
      </c>
    </row>
    <row r="7982" spans="19:20" x14ac:dyDescent="0.25">
      <c r="S7982" s="78">
        <v>35369</v>
      </c>
      <c r="T7982" s="29">
        <v>5.94</v>
      </c>
    </row>
    <row r="7983" spans="19:20" x14ac:dyDescent="0.25">
      <c r="S7983" s="78">
        <v>35370</v>
      </c>
      <c r="T7983" s="29">
        <v>5.94</v>
      </c>
    </row>
    <row r="7984" spans="19:20" x14ac:dyDescent="0.25">
      <c r="S7984" s="78">
        <v>35371</v>
      </c>
      <c r="T7984" s="29">
        <v>5.94</v>
      </c>
    </row>
    <row r="7985" spans="19:20" x14ac:dyDescent="0.25">
      <c r="S7985" s="78">
        <v>35372</v>
      </c>
      <c r="T7985" s="29">
        <v>5.94</v>
      </c>
    </row>
    <row r="7986" spans="19:20" x14ac:dyDescent="0.25">
      <c r="S7986" s="78">
        <v>35373</v>
      </c>
      <c r="T7986" s="29">
        <v>5.94</v>
      </c>
    </row>
    <row r="7987" spans="19:20" x14ac:dyDescent="0.25">
      <c r="S7987" s="78">
        <v>35374</v>
      </c>
      <c r="T7987" s="29">
        <v>5.94</v>
      </c>
    </row>
    <row r="7988" spans="19:20" x14ac:dyDescent="0.25">
      <c r="S7988" s="78">
        <v>35375</v>
      </c>
      <c r="T7988" s="29">
        <v>5.94</v>
      </c>
    </row>
    <row r="7989" spans="19:20" x14ac:dyDescent="0.25">
      <c r="S7989" s="78">
        <v>35376</v>
      </c>
      <c r="T7989" s="29">
        <v>5.94</v>
      </c>
    </row>
    <row r="7990" spans="19:20" x14ac:dyDescent="0.25">
      <c r="S7990" s="78">
        <v>35377</v>
      </c>
      <c r="T7990" s="29">
        <v>5.94</v>
      </c>
    </row>
    <row r="7991" spans="19:20" x14ac:dyDescent="0.25">
      <c r="S7991" s="78">
        <v>35378</v>
      </c>
      <c r="T7991" s="29">
        <v>5.94</v>
      </c>
    </row>
    <row r="7992" spans="19:20" x14ac:dyDescent="0.25">
      <c r="S7992" s="78">
        <v>35379</v>
      </c>
      <c r="T7992" s="29">
        <v>5.94</v>
      </c>
    </row>
    <row r="7993" spans="19:20" x14ac:dyDescent="0.25">
      <c r="S7993" s="78">
        <v>35380</v>
      </c>
      <c r="T7993" s="29">
        <v>5.94</v>
      </c>
    </row>
    <row r="7994" spans="19:20" x14ac:dyDescent="0.25">
      <c r="S7994" s="78">
        <v>35381</v>
      </c>
      <c r="T7994" s="29">
        <v>5.94</v>
      </c>
    </row>
    <row r="7995" spans="19:20" x14ac:dyDescent="0.25">
      <c r="S7995" s="78">
        <v>35382</v>
      </c>
      <c r="T7995" s="29">
        <v>5.94</v>
      </c>
    </row>
    <row r="7996" spans="19:20" x14ac:dyDescent="0.25">
      <c r="S7996" s="78">
        <v>35383</v>
      </c>
      <c r="T7996" s="29">
        <v>5.94</v>
      </c>
    </row>
    <row r="7997" spans="19:20" x14ac:dyDescent="0.25">
      <c r="S7997" s="78">
        <v>35384</v>
      </c>
      <c r="T7997" s="29">
        <v>5.94</v>
      </c>
    </row>
    <row r="7998" spans="19:20" x14ac:dyDescent="0.25">
      <c r="S7998" s="78">
        <v>35385</v>
      </c>
      <c r="T7998" s="29">
        <v>5.94</v>
      </c>
    </row>
    <row r="7999" spans="19:20" x14ac:dyDescent="0.25">
      <c r="S7999" s="78">
        <v>35386</v>
      </c>
      <c r="T7999" s="29">
        <v>5.94</v>
      </c>
    </row>
    <row r="8000" spans="19:20" x14ac:dyDescent="0.25">
      <c r="S8000" s="78">
        <v>35387</v>
      </c>
      <c r="T8000" s="29">
        <v>5.94</v>
      </c>
    </row>
    <row r="8001" spans="19:20" x14ac:dyDescent="0.25">
      <c r="S8001" s="78">
        <v>35388</v>
      </c>
      <c r="T8001" s="29">
        <v>5.94</v>
      </c>
    </row>
    <row r="8002" spans="19:20" x14ac:dyDescent="0.25">
      <c r="S8002" s="78">
        <v>35389</v>
      </c>
      <c r="T8002" s="29">
        <v>5.94</v>
      </c>
    </row>
    <row r="8003" spans="19:20" x14ac:dyDescent="0.25">
      <c r="S8003" s="78">
        <v>35390</v>
      </c>
      <c r="T8003" s="29">
        <v>5.94</v>
      </c>
    </row>
    <row r="8004" spans="19:20" x14ac:dyDescent="0.25">
      <c r="S8004" s="78">
        <v>35391</v>
      </c>
      <c r="T8004" s="29">
        <v>5.94</v>
      </c>
    </row>
    <row r="8005" spans="19:20" x14ac:dyDescent="0.25">
      <c r="S8005" s="78">
        <v>35392</v>
      </c>
      <c r="T8005" s="29">
        <v>5.94</v>
      </c>
    </row>
    <row r="8006" spans="19:20" x14ac:dyDescent="0.25">
      <c r="S8006" s="78">
        <v>35393</v>
      </c>
      <c r="T8006" s="29">
        <v>5.94</v>
      </c>
    </row>
    <row r="8007" spans="19:20" x14ac:dyDescent="0.25">
      <c r="S8007" s="78">
        <v>35394</v>
      </c>
      <c r="T8007" s="29">
        <v>5.94</v>
      </c>
    </row>
    <row r="8008" spans="19:20" x14ac:dyDescent="0.25">
      <c r="S8008" s="78">
        <v>35395</v>
      </c>
      <c r="T8008" s="29">
        <v>5.94</v>
      </c>
    </row>
    <row r="8009" spans="19:20" x14ac:dyDescent="0.25">
      <c r="S8009" s="78">
        <v>35396</v>
      </c>
      <c r="T8009" s="29">
        <v>5.94</v>
      </c>
    </row>
    <row r="8010" spans="19:20" x14ac:dyDescent="0.25">
      <c r="S8010" s="78">
        <v>35397</v>
      </c>
      <c r="T8010" s="29">
        <v>5.94</v>
      </c>
    </row>
    <row r="8011" spans="19:20" x14ac:dyDescent="0.25">
      <c r="S8011" s="78">
        <v>35398</v>
      </c>
      <c r="T8011" s="29">
        <v>5.94</v>
      </c>
    </row>
    <row r="8012" spans="19:20" x14ac:dyDescent="0.25">
      <c r="S8012" s="78">
        <v>35399</v>
      </c>
      <c r="T8012" s="29">
        <v>5.94</v>
      </c>
    </row>
    <row r="8013" spans="19:20" x14ac:dyDescent="0.25">
      <c r="S8013" s="78">
        <v>35400</v>
      </c>
      <c r="T8013" s="29">
        <v>5.94</v>
      </c>
    </row>
    <row r="8014" spans="19:20" x14ac:dyDescent="0.25">
      <c r="S8014" s="78">
        <v>35401</v>
      </c>
      <c r="T8014" s="29">
        <v>5.94</v>
      </c>
    </row>
    <row r="8015" spans="19:20" x14ac:dyDescent="0.25">
      <c r="S8015" s="78">
        <v>35402</v>
      </c>
      <c r="T8015" s="29">
        <v>5.94</v>
      </c>
    </row>
    <row r="8016" spans="19:20" x14ac:dyDescent="0.25">
      <c r="S8016" s="78">
        <v>35403</v>
      </c>
      <c r="T8016" s="29">
        <v>5.94</v>
      </c>
    </row>
    <row r="8017" spans="19:20" x14ac:dyDescent="0.25">
      <c r="S8017" s="78">
        <v>35404</v>
      </c>
      <c r="T8017" s="29">
        <v>5.94</v>
      </c>
    </row>
    <row r="8018" spans="19:20" x14ac:dyDescent="0.25">
      <c r="S8018" s="78">
        <v>35405</v>
      </c>
      <c r="T8018" s="29">
        <v>5.94</v>
      </c>
    </row>
    <row r="8019" spans="19:20" x14ac:dyDescent="0.25">
      <c r="S8019" s="78">
        <v>35406</v>
      </c>
      <c r="T8019" s="29">
        <v>5.94</v>
      </c>
    </row>
    <row r="8020" spans="19:20" x14ac:dyDescent="0.25">
      <c r="S8020" s="78">
        <v>35407</v>
      </c>
      <c r="T8020" s="29">
        <v>5.94</v>
      </c>
    </row>
    <row r="8021" spans="19:20" x14ac:dyDescent="0.25">
      <c r="S8021" s="78">
        <v>35408</v>
      </c>
      <c r="T8021" s="29">
        <v>5.94</v>
      </c>
    </row>
    <row r="8022" spans="19:20" x14ac:dyDescent="0.25">
      <c r="S8022" s="78">
        <v>35409</v>
      </c>
      <c r="T8022" s="29">
        <v>5.94</v>
      </c>
    </row>
    <row r="8023" spans="19:20" x14ac:dyDescent="0.25">
      <c r="S8023" s="78">
        <v>35410</v>
      </c>
      <c r="T8023" s="29">
        <v>5.94</v>
      </c>
    </row>
    <row r="8024" spans="19:20" x14ac:dyDescent="0.25">
      <c r="S8024" s="78">
        <v>35411</v>
      </c>
      <c r="T8024" s="29">
        <v>5.94</v>
      </c>
    </row>
    <row r="8025" spans="19:20" x14ac:dyDescent="0.25">
      <c r="S8025" s="78">
        <v>35412</v>
      </c>
      <c r="T8025" s="29">
        <v>5.94</v>
      </c>
    </row>
    <row r="8026" spans="19:20" x14ac:dyDescent="0.25">
      <c r="S8026" s="78">
        <v>35413</v>
      </c>
      <c r="T8026" s="29">
        <v>5.94</v>
      </c>
    </row>
    <row r="8027" spans="19:20" x14ac:dyDescent="0.25">
      <c r="S8027" s="78">
        <v>35414</v>
      </c>
      <c r="T8027" s="29">
        <v>5.94</v>
      </c>
    </row>
    <row r="8028" spans="19:20" x14ac:dyDescent="0.25">
      <c r="S8028" s="78">
        <v>35415</v>
      </c>
      <c r="T8028" s="29">
        <v>5.94</v>
      </c>
    </row>
    <row r="8029" spans="19:20" x14ac:dyDescent="0.25">
      <c r="S8029" s="78">
        <v>35416</v>
      </c>
      <c r="T8029" s="29">
        <v>5.94</v>
      </c>
    </row>
    <row r="8030" spans="19:20" x14ac:dyDescent="0.25">
      <c r="S8030" s="78">
        <v>35417</v>
      </c>
      <c r="T8030" s="29">
        <v>5.94</v>
      </c>
    </row>
    <row r="8031" spans="19:20" x14ac:dyDescent="0.25">
      <c r="S8031" s="78">
        <v>35418</v>
      </c>
      <c r="T8031" s="29">
        <v>5.94</v>
      </c>
    </row>
    <row r="8032" spans="19:20" x14ac:dyDescent="0.25">
      <c r="S8032" s="78">
        <v>35419</v>
      </c>
      <c r="T8032" s="29">
        <v>5.94</v>
      </c>
    </row>
    <row r="8033" spans="19:21" x14ac:dyDescent="0.25">
      <c r="S8033" s="78">
        <v>35420</v>
      </c>
      <c r="T8033" s="29">
        <v>5.94</v>
      </c>
    </row>
    <row r="8034" spans="19:21" x14ac:dyDescent="0.25">
      <c r="S8034" s="78">
        <v>35421</v>
      </c>
      <c r="T8034" s="29">
        <v>5.94</v>
      </c>
    </row>
    <row r="8035" spans="19:21" x14ac:dyDescent="0.25">
      <c r="S8035" s="78">
        <v>35422</v>
      </c>
      <c r="T8035" s="29">
        <v>5.94</v>
      </c>
    </row>
    <row r="8036" spans="19:21" x14ac:dyDescent="0.25">
      <c r="S8036" s="78">
        <v>35423</v>
      </c>
      <c r="T8036" s="29">
        <v>5.94</v>
      </c>
    </row>
    <row r="8037" spans="19:21" x14ac:dyDescent="0.25">
      <c r="S8037" s="78">
        <v>35424</v>
      </c>
      <c r="T8037" s="29">
        <v>5.94</v>
      </c>
    </row>
    <row r="8038" spans="19:21" x14ac:dyDescent="0.25">
      <c r="S8038" s="78">
        <v>35425</v>
      </c>
      <c r="T8038" s="29">
        <v>5.94</v>
      </c>
    </row>
    <row r="8039" spans="19:21" x14ac:dyDescent="0.25">
      <c r="S8039" s="78">
        <v>35426</v>
      </c>
      <c r="T8039" s="29">
        <v>5.94</v>
      </c>
    </row>
    <row r="8040" spans="19:21" x14ac:dyDescent="0.25">
      <c r="S8040" s="78">
        <v>35427</v>
      </c>
      <c r="T8040" s="29">
        <v>5.94</v>
      </c>
    </row>
    <row r="8041" spans="19:21" x14ac:dyDescent="0.25">
      <c r="S8041" s="78">
        <v>35428</v>
      </c>
      <c r="T8041" s="29">
        <v>5.94</v>
      </c>
    </row>
    <row r="8042" spans="19:21" x14ac:dyDescent="0.25">
      <c r="S8042" s="78">
        <v>35429</v>
      </c>
      <c r="T8042" s="29">
        <v>5.94</v>
      </c>
      <c r="U8042" s="40"/>
    </row>
    <row r="8043" spans="19:21" x14ac:dyDescent="0.25">
      <c r="S8043" s="78">
        <v>35430</v>
      </c>
      <c r="T8043" s="29">
        <v>5.94</v>
      </c>
      <c r="U8043" s="40">
        <f>AVERAGE(T7952:T8043)</f>
        <v>5.8611956521739144</v>
      </c>
    </row>
    <row r="8044" spans="19:21" x14ac:dyDescent="0.25">
      <c r="S8044" s="78">
        <v>35431</v>
      </c>
      <c r="T8044" s="29">
        <v>5.94</v>
      </c>
    </row>
    <row r="8045" spans="19:21" x14ac:dyDescent="0.25">
      <c r="S8045" s="78">
        <v>35432</v>
      </c>
      <c r="T8045" s="29">
        <v>5.94</v>
      </c>
    </row>
    <row r="8046" spans="19:21" x14ac:dyDescent="0.25">
      <c r="S8046" s="78">
        <v>35433</v>
      </c>
      <c r="T8046" s="29">
        <v>5.94</v>
      </c>
    </row>
    <row r="8047" spans="19:21" x14ac:dyDescent="0.25">
      <c r="S8047" s="78">
        <v>35434</v>
      </c>
      <c r="T8047" s="29">
        <v>5.94</v>
      </c>
    </row>
    <row r="8048" spans="19:21" x14ac:dyDescent="0.25">
      <c r="S8048" s="78">
        <v>35435</v>
      </c>
      <c r="T8048" s="29">
        <v>5.94</v>
      </c>
    </row>
    <row r="8049" spans="19:20" x14ac:dyDescent="0.25">
      <c r="S8049" s="78">
        <v>35436</v>
      </c>
      <c r="T8049" s="29">
        <v>5.94</v>
      </c>
    </row>
    <row r="8050" spans="19:20" x14ac:dyDescent="0.25">
      <c r="S8050" s="78">
        <v>35437</v>
      </c>
      <c r="T8050" s="29">
        <v>5.94</v>
      </c>
    </row>
    <row r="8051" spans="19:20" x14ac:dyDescent="0.25">
      <c r="S8051" s="78">
        <v>35438</v>
      </c>
      <c r="T8051" s="29">
        <v>5.94</v>
      </c>
    </row>
    <row r="8052" spans="19:20" x14ac:dyDescent="0.25">
      <c r="S8052" s="78">
        <v>35439</v>
      </c>
      <c r="T8052" s="29">
        <v>5.94</v>
      </c>
    </row>
    <row r="8053" spans="19:20" x14ac:dyDescent="0.25">
      <c r="S8053" s="78">
        <v>35440</v>
      </c>
      <c r="T8053" s="29">
        <v>5.94</v>
      </c>
    </row>
    <row r="8054" spans="19:20" x14ac:dyDescent="0.25">
      <c r="S8054" s="78">
        <v>35441</v>
      </c>
      <c r="T8054" s="29">
        <v>5.94</v>
      </c>
    </row>
    <row r="8055" spans="19:20" x14ac:dyDescent="0.25">
      <c r="S8055" s="78">
        <v>35442</v>
      </c>
      <c r="T8055" s="29">
        <v>5.94</v>
      </c>
    </row>
    <row r="8056" spans="19:20" x14ac:dyDescent="0.25">
      <c r="S8056" s="78">
        <v>35443</v>
      </c>
      <c r="T8056" s="29">
        <v>5.94</v>
      </c>
    </row>
    <row r="8057" spans="19:20" x14ac:dyDescent="0.25">
      <c r="S8057" s="78">
        <v>35444</v>
      </c>
      <c r="T8057" s="29">
        <v>5.94</v>
      </c>
    </row>
    <row r="8058" spans="19:20" x14ac:dyDescent="0.25">
      <c r="S8058" s="78">
        <v>35445</v>
      </c>
      <c r="T8058" s="29">
        <v>5.94</v>
      </c>
    </row>
    <row r="8059" spans="19:20" x14ac:dyDescent="0.25">
      <c r="S8059" s="78">
        <v>35446</v>
      </c>
      <c r="T8059" s="29">
        <v>5.94</v>
      </c>
    </row>
    <row r="8060" spans="19:20" x14ac:dyDescent="0.25">
      <c r="S8060" s="78">
        <v>35447</v>
      </c>
      <c r="T8060" s="29">
        <v>5.94</v>
      </c>
    </row>
    <row r="8061" spans="19:20" x14ac:dyDescent="0.25">
      <c r="S8061" s="78">
        <v>35448</v>
      </c>
      <c r="T8061" s="29">
        <v>5.94</v>
      </c>
    </row>
    <row r="8062" spans="19:20" x14ac:dyDescent="0.25">
      <c r="S8062" s="78">
        <v>35449</v>
      </c>
      <c r="T8062" s="29">
        <v>5.94</v>
      </c>
    </row>
    <row r="8063" spans="19:20" x14ac:dyDescent="0.25">
      <c r="S8063" s="78">
        <v>35450</v>
      </c>
      <c r="T8063" s="29">
        <v>5.94</v>
      </c>
    </row>
    <row r="8064" spans="19:20" x14ac:dyDescent="0.25">
      <c r="S8064" s="78">
        <v>35451</v>
      </c>
      <c r="T8064" s="29">
        <v>5.94</v>
      </c>
    </row>
    <row r="8065" spans="19:20" x14ac:dyDescent="0.25">
      <c r="S8065" s="78">
        <v>35452</v>
      </c>
      <c r="T8065" s="29">
        <v>5.94</v>
      </c>
    </row>
    <row r="8066" spans="19:20" x14ac:dyDescent="0.25">
      <c r="S8066" s="78">
        <v>35453</v>
      </c>
      <c r="T8066" s="29">
        <v>5.94</v>
      </c>
    </row>
    <row r="8067" spans="19:20" x14ac:dyDescent="0.25">
      <c r="S8067" s="78">
        <v>35454</v>
      </c>
      <c r="T8067" s="29">
        <v>5.94</v>
      </c>
    </row>
    <row r="8068" spans="19:20" x14ac:dyDescent="0.25">
      <c r="S8068" s="78">
        <v>35455</v>
      </c>
      <c r="T8068" s="29">
        <v>5.94</v>
      </c>
    </row>
    <row r="8069" spans="19:20" x14ac:dyDescent="0.25">
      <c r="S8069" s="78">
        <v>35456</v>
      </c>
      <c r="T8069" s="29">
        <v>5.94</v>
      </c>
    </row>
    <row r="8070" spans="19:20" x14ac:dyDescent="0.25">
      <c r="S8070" s="78">
        <v>35457</v>
      </c>
      <c r="T8070" s="29">
        <v>5.94</v>
      </c>
    </row>
    <row r="8071" spans="19:20" x14ac:dyDescent="0.25">
      <c r="S8071" s="78">
        <v>35458</v>
      </c>
      <c r="T8071" s="29">
        <v>5.94</v>
      </c>
    </row>
    <row r="8072" spans="19:20" x14ac:dyDescent="0.25">
      <c r="S8072" s="78">
        <v>35459</v>
      </c>
      <c r="T8072" s="29">
        <v>5.94</v>
      </c>
    </row>
    <row r="8073" spans="19:20" x14ac:dyDescent="0.25">
      <c r="S8073" s="78">
        <v>35460</v>
      </c>
      <c r="T8073" s="29">
        <v>5.94</v>
      </c>
    </row>
    <row r="8074" spans="19:20" x14ac:dyDescent="0.25">
      <c r="S8074" s="78">
        <v>35461</v>
      </c>
      <c r="T8074" s="29">
        <v>5.94</v>
      </c>
    </row>
    <row r="8075" spans="19:20" x14ac:dyDescent="0.25">
      <c r="S8075" s="78">
        <v>35462</v>
      </c>
      <c r="T8075" s="29">
        <v>5.94</v>
      </c>
    </row>
    <row r="8076" spans="19:20" x14ac:dyDescent="0.25">
      <c r="S8076" s="78">
        <v>35463</v>
      </c>
      <c r="T8076" s="29">
        <v>5.94</v>
      </c>
    </row>
    <row r="8077" spans="19:20" x14ac:dyDescent="0.25">
      <c r="S8077" s="78">
        <v>35464</v>
      </c>
      <c r="T8077" s="29">
        <v>5.94</v>
      </c>
    </row>
    <row r="8078" spans="19:20" x14ac:dyDescent="0.25">
      <c r="S8078" s="78">
        <v>35465</v>
      </c>
      <c r="T8078" s="29">
        <v>5.94</v>
      </c>
    </row>
    <row r="8079" spans="19:20" x14ac:dyDescent="0.25">
      <c r="S8079" s="78">
        <v>35466</v>
      </c>
      <c r="T8079" s="29">
        <v>5.94</v>
      </c>
    </row>
    <row r="8080" spans="19:20" x14ac:dyDescent="0.25">
      <c r="S8080" s="78">
        <v>35467</v>
      </c>
      <c r="T8080" s="29">
        <v>5.94</v>
      </c>
    </row>
    <row r="8081" spans="19:20" x14ac:dyDescent="0.25">
      <c r="S8081" s="78">
        <v>35468</v>
      </c>
      <c r="T8081" s="29">
        <v>5.94</v>
      </c>
    </row>
    <row r="8082" spans="19:20" x14ac:dyDescent="0.25">
      <c r="S8082" s="78">
        <v>35469</v>
      </c>
      <c r="T8082" s="29">
        <v>5.94</v>
      </c>
    </row>
    <row r="8083" spans="19:20" x14ac:dyDescent="0.25">
      <c r="S8083" s="78">
        <v>35470</v>
      </c>
      <c r="T8083" s="29">
        <v>5.94</v>
      </c>
    </row>
    <row r="8084" spans="19:20" x14ac:dyDescent="0.25">
      <c r="S8084" s="78">
        <v>35471</v>
      </c>
      <c r="T8084" s="29">
        <v>5.94</v>
      </c>
    </row>
    <row r="8085" spans="19:20" x14ac:dyDescent="0.25">
      <c r="S8085" s="78">
        <v>35472</v>
      </c>
      <c r="T8085" s="29">
        <v>5.94</v>
      </c>
    </row>
    <row r="8086" spans="19:20" x14ac:dyDescent="0.25">
      <c r="S8086" s="78">
        <v>35473</v>
      </c>
      <c r="T8086" s="29">
        <v>5.94</v>
      </c>
    </row>
    <row r="8087" spans="19:20" x14ac:dyDescent="0.25">
      <c r="S8087" s="78">
        <v>35474</v>
      </c>
      <c r="T8087" s="29">
        <v>5.94</v>
      </c>
    </row>
    <row r="8088" spans="19:20" x14ac:dyDescent="0.25">
      <c r="S8088" s="78">
        <v>35475</v>
      </c>
      <c r="T8088" s="29">
        <v>5.94</v>
      </c>
    </row>
    <row r="8089" spans="19:20" x14ac:dyDescent="0.25">
      <c r="S8089" s="78">
        <v>35476</v>
      </c>
      <c r="T8089" s="29">
        <v>5.94</v>
      </c>
    </row>
    <row r="8090" spans="19:20" x14ac:dyDescent="0.25">
      <c r="S8090" s="78">
        <v>35477</v>
      </c>
      <c r="T8090" s="29">
        <v>5.94</v>
      </c>
    </row>
    <row r="8091" spans="19:20" x14ac:dyDescent="0.25">
      <c r="S8091" s="78">
        <v>35478</v>
      </c>
      <c r="T8091" s="29">
        <v>5.94</v>
      </c>
    </row>
    <row r="8092" spans="19:20" x14ac:dyDescent="0.25">
      <c r="S8092" s="78">
        <v>35479</v>
      </c>
      <c r="T8092" s="29">
        <v>5.94</v>
      </c>
    </row>
    <row r="8093" spans="19:20" x14ac:dyDescent="0.25">
      <c r="S8093" s="78">
        <v>35480</v>
      </c>
      <c r="T8093" s="29">
        <v>5.94</v>
      </c>
    </row>
    <row r="8094" spans="19:20" x14ac:dyDescent="0.25">
      <c r="S8094" s="78">
        <v>35481</v>
      </c>
      <c r="T8094" s="29">
        <v>5.94</v>
      </c>
    </row>
    <row r="8095" spans="19:20" x14ac:dyDescent="0.25">
      <c r="S8095" s="78">
        <v>35482</v>
      </c>
      <c r="T8095" s="29">
        <v>5.94</v>
      </c>
    </row>
    <row r="8096" spans="19:20" x14ac:dyDescent="0.25">
      <c r="S8096" s="78">
        <v>35483</v>
      </c>
      <c r="T8096" s="29">
        <v>5.94</v>
      </c>
    </row>
    <row r="8097" spans="19:20" x14ac:dyDescent="0.25">
      <c r="S8097" s="78">
        <v>35484</v>
      </c>
      <c r="T8097" s="29">
        <v>5.94</v>
      </c>
    </row>
    <row r="8098" spans="19:20" x14ac:dyDescent="0.25">
      <c r="S8098" s="78">
        <v>35485</v>
      </c>
      <c r="T8098" s="29">
        <v>5.94</v>
      </c>
    </row>
    <row r="8099" spans="19:20" x14ac:dyDescent="0.25">
      <c r="S8099" s="78">
        <v>35486</v>
      </c>
      <c r="T8099" s="29">
        <v>5.94</v>
      </c>
    </row>
    <row r="8100" spans="19:20" x14ac:dyDescent="0.25">
      <c r="S8100" s="78">
        <v>35487</v>
      </c>
      <c r="T8100" s="29">
        <v>5.94</v>
      </c>
    </row>
    <row r="8101" spans="19:20" x14ac:dyDescent="0.25">
      <c r="S8101" s="78">
        <v>35488</v>
      </c>
      <c r="T8101" s="29">
        <v>5.94</v>
      </c>
    </row>
    <row r="8102" spans="19:20" x14ac:dyDescent="0.25">
      <c r="S8102" s="78">
        <v>35489</v>
      </c>
      <c r="T8102" s="29">
        <v>5.94</v>
      </c>
    </row>
    <row r="8103" spans="19:20" x14ac:dyDescent="0.25">
      <c r="S8103" s="78">
        <v>35490</v>
      </c>
      <c r="T8103" s="29">
        <v>5.94</v>
      </c>
    </row>
    <row r="8104" spans="19:20" x14ac:dyDescent="0.25">
      <c r="S8104" s="78">
        <v>35491</v>
      </c>
      <c r="T8104" s="29">
        <v>5.94</v>
      </c>
    </row>
    <row r="8105" spans="19:20" x14ac:dyDescent="0.25">
      <c r="S8105" s="78">
        <v>35492</v>
      </c>
      <c r="T8105" s="29">
        <v>5.94</v>
      </c>
    </row>
    <row r="8106" spans="19:20" x14ac:dyDescent="0.25">
      <c r="S8106" s="78">
        <v>35493</v>
      </c>
      <c r="T8106" s="29">
        <v>5.94</v>
      </c>
    </row>
    <row r="8107" spans="19:20" x14ac:dyDescent="0.25">
      <c r="S8107" s="78">
        <v>35494</v>
      </c>
      <c r="T8107" s="29">
        <v>5.94</v>
      </c>
    </row>
    <row r="8108" spans="19:20" x14ac:dyDescent="0.25">
      <c r="S8108" s="78">
        <v>35495</v>
      </c>
      <c r="T8108" s="29">
        <v>5.94</v>
      </c>
    </row>
    <row r="8109" spans="19:20" x14ac:dyDescent="0.25">
      <c r="S8109" s="78">
        <v>35496</v>
      </c>
      <c r="T8109" s="29">
        <v>5.94</v>
      </c>
    </row>
    <row r="8110" spans="19:20" x14ac:dyDescent="0.25">
      <c r="S8110" s="78">
        <v>35497</v>
      </c>
      <c r="T8110" s="29">
        <v>5.94</v>
      </c>
    </row>
    <row r="8111" spans="19:20" x14ac:dyDescent="0.25">
      <c r="S8111" s="78">
        <v>35498</v>
      </c>
      <c r="T8111" s="29">
        <v>5.94</v>
      </c>
    </row>
    <row r="8112" spans="19:20" x14ac:dyDescent="0.25">
      <c r="S8112" s="78">
        <v>35499</v>
      </c>
      <c r="T8112" s="29">
        <v>5.94</v>
      </c>
    </row>
    <row r="8113" spans="19:20" x14ac:dyDescent="0.25">
      <c r="S8113" s="78">
        <v>35500</v>
      </c>
      <c r="T8113" s="29">
        <v>5.94</v>
      </c>
    </row>
    <row r="8114" spans="19:20" x14ac:dyDescent="0.25">
      <c r="S8114" s="78">
        <v>35501</v>
      </c>
      <c r="T8114" s="29">
        <v>5.94</v>
      </c>
    </row>
    <row r="8115" spans="19:20" x14ac:dyDescent="0.25">
      <c r="S8115" s="78">
        <v>35502</v>
      </c>
      <c r="T8115" s="29">
        <v>5.94</v>
      </c>
    </row>
    <row r="8116" spans="19:20" x14ac:dyDescent="0.25">
      <c r="S8116" s="78">
        <v>35503</v>
      </c>
      <c r="T8116" s="29">
        <v>5.94</v>
      </c>
    </row>
    <row r="8117" spans="19:20" x14ac:dyDescent="0.25">
      <c r="S8117" s="78">
        <v>35504</v>
      </c>
      <c r="T8117" s="29">
        <v>5.94</v>
      </c>
    </row>
    <row r="8118" spans="19:20" x14ac:dyDescent="0.25">
      <c r="S8118" s="78">
        <v>35505</v>
      </c>
      <c r="T8118" s="29">
        <v>5.94</v>
      </c>
    </row>
    <row r="8119" spans="19:20" x14ac:dyDescent="0.25">
      <c r="S8119" s="78">
        <v>35506</v>
      </c>
      <c r="T8119" s="29">
        <v>5.94</v>
      </c>
    </row>
    <row r="8120" spans="19:20" x14ac:dyDescent="0.25">
      <c r="S8120" s="78">
        <v>35507</v>
      </c>
      <c r="T8120" s="29">
        <v>5.94</v>
      </c>
    </row>
    <row r="8121" spans="19:20" x14ac:dyDescent="0.25">
      <c r="S8121" s="78">
        <v>35508</v>
      </c>
      <c r="T8121" s="29">
        <v>5.94</v>
      </c>
    </row>
    <row r="8122" spans="19:20" x14ac:dyDescent="0.25">
      <c r="S8122" s="78">
        <v>35509</v>
      </c>
      <c r="T8122" s="29">
        <v>5.94</v>
      </c>
    </row>
    <row r="8123" spans="19:20" x14ac:dyDescent="0.25">
      <c r="S8123" s="78">
        <v>35510</v>
      </c>
      <c r="T8123" s="29">
        <v>5.94</v>
      </c>
    </row>
    <row r="8124" spans="19:20" x14ac:dyDescent="0.25">
      <c r="S8124" s="78">
        <v>35511</v>
      </c>
      <c r="T8124" s="29">
        <v>5.94</v>
      </c>
    </row>
    <row r="8125" spans="19:20" x14ac:dyDescent="0.25">
      <c r="S8125" s="78">
        <v>35512</v>
      </c>
      <c r="T8125" s="29">
        <v>5.94</v>
      </c>
    </row>
    <row r="8126" spans="19:20" x14ac:dyDescent="0.25">
      <c r="S8126" s="78">
        <v>35513</v>
      </c>
      <c r="T8126" s="29">
        <v>5.94</v>
      </c>
    </row>
    <row r="8127" spans="19:20" x14ac:dyDescent="0.25">
      <c r="S8127" s="78">
        <v>35514</v>
      </c>
      <c r="T8127" s="29">
        <v>5.94</v>
      </c>
    </row>
    <row r="8128" spans="19:20" x14ac:dyDescent="0.25">
      <c r="S8128" s="78">
        <v>35515</v>
      </c>
      <c r="T8128" s="29">
        <v>5.94</v>
      </c>
    </row>
    <row r="8129" spans="19:21" x14ac:dyDescent="0.25">
      <c r="S8129" s="78">
        <v>35516</v>
      </c>
      <c r="T8129" s="29">
        <v>5.94</v>
      </c>
    </row>
    <row r="8130" spans="19:21" x14ac:dyDescent="0.25">
      <c r="S8130" s="78">
        <v>35517</v>
      </c>
      <c r="T8130" s="29">
        <v>5.94</v>
      </c>
    </row>
    <row r="8131" spans="19:21" x14ac:dyDescent="0.25">
      <c r="S8131" s="78">
        <v>35518</v>
      </c>
      <c r="T8131" s="29">
        <v>5.94</v>
      </c>
    </row>
    <row r="8132" spans="19:21" x14ac:dyDescent="0.25">
      <c r="S8132" s="78">
        <v>35519</v>
      </c>
      <c r="T8132" s="29">
        <v>5.94</v>
      </c>
    </row>
    <row r="8133" spans="19:21" x14ac:dyDescent="0.25">
      <c r="S8133" s="78">
        <v>35520</v>
      </c>
      <c r="T8133" s="29">
        <v>5.94</v>
      </c>
      <c r="U8133" s="39">
        <f>AVERAGE(T8044:T8133)</f>
        <v>5.94</v>
      </c>
    </row>
    <row r="8134" spans="19:21" x14ac:dyDescent="0.25">
      <c r="S8134" s="78">
        <v>35521</v>
      </c>
      <c r="T8134" s="29">
        <v>5.94</v>
      </c>
    </row>
    <row r="8135" spans="19:21" x14ac:dyDescent="0.25">
      <c r="S8135" s="78">
        <v>35522</v>
      </c>
      <c r="T8135" s="29">
        <v>5.94</v>
      </c>
    </row>
    <row r="8136" spans="19:21" x14ac:dyDescent="0.25">
      <c r="S8136" s="78">
        <v>35523</v>
      </c>
      <c r="T8136" s="29">
        <v>5.94</v>
      </c>
    </row>
    <row r="8137" spans="19:21" x14ac:dyDescent="0.25">
      <c r="S8137" s="78">
        <v>35524</v>
      </c>
      <c r="T8137" s="29">
        <v>5.94</v>
      </c>
    </row>
    <row r="8138" spans="19:21" x14ac:dyDescent="0.25">
      <c r="S8138" s="78">
        <v>35525</v>
      </c>
      <c r="T8138" s="29">
        <v>5.94</v>
      </c>
    </row>
    <row r="8139" spans="19:21" x14ac:dyDescent="0.25">
      <c r="S8139" s="78">
        <v>35526</v>
      </c>
      <c r="T8139" s="29">
        <v>5.94</v>
      </c>
    </row>
    <row r="8140" spans="19:21" x14ac:dyDescent="0.25">
      <c r="S8140" s="78">
        <v>35527</v>
      </c>
      <c r="T8140" s="29">
        <v>5.94</v>
      </c>
    </row>
    <row r="8141" spans="19:21" x14ac:dyDescent="0.25">
      <c r="S8141" s="78">
        <v>35528</v>
      </c>
      <c r="T8141" s="29">
        <v>5.94</v>
      </c>
    </row>
    <row r="8142" spans="19:21" x14ac:dyDescent="0.25">
      <c r="S8142" s="78">
        <v>35529</v>
      </c>
      <c r="T8142" s="29">
        <v>5.94</v>
      </c>
    </row>
    <row r="8143" spans="19:21" x14ac:dyDescent="0.25">
      <c r="S8143" s="78">
        <v>35530</v>
      </c>
      <c r="T8143" s="29">
        <v>5.94</v>
      </c>
    </row>
    <row r="8144" spans="19:21" x14ac:dyDescent="0.25">
      <c r="S8144" s="78">
        <v>35531</v>
      </c>
      <c r="T8144" s="29">
        <v>5.94</v>
      </c>
    </row>
    <row r="8145" spans="19:20" x14ac:dyDescent="0.25">
      <c r="S8145" s="78">
        <v>35532</v>
      </c>
      <c r="T8145" s="29">
        <v>5.94</v>
      </c>
    </row>
    <row r="8146" spans="19:20" x14ac:dyDescent="0.25">
      <c r="S8146" s="78">
        <v>35533</v>
      </c>
      <c r="T8146" s="29">
        <v>5.94</v>
      </c>
    </row>
    <row r="8147" spans="19:20" x14ac:dyDescent="0.25">
      <c r="S8147" s="78">
        <v>35534</v>
      </c>
      <c r="T8147" s="29">
        <v>5.94</v>
      </c>
    </row>
    <row r="8148" spans="19:20" x14ac:dyDescent="0.25">
      <c r="S8148" s="78">
        <v>35535</v>
      </c>
      <c r="T8148" s="29">
        <v>5.94</v>
      </c>
    </row>
    <row r="8149" spans="19:20" x14ac:dyDescent="0.25">
      <c r="S8149" s="78">
        <v>35536</v>
      </c>
      <c r="T8149" s="29">
        <v>5.94</v>
      </c>
    </row>
    <row r="8150" spans="19:20" x14ac:dyDescent="0.25">
      <c r="S8150" s="78">
        <v>35537</v>
      </c>
      <c r="T8150" s="29">
        <v>5.94</v>
      </c>
    </row>
    <row r="8151" spans="19:20" x14ac:dyDescent="0.25">
      <c r="S8151" s="78">
        <v>35538</v>
      </c>
      <c r="T8151" s="29">
        <v>5.94</v>
      </c>
    </row>
    <row r="8152" spans="19:20" x14ac:dyDescent="0.25">
      <c r="S8152" s="78">
        <v>35539</v>
      </c>
      <c r="T8152" s="29">
        <v>5.94</v>
      </c>
    </row>
    <row r="8153" spans="19:20" x14ac:dyDescent="0.25">
      <c r="S8153" s="78">
        <v>35540</v>
      </c>
      <c r="T8153" s="29">
        <v>5.94</v>
      </c>
    </row>
    <row r="8154" spans="19:20" x14ac:dyDescent="0.25">
      <c r="S8154" s="78">
        <v>35541</v>
      </c>
      <c r="T8154" s="29">
        <v>5.94</v>
      </c>
    </row>
    <row r="8155" spans="19:20" x14ac:dyDescent="0.25">
      <c r="S8155" s="78">
        <v>35542</v>
      </c>
      <c r="T8155" s="29">
        <v>5.94</v>
      </c>
    </row>
    <row r="8156" spans="19:20" x14ac:dyDescent="0.25">
      <c r="S8156" s="78">
        <v>35543</v>
      </c>
      <c r="T8156" s="29">
        <v>5.94</v>
      </c>
    </row>
    <row r="8157" spans="19:20" x14ac:dyDescent="0.25">
      <c r="S8157" s="78">
        <v>35544</v>
      </c>
      <c r="T8157" s="29">
        <v>5.94</v>
      </c>
    </row>
    <row r="8158" spans="19:20" x14ac:dyDescent="0.25">
      <c r="S8158" s="78">
        <v>35545</v>
      </c>
      <c r="T8158" s="29">
        <v>5.94</v>
      </c>
    </row>
    <row r="8159" spans="19:20" x14ac:dyDescent="0.25">
      <c r="S8159" s="78">
        <v>35546</v>
      </c>
      <c r="T8159" s="29">
        <v>5.94</v>
      </c>
    </row>
    <row r="8160" spans="19:20" x14ac:dyDescent="0.25">
      <c r="S8160" s="78">
        <v>35547</v>
      </c>
      <c r="T8160" s="29">
        <v>5.94</v>
      </c>
    </row>
    <row r="8161" spans="19:20" x14ac:dyDescent="0.25">
      <c r="S8161" s="78">
        <v>35548</v>
      </c>
      <c r="T8161" s="29">
        <v>5.94</v>
      </c>
    </row>
    <row r="8162" spans="19:20" x14ac:dyDescent="0.25">
      <c r="S8162" s="78">
        <v>35549</v>
      </c>
      <c r="T8162" s="29">
        <v>5.94</v>
      </c>
    </row>
    <row r="8163" spans="19:20" x14ac:dyDescent="0.25">
      <c r="S8163" s="78">
        <v>35550</v>
      </c>
      <c r="T8163" s="29">
        <v>5.94</v>
      </c>
    </row>
    <row r="8164" spans="19:20" x14ac:dyDescent="0.25">
      <c r="S8164" s="78">
        <v>35551</v>
      </c>
      <c r="T8164" s="29">
        <v>5.94</v>
      </c>
    </row>
    <row r="8165" spans="19:20" x14ac:dyDescent="0.25">
      <c r="S8165" s="78">
        <v>35552</v>
      </c>
      <c r="T8165" s="29">
        <v>5.94</v>
      </c>
    </row>
    <row r="8166" spans="19:20" x14ac:dyDescent="0.25">
      <c r="S8166" s="78">
        <v>35553</v>
      </c>
      <c r="T8166" s="29">
        <v>5.94</v>
      </c>
    </row>
    <row r="8167" spans="19:20" x14ac:dyDescent="0.25">
      <c r="S8167" s="78">
        <v>35554</v>
      </c>
      <c r="T8167" s="29">
        <v>5.94</v>
      </c>
    </row>
    <row r="8168" spans="19:20" x14ac:dyDescent="0.25">
      <c r="S8168" s="78">
        <v>35555</v>
      </c>
      <c r="T8168" s="29">
        <v>5.94</v>
      </c>
    </row>
    <row r="8169" spans="19:20" x14ac:dyDescent="0.25">
      <c r="S8169" s="78">
        <v>35556</v>
      </c>
      <c r="T8169" s="29">
        <v>6.25</v>
      </c>
    </row>
    <row r="8170" spans="19:20" x14ac:dyDescent="0.25">
      <c r="S8170" s="78">
        <v>35557</v>
      </c>
      <c r="T8170" s="29">
        <v>6.25</v>
      </c>
    </row>
    <row r="8171" spans="19:20" x14ac:dyDescent="0.25">
      <c r="S8171" s="78">
        <v>35558</v>
      </c>
      <c r="T8171" s="29">
        <v>6.25</v>
      </c>
    </row>
    <row r="8172" spans="19:20" x14ac:dyDescent="0.25">
      <c r="S8172" s="78">
        <v>35559</v>
      </c>
      <c r="T8172" s="29">
        <v>6.25</v>
      </c>
    </row>
    <row r="8173" spans="19:20" x14ac:dyDescent="0.25">
      <c r="S8173" s="78">
        <v>35560</v>
      </c>
      <c r="T8173" s="29">
        <v>6.25</v>
      </c>
    </row>
    <row r="8174" spans="19:20" x14ac:dyDescent="0.25">
      <c r="S8174" s="78">
        <v>35561</v>
      </c>
      <c r="T8174" s="29">
        <v>6.25</v>
      </c>
    </row>
    <row r="8175" spans="19:20" x14ac:dyDescent="0.25">
      <c r="S8175" s="78">
        <v>35562</v>
      </c>
      <c r="T8175" s="29">
        <v>6.25</v>
      </c>
    </row>
    <row r="8176" spans="19:20" x14ac:dyDescent="0.25">
      <c r="S8176" s="78">
        <v>35563</v>
      </c>
      <c r="T8176" s="29">
        <v>6.25</v>
      </c>
    </row>
    <row r="8177" spans="19:20" x14ac:dyDescent="0.25">
      <c r="S8177" s="78">
        <v>35564</v>
      </c>
      <c r="T8177" s="29">
        <v>6.25</v>
      </c>
    </row>
    <row r="8178" spans="19:20" x14ac:dyDescent="0.25">
      <c r="S8178" s="78">
        <v>35565</v>
      </c>
      <c r="T8178" s="29">
        <v>6.25</v>
      </c>
    </row>
    <row r="8179" spans="19:20" x14ac:dyDescent="0.25">
      <c r="S8179" s="78">
        <v>35566</v>
      </c>
      <c r="T8179" s="29">
        <v>6.25</v>
      </c>
    </row>
    <row r="8180" spans="19:20" x14ac:dyDescent="0.25">
      <c r="S8180" s="78">
        <v>35567</v>
      </c>
      <c r="T8180" s="29">
        <v>6.25</v>
      </c>
    </row>
    <row r="8181" spans="19:20" x14ac:dyDescent="0.25">
      <c r="S8181" s="78">
        <v>35568</v>
      </c>
      <c r="T8181" s="29">
        <v>6.25</v>
      </c>
    </row>
    <row r="8182" spans="19:20" x14ac:dyDescent="0.25">
      <c r="S8182" s="78">
        <v>35569</v>
      </c>
      <c r="T8182" s="29">
        <v>6.25</v>
      </c>
    </row>
    <row r="8183" spans="19:20" x14ac:dyDescent="0.25">
      <c r="S8183" s="78">
        <v>35570</v>
      </c>
      <c r="T8183" s="29">
        <v>6.25</v>
      </c>
    </row>
    <row r="8184" spans="19:20" x14ac:dyDescent="0.25">
      <c r="S8184" s="78">
        <v>35571</v>
      </c>
      <c r="T8184" s="29">
        <v>6.25</v>
      </c>
    </row>
    <row r="8185" spans="19:20" x14ac:dyDescent="0.25">
      <c r="S8185" s="78">
        <v>35572</v>
      </c>
      <c r="T8185" s="29">
        <v>6.25</v>
      </c>
    </row>
    <row r="8186" spans="19:20" x14ac:dyDescent="0.25">
      <c r="S8186" s="78">
        <v>35573</v>
      </c>
      <c r="T8186" s="29">
        <v>6.25</v>
      </c>
    </row>
    <row r="8187" spans="19:20" x14ac:dyDescent="0.25">
      <c r="S8187" s="78">
        <v>35574</v>
      </c>
      <c r="T8187" s="29">
        <v>6.25</v>
      </c>
    </row>
    <row r="8188" spans="19:20" x14ac:dyDescent="0.25">
      <c r="S8188" s="78">
        <v>35575</v>
      </c>
      <c r="T8188" s="29">
        <v>6.25</v>
      </c>
    </row>
    <row r="8189" spans="19:20" x14ac:dyDescent="0.25">
      <c r="S8189" s="78">
        <v>35576</v>
      </c>
      <c r="T8189" s="29">
        <v>6.25</v>
      </c>
    </row>
    <row r="8190" spans="19:20" x14ac:dyDescent="0.25">
      <c r="S8190" s="78">
        <v>35577</v>
      </c>
      <c r="T8190" s="29">
        <v>6.25</v>
      </c>
    </row>
    <row r="8191" spans="19:20" x14ac:dyDescent="0.25">
      <c r="S8191" s="78">
        <v>35578</v>
      </c>
      <c r="T8191" s="29">
        <v>6.25</v>
      </c>
    </row>
    <row r="8192" spans="19:20" x14ac:dyDescent="0.25">
      <c r="S8192" s="78">
        <v>35579</v>
      </c>
      <c r="T8192" s="29">
        <v>6.25</v>
      </c>
    </row>
    <row r="8193" spans="19:20" x14ac:dyDescent="0.25">
      <c r="S8193" s="78">
        <v>35580</v>
      </c>
      <c r="T8193" s="29">
        <v>6.25</v>
      </c>
    </row>
    <row r="8194" spans="19:20" x14ac:dyDescent="0.25">
      <c r="S8194" s="78">
        <v>35581</v>
      </c>
      <c r="T8194" s="29">
        <v>6.25</v>
      </c>
    </row>
    <row r="8195" spans="19:20" x14ac:dyDescent="0.25">
      <c r="S8195" s="78">
        <v>35582</v>
      </c>
      <c r="T8195" s="29">
        <v>6.25</v>
      </c>
    </row>
    <row r="8196" spans="19:20" x14ac:dyDescent="0.25">
      <c r="S8196" s="78">
        <v>35583</v>
      </c>
      <c r="T8196" s="29">
        <v>6.25</v>
      </c>
    </row>
    <row r="8197" spans="19:20" x14ac:dyDescent="0.25">
      <c r="S8197" s="78">
        <v>35584</v>
      </c>
      <c r="T8197" s="29">
        <v>6.25</v>
      </c>
    </row>
    <row r="8198" spans="19:20" x14ac:dyDescent="0.25">
      <c r="S8198" s="78">
        <v>35585</v>
      </c>
      <c r="T8198" s="29">
        <v>6.25</v>
      </c>
    </row>
    <row r="8199" spans="19:20" x14ac:dyDescent="0.25">
      <c r="S8199" s="78">
        <v>35586</v>
      </c>
      <c r="T8199" s="29">
        <v>6.25</v>
      </c>
    </row>
    <row r="8200" spans="19:20" x14ac:dyDescent="0.25">
      <c r="S8200" s="78">
        <v>35587</v>
      </c>
      <c r="T8200" s="29">
        <v>6.5</v>
      </c>
    </row>
    <row r="8201" spans="19:20" x14ac:dyDescent="0.25">
      <c r="S8201" s="78">
        <v>35588</v>
      </c>
      <c r="T8201" s="29">
        <v>6.5</v>
      </c>
    </row>
    <row r="8202" spans="19:20" x14ac:dyDescent="0.25">
      <c r="S8202" s="78">
        <v>35589</v>
      </c>
      <c r="T8202" s="29">
        <v>6.5</v>
      </c>
    </row>
    <row r="8203" spans="19:20" x14ac:dyDescent="0.25">
      <c r="S8203" s="78">
        <v>35590</v>
      </c>
      <c r="T8203" s="29">
        <v>6.5</v>
      </c>
    </row>
    <row r="8204" spans="19:20" x14ac:dyDescent="0.25">
      <c r="S8204" s="78">
        <v>35591</v>
      </c>
      <c r="T8204" s="29">
        <v>6.5</v>
      </c>
    </row>
    <row r="8205" spans="19:20" x14ac:dyDescent="0.25">
      <c r="S8205" s="78">
        <v>35592</v>
      </c>
      <c r="T8205" s="29">
        <v>6.5</v>
      </c>
    </row>
    <row r="8206" spans="19:20" x14ac:dyDescent="0.25">
      <c r="S8206" s="78">
        <v>35593</v>
      </c>
      <c r="T8206" s="29">
        <v>6.5</v>
      </c>
    </row>
    <row r="8207" spans="19:20" x14ac:dyDescent="0.25">
      <c r="S8207" s="78">
        <v>35594</v>
      </c>
      <c r="T8207" s="29">
        <v>6.5</v>
      </c>
    </row>
    <row r="8208" spans="19:20" x14ac:dyDescent="0.25">
      <c r="S8208" s="78">
        <v>35595</v>
      </c>
      <c r="T8208" s="29">
        <v>6.5</v>
      </c>
    </row>
    <row r="8209" spans="19:21" x14ac:dyDescent="0.25">
      <c r="S8209" s="78">
        <v>35596</v>
      </c>
      <c r="T8209" s="29">
        <v>6.5</v>
      </c>
    </row>
    <row r="8210" spans="19:21" x14ac:dyDescent="0.25">
      <c r="S8210" s="78">
        <v>35597</v>
      </c>
      <c r="T8210" s="29">
        <v>6.5</v>
      </c>
    </row>
    <row r="8211" spans="19:21" x14ac:dyDescent="0.25">
      <c r="S8211" s="78">
        <v>35598</v>
      </c>
      <c r="T8211" s="29">
        <v>6.5</v>
      </c>
    </row>
    <row r="8212" spans="19:21" x14ac:dyDescent="0.25">
      <c r="S8212" s="78">
        <v>35599</v>
      </c>
      <c r="T8212" s="29">
        <v>6.5</v>
      </c>
    </row>
    <row r="8213" spans="19:21" x14ac:dyDescent="0.25">
      <c r="S8213" s="78">
        <v>35600</v>
      </c>
      <c r="T8213" s="29">
        <v>6.5</v>
      </c>
    </row>
    <row r="8214" spans="19:21" x14ac:dyDescent="0.25">
      <c r="S8214" s="78">
        <v>35601</v>
      </c>
      <c r="T8214" s="29">
        <v>6.5</v>
      </c>
    </row>
    <row r="8215" spans="19:21" x14ac:dyDescent="0.25">
      <c r="S8215" s="78">
        <v>35602</v>
      </c>
      <c r="T8215" s="29">
        <v>6.5</v>
      </c>
    </row>
    <row r="8216" spans="19:21" x14ac:dyDescent="0.25">
      <c r="S8216" s="78">
        <v>35603</v>
      </c>
      <c r="T8216" s="29">
        <v>6.5</v>
      </c>
    </row>
    <row r="8217" spans="19:21" x14ac:dyDescent="0.25">
      <c r="S8217" s="78">
        <v>35604</v>
      </c>
      <c r="T8217" s="29">
        <v>6.5</v>
      </c>
    </row>
    <row r="8218" spans="19:21" x14ac:dyDescent="0.25">
      <c r="S8218" s="78">
        <v>35605</v>
      </c>
      <c r="T8218" s="29">
        <v>6.5</v>
      </c>
    </row>
    <row r="8219" spans="19:21" x14ac:dyDescent="0.25">
      <c r="S8219" s="78">
        <v>35606</v>
      </c>
      <c r="T8219" s="29">
        <v>6.5</v>
      </c>
    </row>
    <row r="8220" spans="19:21" x14ac:dyDescent="0.25">
      <c r="S8220" s="78">
        <v>35607</v>
      </c>
      <c r="T8220" s="29">
        <v>6.5</v>
      </c>
    </row>
    <row r="8221" spans="19:21" x14ac:dyDescent="0.25">
      <c r="S8221" s="78">
        <v>35608</v>
      </c>
      <c r="T8221" s="29">
        <v>6.5</v>
      </c>
    </row>
    <row r="8222" spans="19:21" x14ac:dyDescent="0.25">
      <c r="S8222" s="78">
        <v>35609</v>
      </c>
      <c r="T8222" s="29">
        <v>6.5</v>
      </c>
    </row>
    <row r="8223" spans="19:21" x14ac:dyDescent="0.25">
      <c r="S8223" s="78">
        <v>35610</v>
      </c>
      <c r="T8223" s="29">
        <v>6.5</v>
      </c>
    </row>
    <row r="8224" spans="19:21" x14ac:dyDescent="0.25">
      <c r="S8224" s="78">
        <v>35611</v>
      </c>
      <c r="T8224" s="29">
        <v>6.5</v>
      </c>
      <c r="U8224" s="40">
        <f>AVERAGE(T8134:T8224)</f>
        <v>6.1994505494505496</v>
      </c>
    </row>
    <row r="8225" spans="19:20" x14ac:dyDescent="0.25">
      <c r="S8225" s="78">
        <v>35612</v>
      </c>
      <c r="T8225" s="29">
        <v>6.5</v>
      </c>
    </row>
    <row r="8226" spans="19:20" x14ac:dyDescent="0.25">
      <c r="S8226" s="78">
        <v>35613</v>
      </c>
      <c r="T8226" s="29">
        <v>6.5</v>
      </c>
    </row>
    <row r="8227" spans="19:20" x14ac:dyDescent="0.25">
      <c r="S8227" s="78">
        <v>35614</v>
      </c>
      <c r="T8227" s="29">
        <v>6.5</v>
      </c>
    </row>
    <row r="8228" spans="19:20" x14ac:dyDescent="0.25">
      <c r="S8228" s="78">
        <v>35615</v>
      </c>
      <c r="T8228" s="29">
        <v>6.5</v>
      </c>
    </row>
    <row r="8229" spans="19:20" x14ac:dyDescent="0.25">
      <c r="S8229" s="78">
        <v>35616</v>
      </c>
      <c r="T8229" s="29">
        <v>6.5</v>
      </c>
    </row>
    <row r="8230" spans="19:20" x14ac:dyDescent="0.25">
      <c r="S8230" s="78">
        <v>35617</v>
      </c>
      <c r="T8230" s="29">
        <v>6.5</v>
      </c>
    </row>
    <row r="8231" spans="19:20" x14ac:dyDescent="0.25">
      <c r="S8231" s="78">
        <v>35618</v>
      </c>
      <c r="T8231" s="29">
        <v>6.5</v>
      </c>
    </row>
    <row r="8232" spans="19:20" x14ac:dyDescent="0.25">
      <c r="S8232" s="78">
        <v>35619</v>
      </c>
      <c r="T8232" s="29">
        <v>6.5</v>
      </c>
    </row>
    <row r="8233" spans="19:20" x14ac:dyDescent="0.25">
      <c r="S8233" s="78">
        <v>35620</v>
      </c>
      <c r="T8233" s="29">
        <v>6.5</v>
      </c>
    </row>
    <row r="8234" spans="19:20" x14ac:dyDescent="0.25">
      <c r="S8234" s="78">
        <v>35621</v>
      </c>
      <c r="T8234" s="29">
        <v>6.75</v>
      </c>
    </row>
    <row r="8235" spans="19:20" x14ac:dyDescent="0.25">
      <c r="S8235" s="78">
        <v>35622</v>
      </c>
      <c r="T8235" s="29">
        <v>6.75</v>
      </c>
    </row>
    <row r="8236" spans="19:20" x14ac:dyDescent="0.25">
      <c r="S8236" s="78">
        <v>35623</v>
      </c>
      <c r="T8236" s="29">
        <v>6.75</v>
      </c>
    </row>
    <row r="8237" spans="19:20" x14ac:dyDescent="0.25">
      <c r="S8237" s="78">
        <v>35624</v>
      </c>
      <c r="T8237" s="29">
        <v>6.75</v>
      </c>
    </row>
    <row r="8238" spans="19:20" x14ac:dyDescent="0.25">
      <c r="S8238" s="78">
        <v>35625</v>
      </c>
      <c r="T8238" s="29">
        <v>6.75</v>
      </c>
    </row>
    <row r="8239" spans="19:20" x14ac:dyDescent="0.25">
      <c r="S8239" s="78">
        <v>35626</v>
      </c>
      <c r="T8239" s="29">
        <v>6.75</v>
      </c>
    </row>
    <row r="8240" spans="19:20" x14ac:dyDescent="0.25">
      <c r="S8240" s="78">
        <v>35627</v>
      </c>
      <c r="T8240" s="29">
        <v>6.75</v>
      </c>
    </row>
    <row r="8241" spans="19:20" x14ac:dyDescent="0.25">
      <c r="S8241" s="78">
        <v>35628</v>
      </c>
      <c r="T8241" s="29">
        <v>6.75</v>
      </c>
    </row>
    <row r="8242" spans="19:20" x14ac:dyDescent="0.25">
      <c r="S8242" s="78">
        <v>35629</v>
      </c>
      <c r="T8242" s="29">
        <v>6.75</v>
      </c>
    </row>
    <row r="8243" spans="19:20" x14ac:dyDescent="0.25">
      <c r="S8243" s="78">
        <v>35630</v>
      </c>
      <c r="T8243" s="29">
        <v>6.75</v>
      </c>
    </row>
    <row r="8244" spans="19:20" x14ac:dyDescent="0.25">
      <c r="S8244" s="78">
        <v>35631</v>
      </c>
      <c r="T8244" s="29">
        <v>6.75</v>
      </c>
    </row>
    <row r="8245" spans="19:20" x14ac:dyDescent="0.25">
      <c r="S8245" s="78">
        <v>35632</v>
      </c>
      <c r="T8245" s="29">
        <v>6.75</v>
      </c>
    </row>
    <row r="8246" spans="19:20" x14ac:dyDescent="0.25">
      <c r="S8246" s="78">
        <v>35633</v>
      </c>
      <c r="T8246" s="29">
        <v>6.75</v>
      </c>
    </row>
    <row r="8247" spans="19:20" x14ac:dyDescent="0.25">
      <c r="S8247" s="78">
        <v>35634</v>
      </c>
      <c r="T8247" s="29">
        <v>6.75</v>
      </c>
    </row>
    <row r="8248" spans="19:20" x14ac:dyDescent="0.25">
      <c r="S8248" s="78">
        <v>35635</v>
      </c>
      <c r="T8248" s="29">
        <v>6.75</v>
      </c>
    </row>
    <row r="8249" spans="19:20" x14ac:dyDescent="0.25">
      <c r="S8249" s="78">
        <v>35636</v>
      </c>
      <c r="T8249" s="29">
        <v>6.75</v>
      </c>
    </row>
    <row r="8250" spans="19:20" x14ac:dyDescent="0.25">
      <c r="S8250" s="78">
        <v>35637</v>
      </c>
      <c r="T8250" s="29">
        <v>6.75</v>
      </c>
    </row>
    <row r="8251" spans="19:20" x14ac:dyDescent="0.25">
      <c r="S8251" s="78">
        <v>35638</v>
      </c>
      <c r="T8251" s="29">
        <v>6.75</v>
      </c>
    </row>
    <row r="8252" spans="19:20" x14ac:dyDescent="0.25">
      <c r="S8252" s="78">
        <v>35639</v>
      </c>
      <c r="T8252" s="29">
        <v>6.75</v>
      </c>
    </row>
    <row r="8253" spans="19:20" x14ac:dyDescent="0.25">
      <c r="S8253" s="78">
        <v>35640</v>
      </c>
      <c r="T8253" s="29">
        <v>6.75</v>
      </c>
    </row>
    <row r="8254" spans="19:20" x14ac:dyDescent="0.25">
      <c r="S8254" s="78">
        <v>35641</v>
      </c>
      <c r="T8254" s="29">
        <v>6.75</v>
      </c>
    </row>
    <row r="8255" spans="19:20" x14ac:dyDescent="0.25">
      <c r="S8255" s="78">
        <v>35642</v>
      </c>
      <c r="T8255" s="29">
        <v>6.75</v>
      </c>
    </row>
    <row r="8256" spans="19:20" x14ac:dyDescent="0.25">
      <c r="S8256" s="78">
        <v>35643</v>
      </c>
      <c r="T8256" s="29">
        <v>6.75</v>
      </c>
    </row>
    <row r="8257" spans="19:20" x14ac:dyDescent="0.25">
      <c r="S8257" s="78">
        <v>35644</v>
      </c>
      <c r="T8257" s="29">
        <v>6.75</v>
      </c>
    </row>
    <row r="8258" spans="19:20" x14ac:dyDescent="0.25">
      <c r="S8258" s="78">
        <v>35645</v>
      </c>
      <c r="T8258" s="29">
        <v>6.75</v>
      </c>
    </row>
    <row r="8259" spans="19:20" x14ac:dyDescent="0.25">
      <c r="S8259" s="78">
        <v>35646</v>
      </c>
      <c r="T8259" s="29">
        <v>6.75</v>
      </c>
    </row>
    <row r="8260" spans="19:20" x14ac:dyDescent="0.25">
      <c r="S8260" s="78">
        <v>35647</v>
      </c>
      <c r="T8260" s="29">
        <v>6.75</v>
      </c>
    </row>
    <row r="8261" spans="19:20" x14ac:dyDescent="0.25">
      <c r="S8261" s="78">
        <v>35648</v>
      </c>
      <c r="T8261" s="29">
        <v>6.75</v>
      </c>
    </row>
    <row r="8262" spans="19:20" x14ac:dyDescent="0.25">
      <c r="S8262" s="78">
        <v>35649</v>
      </c>
      <c r="T8262" s="29">
        <v>7</v>
      </c>
    </row>
    <row r="8263" spans="19:20" x14ac:dyDescent="0.25">
      <c r="S8263" s="78">
        <v>35650</v>
      </c>
      <c r="T8263" s="29">
        <v>7</v>
      </c>
    </row>
    <row r="8264" spans="19:20" x14ac:dyDescent="0.25">
      <c r="S8264" s="78">
        <v>35651</v>
      </c>
      <c r="T8264" s="29">
        <v>7</v>
      </c>
    </row>
    <row r="8265" spans="19:20" x14ac:dyDescent="0.25">
      <c r="S8265" s="78">
        <v>35652</v>
      </c>
      <c r="T8265" s="29">
        <v>7</v>
      </c>
    </row>
    <row r="8266" spans="19:20" x14ac:dyDescent="0.25">
      <c r="S8266" s="78">
        <v>35653</v>
      </c>
      <c r="T8266" s="29">
        <v>7</v>
      </c>
    </row>
    <row r="8267" spans="19:20" x14ac:dyDescent="0.25">
      <c r="S8267" s="78">
        <v>35654</v>
      </c>
      <c r="T8267" s="29">
        <v>7</v>
      </c>
    </row>
    <row r="8268" spans="19:20" x14ac:dyDescent="0.25">
      <c r="S8268" s="78">
        <v>35655</v>
      </c>
      <c r="T8268" s="29">
        <v>7</v>
      </c>
    </row>
    <row r="8269" spans="19:20" x14ac:dyDescent="0.25">
      <c r="S8269" s="78">
        <v>35656</v>
      </c>
      <c r="T8269" s="29">
        <v>7</v>
      </c>
    </row>
    <row r="8270" spans="19:20" x14ac:dyDescent="0.25">
      <c r="S8270" s="78">
        <v>35657</v>
      </c>
      <c r="T8270" s="29">
        <v>7</v>
      </c>
    </row>
    <row r="8271" spans="19:20" x14ac:dyDescent="0.25">
      <c r="S8271" s="78">
        <v>35658</v>
      </c>
      <c r="T8271" s="29">
        <v>7</v>
      </c>
    </row>
    <row r="8272" spans="19:20" x14ac:dyDescent="0.25">
      <c r="S8272" s="78">
        <v>35659</v>
      </c>
      <c r="T8272" s="29">
        <v>7</v>
      </c>
    </row>
    <row r="8273" spans="19:20" x14ac:dyDescent="0.25">
      <c r="S8273" s="78">
        <v>35660</v>
      </c>
      <c r="T8273" s="29">
        <v>7</v>
      </c>
    </row>
    <row r="8274" spans="19:20" x14ac:dyDescent="0.25">
      <c r="S8274" s="78">
        <v>35661</v>
      </c>
      <c r="T8274" s="29">
        <v>7</v>
      </c>
    </row>
    <row r="8275" spans="19:20" x14ac:dyDescent="0.25">
      <c r="S8275" s="78">
        <v>35662</v>
      </c>
      <c r="T8275" s="29">
        <v>7</v>
      </c>
    </row>
    <row r="8276" spans="19:20" x14ac:dyDescent="0.25">
      <c r="S8276" s="78">
        <v>35663</v>
      </c>
      <c r="T8276" s="29">
        <v>7</v>
      </c>
    </row>
    <row r="8277" spans="19:20" x14ac:dyDescent="0.25">
      <c r="S8277" s="78">
        <v>35664</v>
      </c>
      <c r="T8277" s="29">
        <v>7</v>
      </c>
    </row>
    <row r="8278" spans="19:20" x14ac:dyDescent="0.25">
      <c r="S8278" s="78">
        <v>35665</v>
      </c>
      <c r="T8278" s="29">
        <v>7</v>
      </c>
    </row>
    <row r="8279" spans="19:20" x14ac:dyDescent="0.25">
      <c r="S8279" s="78">
        <v>35666</v>
      </c>
      <c r="T8279" s="29">
        <v>7</v>
      </c>
    </row>
    <row r="8280" spans="19:20" x14ac:dyDescent="0.25">
      <c r="S8280" s="78">
        <v>35667</v>
      </c>
      <c r="T8280" s="29">
        <v>7</v>
      </c>
    </row>
    <row r="8281" spans="19:20" x14ac:dyDescent="0.25">
      <c r="S8281" s="78">
        <v>35668</v>
      </c>
      <c r="T8281" s="29">
        <v>7</v>
      </c>
    </row>
    <row r="8282" spans="19:20" x14ac:dyDescent="0.25">
      <c r="S8282" s="78">
        <v>35669</v>
      </c>
      <c r="T8282" s="29">
        <v>7</v>
      </c>
    </row>
    <row r="8283" spans="19:20" x14ac:dyDescent="0.25">
      <c r="S8283" s="78">
        <v>35670</v>
      </c>
      <c r="T8283" s="29">
        <v>7</v>
      </c>
    </row>
    <row r="8284" spans="19:20" x14ac:dyDescent="0.25">
      <c r="S8284" s="78">
        <v>35671</v>
      </c>
      <c r="T8284" s="29">
        <v>7</v>
      </c>
    </row>
    <row r="8285" spans="19:20" x14ac:dyDescent="0.25">
      <c r="S8285" s="78">
        <v>35672</v>
      </c>
      <c r="T8285" s="29">
        <v>7</v>
      </c>
    </row>
    <row r="8286" spans="19:20" x14ac:dyDescent="0.25">
      <c r="S8286" s="78">
        <v>35673</v>
      </c>
      <c r="T8286" s="29">
        <v>7</v>
      </c>
    </row>
    <row r="8287" spans="19:20" x14ac:dyDescent="0.25">
      <c r="S8287" s="78">
        <v>35674</v>
      </c>
      <c r="T8287" s="29">
        <v>7</v>
      </c>
    </row>
    <row r="8288" spans="19:20" x14ac:dyDescent="0.25">
      <c r="S8288" s="78">
        <v>35675</v>
      </c>
      <c r="T8288" s="29">
        <v>7</v>
      </c>
    </row>
    <row r="8289" spans="19:20" x14ac:dyDescent="0.25">
      <c r="S8289" s="78">
        <v>35676</v>
      </c>
      <c r="T8289" s="29">
        <v>7</v>
      </c>
    </row>
    <row r="8290" spans="19:20" x14ac:dyDescent="0.25">
      <c r="S8290" s="78">
        <v>35677</v>
      </c>
      <c r="T8290" s="29">
        <v>7</v>
      </c>
    </row>
    <row r="8291" spans="19:20" x14ac:dyDescent="0.25">
      <c r="S8291" s="78">
        <v>35678</v>
      </c>
      <c r="T8291" s="29">
        <v>7</v>
      </c>
    </row>
    <row r="8292" spans="19:20" x14ac:dyDescent="0.25">
      <c r="S8292" s="78">
        <v>35679</v>
      </c>
      <c r="T8292" s="29">
        <v>7</v>
      </c>
    </row>
    <row r="8293" spans="19:20" x14ac:dyDescent="0.25">
      <c r="S8293" s="78">
        <v>35680</v>
      </c>
      <c r="T8293" s="29">
        <v>7</v>
      </c>
    </row>
    <row r="8294" spans="19:20" x14ac:dyDescent="0.25">
      <c r="S8294" s="78">
        <v>35681</v>
      </c>
      <c r="T8294" s="29">
        <v>7</v>
      </c>
    </row>
    <row r="8295" spans="19:20" x14ac:dyDescent="0.25">
      <c r="S8295" s="78">
        <v>35682</v>
      </c>
      <c r="T8295" s="29">
        <v>7</v>
      </c>
    </row>
    <row r="8296" spans="19:20" x14ac:dyDescent="0.25">
      <c r="S8296" s="78">
        <v>35683</v>
      </c>
      <c r="T8296" s="29">
        <v>7</v>
      </c>
    </row>
    <row r="8297" spans="19:20" x14ac:dyDescent="0.25">
      <c r="S8297" s="78">
        <v>35684</v>
      </c>
      <c r="T8297" s="29">
        <v>7</v>
      </c>
    </row>
    <row r="8298" spans="19:20" x14ac:dyDescent="0.25">
      <c r="S8298" s="78">
        <v>35685</v>
      </c>
      <c r="T8298" s="29">
        <v>7</v>
      </c>
    </row>
    <row r="8299" spans="19:20" x14ac:dyDescent="0.25">
      <c r="S8299" s="78">
        <v>35686</v>
      </c>
      <c r="T8299" s="29">
        <v>7</v>
      </c>
    </row>
    <row r="8300" spans="19:20" x14ac:dyDescent="0.25">
      <c r="S8300" s="78">
        <v>35687</v>
      </c>
      <c r="T8300" s="29">
        <v>7</v>
      </c>
    </row>
    <row r="8301" spans="19:20" x14ac:dyDescent="0.25">
      <c r="S8301" s="78">
        <v>35688</v>
      </c>
      <c r="T8301" s="29">
        <v>7</v>
      </c>
    </row>
    <row r="8302" spans="19:20" x14ac:dyDescent="0.25">
      <c r="S8302" s="78">
        <v>35689</v>
      </c>
      <c r="T8302" s="29">
        <v>7</v>
      </c>
    </row>
    <row r="8303" spans="19:20" x14ac:dyDescent="0.25">
      <c r="S8303" s="78">
        <v>35690</v>
      </c>
      <c r="T8303" s="29">
        <v>7</v>
      </c>
    </row>
    <row r="8304" spans="19:20" x14ac:dyDescent="0.25">
      <c r="S8304" s="78">
        <v>35691</v>
      </c>
      <c r="T8304" s="29">
        <v>7</v>
      </c>
    </row>
    <row r="8305" spans="19:21" x14ac:dyDescent="0.25">
      <c r="S8305" s="78">
        <v>35692</v>
      </c>
      <c r="T8305" s="29">
        <v>7</v>
      </c>
    </row>
    <row r="8306" spans="19:21" x14ac:dyDescent="0.25">
      <c r="S8306" s="78">
        <v>35693</v>
      </c>
      <c r="T8306" s="29">
        <v>7</v>
      </c>
    </row>
    <row r="8307" spans="19:21" x14ac:dyDescent="0.25">
      <c r="S8307" s="78">
        <v>35694</v>
      </c>
      <c r="T8307" s="29">
        <v>7</v>
      </c>
    </row>
    <row r="8308" spans="19:21" x14ac:dyDescent="0.25">
      <c r="S8308" s="78">
        <v>35695</v>
      </c>
      <c r="T8308" s="29">
        <v>7</v>
      </c>
    </row>
    <row r="8309" spans="19:21" x14ac:dyDescent="0.25">
      <c r="S8309" s="78">
        <v>35696</v>
      </c>
      <c r="T8309" s="29">
        <v>7</v>
      </c>
    </row>
    <row r="8310" spans="19:21" x14ac:dyDescent="0.25">
      <c r="S8310" s="78">
        <v>35697</v>
      </c>
      <c r="T8310" s="29">
        <v>7</v>
      </c>
    </row>
    <row r="8311" spans="19:21" x14ac:dyDescent="0.25">
      <c r="S8311" s="78">
        <v>35698</v>
      </c>
      <c r="T8311" s="29">
        <v>7</v>
      </c>
    </row>
    <row r="8312" spans="19:21" x14ac:dyDescent="0.25">
      <c r="S8312" s="78">
        <v>35699</v>
      </c>
      <c r="T8312" s="29">
        <v>7</v>
      </c>
    </row>
    <row r="8313" spans="19:21" x14ac:dyDescent="0.25">
      <c r="S8313" s="78">
        <v>35700</v>
      </c>
      <c r="T8313" s="29">
        <v>7</v>
      </c>
    </row>
    <row r="8314" spans="19:21" x14ac:dyDescent="0.25">
      <c r="S8314" s="78">
        <v>35701</v>
      </c>
      <c r="T8314" s="29">
        <v>7</v>
      </c>
    </row>
    <row r="8315" spans="19:21" x14ac:dyDescent="0.25">
      <c r="S8315" s="78">
        <v>35702</v>
      </c>
      <c r="T8315" s="29">
        <v>7</v>
      </c>
    </row>
    <row r="8316" spans="19:21" x14ac:dyDescent="0.25">
      <c r="S8316" s="78">
        <v>35703</v>
      </c>
      <c r="T8316" s="29">
        <v>7</v>
      </c>
      <c r="U8316" s="40">
        <f>AVERAGE(T8225:T8316)</f>
        <v>6.875</v>
      </c>
    </row>
    <row r="8317" spans="19:21" x14ac:dyDescent="0.25">
      <c r="S8317" s="78">
        <v>35704</v>
      </c>
      <c r="T8317" s="29">
        <v>7</v>
      </c>
    </row>
    <row r="8318" spans="19:21" x14ac:dyDescent="0.25">
      <c r="S8318" s="78">
        <v>35705</v>
      </c>
      <c r="T8318" s="29">
        <v>7</v>
      </c>
    </row>
    <row r="8319" spans="19:21" x14ac:dyDescent="0.25">
      <c r="S8319" s="78">
        <v>35706</v>
      </c>
      <c r="T8319" s="29">
        <v>7</v>
      </c>
    </row>
    <row r="8320" spans="19:21" x14ac:dyDescent="0.25">
      <c r="S8320" s="78">
        <v>35707</v>
      </c>
      <c r="T8320" s="29">
        <v>7</v>
      </c>
    </row>
    <row r="8321" spans="19:20" x14ac:dyDescent="0.25">
      <c r="S8321" s="78">
        <v>35708</v>
      </c>
      <c r="T8321" s="29">
        <v>7</v>
      </c>
    </row>
    <row r="8322" spans="19:20" x14ac:dyDescent="0.25">
      <c r="S8322" s="78">
        <v>35709</v>
      </c>
      <c r="T8322" s="29">
        <v>7</v>
      </c>
    </row>
    <row r="8323" spans="19:20" x14ac:dyDescent="0.25">
      <c r="S8323" s="78">
        <v>35710</v>
      </c>
      <c r="T8323" s="29">
        <v>7</v>
      </c>
    </row>
    <row r="8324" spans="19:20" x14ac:dyDescent="0.25">
      <c r="S8324" s="78">
        <v>35711</v>
      </c>
      <c r="T8324" s="29">
        <v>7</v>
      </c>
    </row>
    <row r="8325" spans="19:20" x14ac:dyDescent="0.25">
      <c r="S8325" s="78">
        <v>35712</v>
      </c>
      <c r="T8325" s="29">
        <v>7</v>
      </c>
    </row>
    <row r="8326" spans="19:20" x14ac:dyDescent="0.25">
      <c r="S8326" s="78">
        <v>35713</v>
      </c>
      <c r="T8326" s="29">
        <v>7</v>
      </c>
    </row>
    <row r="8327" spans="19:20" x14ac:dyDescent="0.25">
      <c r="S8327" s="78">
        <v>35714</v>
      </c>
      <c r="T8327" s="29">
        <v>7</v>
      </c>
    </row>
    <row r="8328" spans="19:20" x14ac:dyDescent="0.25">
      <c r="S8328" s="78">
        <v>35715</v>
      </c>
      <c r="T8328" s="29">
        <v>7</v>
      </c>
    </row>
    <row r="8329" spans="19:20" x14ac:dyDescent="0.25">
      <c r="S8329" s="78">
        <v>35716</v>
      </c>
      <c r="T8329" s="29">
        <v>7</v>
      </c>
    </row>
    <row r="8330" spans="19:20" x14ac:dyDescent="0.25">
      <c r="S8330" s="78">
        <v>35717</v>
      </c>
      <c r="T8330" s="29">
        <v>7</v>
      </c>
    </row>
    <row r="8331" spans="19:20" x14ac:dyDescent="0.25">
      <c r="S8331" s="78">
        <v>35718</v>
      </c>
      <c r="T8331" s="29">
        <v>7</v>
      </c>
    </row>
    <row r="8332" spans="19:20" x14ac:dyDescent="0.25">
      <c r="S8332" s="78">
        <v>35719</v>
      </c>
      <c r="T8332" s="29">
        <v>7</v>
      </c>
    </row>
    <row r="8333" spans="19:20" x14ac:dyDescent="0.25">
      <c r="S8333" s="78">
        <v>35720</v>
      </c>
      <c r="T8333" s="29">
        <v>7</v>
      </c>
    </row>
    <row r="8334" spans="19:20" x14ac:dyDescent="0.25">
      <c r="S8334" s="78">
        <v>35721</v>
      </c>
      <c r="T8334" s="29">
        <v>7</v>
      </c>
    </row>
    <row r="8335" spans="19:20" x14ac:dyDescent="0.25">
      <c r="S8335" s="78">
        <v>35722</v>
      </c>
      <c r="T8335" s="29">
        <v>7</v>
      </c>
    </row>
    <row r="8336" spans="19:20" x14ac:dyDescent="0.25">
      <c r="S8336" s="78">
        <v>35723</v>
      </c>
      <c r="T8336" s="29">
        <v>7</v>
      </c>
    </row>
    <row r="8337" spans="19:20" x14ac:dyDescent="0.25">
      <c r="S8337" s="78">
        <v>35724</v>
      </c>
      <c r="T8337" s="29">
        <v>7</v>
      </c>
    </row>
    <row r="8338" spans="19:20" x14ac:dyDescent="0.25">
      <c r="S8338" s="78">
        <v>35725</v>
      </c>
      <c r="T8338" s="29">
        <v>7</v>
      </c>
    </row>
    <row r="8339" spans="19:20" x14ac:dyDescent="0.25">
      <c r="S8339" s="78">
        <v>35726</v>
      </c>
      <c r="T8339" s="29">
        <v>7</v>
      </c>
    </row>
    <row r="8340" spans="19:20" x14ac:dyDescent="0.25">
      <c r="S8340" s="78">
        <v>35727</v>
      </c>
      <c r="T8340" s="29">
        <v>7</v>
      </c>
    </row>
    <row r="8341" spans="19:20" x14ac:dyDescent="0.25">
      <c r="S8341" s="78">
        <v>35728</v>
      </c>
      <c r="T8341" s="29">
        <v>7</v>
      </c>
    </row>
    <row r="8342" spans="19:20" x14ac:dyDescent="0.25">
      <c r="S8342" s="78">
        <v>35729</v>
      </c>
      <c r="T8342" s="29">
        <v>7</v>
      </c>
    </row>
    <row r="8343" spans="19:20" x14ac:dyDescent="0.25">
      <c r="S8343" s="78">
        <v>35730</v>
      </c>
      <c r="T8343" s="29">
        <v>7</v>
      </c>
    </row>
    <row r="8344" spans="19:20" x14ac:dyDescent="0.25">
      <c r="S8344" s="78">
        <v>35731</v>
      </c>
      <c r="T8344" s="29">
        <v>7</v>
      </c>
    </row>
    <row r="8345" spans="19:20" x14ac:dyDescent="0.25">
      <c r="S8345" s="78">
        <v>35732</v>
      </c>
      <c r="T8345" s="29">
        <v>7</v>
      </c>
    </row>
    <row r="8346" spans="19:20" x14ac:dyDescent="0.25">
      <c r="S8346" s="78">
        <v>35733</v>
      </c>
      <c r="T8346" s="29">
        <v>7</v>
      </c>
    </row>
    <row r="8347" spans="19:20" x14ac:dyDescent="0.25">
      <c r="S8347" s="78">
        <v>35734</v>
      </c>
      <c r="T8347" s="29">
        <v>7</v>
      </c>
    </row>
    <row r="8348" spans="19:20" x14ac:dyDescent="0.25">
      <c r="S8348" s="78">
        <v>35735</v>
      </c>
      <c r="T8348" s="29">
        <v>7</v>
      </c>
    </row>
    <row r="8349" spans="19:20" x14ac:dyDescent="0.25">
      <c r="S8349" s="78">
        <v>35736</v>
      </c>
      <c r="T8349" s="29">
        <v>7</v>
      </c>
    </row>
    <row r="8350" spans="19:20" x14ac:dyDescent="0.25">
      <c r="S8350" s="78">
        <v>35737</v>
      </c>
      <c r="T8350" s="29">
        <v>7</v>
      </c>
    </row>
    <row r="8351" spans="19:20" x14ac:dyDescent="0.25">
      <c r="S8351" s="78">
        <v>35738</v>
      </c>
      <c r="T8351" s="29">
        <v>7</v>
      </c>
    </row>
    <row r="8352" spans="19:20" x14ac:dyDescent="0.25">
      <c r="S8352" s="78">
        <v>35739</v>
      </c>
      <c r="T8352" s="29">
        <v>7</v>
      </c>
    </row>
    <row r="8353" spans="19:20" x14ac:dyDescent="0.25">
      <c r="S8353" s="78">
        <v>35740</v>
      </c>
      <c r="T8353" s="29">
        <v>7.25</v>
      </c>
    </row>
    <row r="8354" spans="19:20" x14ac:dyDescent="0.25">
      <c r="S8354" s="78">
        <v>35741</v>
      </c>
      <c r="T8354" s="29">
        <v>7.25</v>
      </c>
    </row>
    <row r="8355" spans="19:20" x14ac:dyDescent="0.25">
      <c r="S8355" s="78">
        <v>35742</v>
      </c>
      <c r="T8355" s="29">
        <v>7.25</v>
      </c>
    </row>
    <row r="8356" spans="19:20" x14ac:dyDescent="0.25">
      <c r="S8356" s="78">
        <v>35743</v>
      </c>
      <c r="T8356" s="29">
        <v>7.25</v>
      </c>
    </row>
    <row r="8357" spans="19:20" x14ac:dyDescent="0.25">
      <c r="S8357" s="78">
        <v>35744</v>
      </c>
      <c r="T8357" s="29">
        <v>7.25</v>
      </c>
    </row>
    <row r="8358" spans="19:20" x14ac:dyDescent="0.25">
      <c r="S8358" s="78">
        <v>35745</v>
      </c>
      <c r="T8358" s="29">
        <v>7.25</v>
      </c>
    </row>
    <row r="8359" spans="19:20" x14ac:dyDescent="0.25">
      <c r="S8359" s="78">
        <v>35746</v>
      </c>
      <c r="T8359" s="29">
        <v>7.25</v>
      </c>
    </row>
    <row r="8360" spans="19:20" x14ac:dyDescent="0.25">
      <c r="S8360" s="78">
        <v>35747</v>
      </c>
      <c r="T8360" s="29">
        <v>7.25</v>
      </c>
    </row>
    <row r="8361" spans="19:20" x14ac:dyDescent="0.25">
      <c r="S8361" s="78">
        <v>35748</v>
      </c>
      <c r="T8361" s="29">
        <v>7.25</v>
      </c>
    </row>
    <row r="8362" spans="19:20" x14ac:dyDescent="0.25">
      <c r="S8362" s="78">
        <v>35749</v>
      </c>
      <c r="T8362" s="29">
        <v>7.25</v>
      </c>
    </row>
    <row r="8363" spans="19:20" x14ac:dyDescent="0.25">
      <c r="S8363" s="78">
        <v>35750</v>
      </c>
      <c r="T8363" s="29">
        <v>7.25</v>
      </c>
    </row>
    <row r="8364" spans="19:20" x14ac:dyDescent="0.25">
      <c r="S8364" s="78">
        <v>35751</v>
      </c>
      <c r="T8364" s="29">
        <v>7.25</v>
      </c>
    </row>
    <row r="8365" spans="19:20" x14ac:dyDescent="0.25">
      <c r="S8365" s="78">
        <v>35752</v>
      </c>
      <c r="T8365" s="29">
        <v>7.25</v>
      </c>
    </row>
    <row r="8366" spans="19:20" x14ac:dyDescent="0.25">
      <c r="S8366" s="78">
        <v>35753</v>
      </c>
      <c r="T8366" s="29">
        <v>7.25</v>
      </c>
    </row>
    <row r="8367" spans="19:20" x14ac:dyDescent="0.25">
      <c r="S8367" s="78">
        <v>35754</v>
      </c>
      <c r="T8367" s="29">
        <v>7.25</v>
      </c>
    </row>
    <row r="8368" spans="19:20" x14ac:dyDescent="0.25">
      <c r="S8368" s="78">
        <v>35755</v>
      </c>
      <c r="T8368" s="29">
        <v>7.25</v>
      </c>
    </row>
    <row r="8369" spans="19:20" x14ac:dyDescent="0.25">
      <c r="S8369" s="78">
        <v>35756</v>
      </c>
      <c r="T8369" s="29">
        <v>7.25</v>
      </c>
    </row>
    <row r="8370" spans="19:20" x14ac:dyDescent="0.25">
      <c r="S8370" s="78">
        <v>35757</v>
      </c>
      <c r="T8370" s="29">
        <v>7.25</v>
      </c>
    </row>
    <row r="8371" spans="19:20" x14ac:dyDescent="0.25">
      <c r="S8371" s="78">
        <v>35758</v>
      </c>
      <c r="T8371" s="29">
        <v>7.25</v>
      </c>
    </row>
    <row r="8372" spans="19:20" x14ac:dyDescent="0.25">
      <c r="S8372" s="78">
        <v>35759</v>
      </c>
      <c r="T8372" s="29">
        <v>7.25</v>
      </c>
    </row>
    <row r="8373" spans="19:20" x14ac:dyDescent="0.25">
      <c r="S8373" s="78">
        <v>35760</v>
      </c>
      <c r="T8373" s="29">
        <v>7.25</v>
      </c>
    </row>
    <row r="8374" spans="19:20" x14ac:dyDescent="0.25">
      <c r="S8374" s="78">
        <v>35761</v>
      </c>
      <c r="T8374" s="29">
        <v>7.25</v>
      </c>
    </row>
    <row r="8375" spans="19:20" x14ac:dyDescent="0.25">
      <c r="S8375" s="78">
        <v>35762</v>
      </c>
      <c r="T8375" s="29">
        <v>7.25</v>
      </c>
    </row>
    <row r="8376" spans="19:20" x14ac:dyDescent="0.25">
      <c r="S8376" s="78">
        <v>35763</v>
      </c>
      <c r="T8376" s="29">
        <v>7.25</v>
      </c>
    </row>
    <row r="8377" spans="19:20" x14ac:dyDescent="0.25">
      <c r="S8377" s="78">
        <v>35764</v>
      </c>
      <c r="T8377" s="29">
        <v>7.25</v>
      </c>
    </row>
    <row r="8378" spans="19:20" x14ac:dyDescent="0.25">
      <c r="S8378" s="78">
        <v>35765</v>
      </c>
      <c r="T8378" s="29">
        <v>7.25</v>
      </c>
    </row>
    <row r="8379" spans="19:20" x14ac:dyDescent="0.25">
      <c r="S8379" s="78">
        <v>35766</v>
      </c>
      <c r="T8379" s="29">
        <v>7.25</v>
      </c>
    </row>
    <row r="8380" spans="19:20" x14ac:dyDescent="0.25">
      <c r="S8380" s="78">
        <v>35767</v>
      </c>
      <c r="T8380" s="29">
        <v>7.25</v>
      </c>
    </row>
    <row r="8381" spans="19:20" x14ac:dyDescent="0.25">
      <c r="S8381" s="78">
        <v>35768</v>
      </c>
      <c r="T8381" s="29">
        <v>7.25</v>
      </c>
    </row>
    <row r="8382" spans="19:20" x14ac:dyDescent="0.25">
      <c r="S8382" s="78">
        <v>35769</v>
      </c>
      <c r="T8382" s="29">
        <v>7.25</v>
      </c>
    </row>
    <row r="8383" spans="19:20" x14ac:dyDescent="0.25">
      <c r="S8383" s="78">
        <v>35770</v>
      </c>
      <c r="T8383" s="29">
        <v>7.25</v>
      </c>
    </row>
    <row r="8384" spans="19:20" x14ac:dyDescent="0.25">
      <c r="S8384" s="78">
        <v>35771</v>
      </c>
      <c r="T8384" s="29">
        <v>7.25</v>
      </c>
    </row>
    <row r="8385" spans="19:20" x14ac:dyDescent="0.25">
      <c r="S8385" s="78">
        <v>35772</v>
      </c>
      <c r="T8385" s="29">
        <v>7.25</v>
      </c>
    </row>
    <row r="8386" spans="19:20" x14ac:dyDescent="0.25">
      <c r="S8386" s="78">
        <v>35773</v>
      </c>
      <c r="T8386" s="29">
        <v>7.25</v>
      </c>
    </row>
    <row r="8387" spans="19:20" x14ac:dyDescent="0.25">
      <c r="S8387" s="78">
        <v>35774</v>
      </c>
      <c r="T8387" s="29">
        <v>7.25</v>
      </c>
    </row>
    <row r="8388" spans="19:20" x14ac:dyDescent="0.25">
      <c r="S8388" s="78">
        <v>35775</v>
      </c>
      <c r="T8388" s="29">
        <v>7.25</v>
      </c>
    </row>
    <row r="8389" spans="19:20" x14ac:dyDescent="0.25">
      <c r="S8389" s="78">
        <v>35776</v>
      </c>
      <c r="T8389" s="29">
        <v>7.25</v>
      </c>
    </row>
    <row r="8390" spans="19:20" x14ac:dyDescent="0.25">
      <c r="S8390" s="78">
        <v>35777</v>
      </c>
      <c r="T8390" s="29">
        <v>7.25</v>
      </c>
    </row>
    <row r="8391" spans="19:20" x14ac:dyDescent="0.25">
      <c r="S8391" s="78">
        <v>35778</v>
      </c>
      <c r="T8391" s="29">
        <v>7.25</v>
      </c>
    </row>
    <row r="8392" spans="19:20" x14ac:dyDescent="0.25">
      <c r="S8392" s="78">
        <v>35779</v>
      </c>
      <c r="T8392" s="29">
        <v>7.25</v>
      </c>
    </row>
    <row r="8393" spans="19:20" x14ac:dyDescent="0.25">
      <c r="S8393" s="78">
        <v>35780</v>
      </c>
      <c r="T8393" s="29">
        <v>7.25</v>
      </c>
    </row>
    <row r="8394" spans="19:20" x14ac:dyDescent="0.25">
      <c r="S8394" s="78">
        <v>35781</v>
      </c>
      <c r="T8394" s="29">
        <v>7.25</v>
      </c>
    </row>
    <row r="8395" spans="19:20" x14ac:dyDescent="0.25">
      <c r="S8395" s="78">
        <v>35782</v>
      </c>
      <c r="T8395" s="29">
        <v>7.25</v>
      </c>
    </row>
    <row r="8396" spans="19:20" x14ac:dyDescent="0.25">
      <c r="S8396" s="78">
        <v>35783</v>
      </c>
      <c r="T8396" s="29">
        <v>7.25</v>
      </c>
    </row>
    <row r="8397" spans="19:20" x14ac:dyDescent="0.25">
      <c r="S8397" s="78">
        <v>35784</v>
      </c>
      <c r="T8397" s="29">
        <v>7.25</v>
      </c>
    </row>
    <row r="8398" spans="19:20" x14ac:dyDescent="0.25">
      <c r="S8398" s="78">
        <v>35785</v>
      </c>
      <c r="T8398" s="29">
        <v>7.25</v>
      </c>
    </row>
    <row r="8399" spans="19:20" x14ac:dyDescent="0.25">
      <c r="S8399" s="78">
        <v>35786</v>
      </c>
      <c r="T8399" s="29">
        <v>7.25</v>
      </c>
    </row>
    <row r="8400" spans="19:20" x14ac:dyDescent="0.25">
      <c r="S8400" s="78">
        <v>35787</v>
      </c>
      <c r="T8400" s="29">
        <v>7.25</v>
      </c>
    </row>
    <row r="8401" spans="19:21" x14ac:dyDescent="0.25">
      <c r="S8401" s="78">
        <v>35788</v>
      </c>
      <c r="T8401" s="29">
        <v>7.25</v>
      </c>
    </row>
    <row r="8402" spans="19:21" x14ac:dyDescent="0.25">
      <c r="S8402" s="78">
        <v>35789</v>
      </c>
      <c r="T8402" s="29">
        <v>7.25</v>
      </c>
    </row>
    <row r="8403" spans="19:21" x14ac:dyDescent="0.25">
      <c r="S8403" s="78">
        <v>35790</v>
      </c>
      <c r="T8403" s="29">
        <v>7.25</v>
      </c>
    </row>
    <row r="8404" spans="19:21" x14ac:dyDescent="0.25">
      <c r="S8404" s="78">
        <v>35791</v>
      </c>
      <c r="T8404" s="29">
        <v>7.25</v>
      </c>
    </row>
    <row r="8405" spans="19:21" x14ac:dyDescent="0.25">
      <c r="S8405" s="78">
        <v>35792</v>
      </c>
      <c r="T8405" s="29">
        <v>7.25</v>
      </c>
    </row>
    <row r="8406" spans="19:21" x14ac:dyDescent="0.25">
      <c r="S8406" s="78">
        <v>35793</v>
      </c>
      <c r="T8406" s="29">
        <v>7.25</v>
      </c>
    </row>
    <row r="8407" spans="19:21" x14ac:dyDescent="0.25">
      <c r="S8407" s="78">
        <v>35794</v>
      </c>
      <c r="T8407" s="29">
        <v>7.25</v>
      </c>
    </row>
    <row r="8408" spans="19:21" x14ac:dyDescent="0.25">
      <c r="S8408" s="78">
        <v>35795</v>
      </c>
      <c r="T8408" s="29">
        <v>7.25</v>
      </c>
      <c r="U8408" s="40">
        <f>AVERAGE(T8317:T8408)</f>
        <v>7.1521739130434785</v>
      </c>
    </row>
    <row r="8409" spans="19:21" x14ac:dyDescent="0.25">
      <c r="S8409" s="78">
        <v>35796</v>
      </c>
      <c r="T8409" s="29">
        <v>7.25</v>
      </c>
    </row>
    <row r="8410" spans="19:21" x14ac:dyDescent="0.25">
      <c r="S8410" s="78">
        <v>35797</v>
      </c>
      <c r="T8410" s="29">
        <v>7.25</v>
      </c>
    </row>
    <row r="8411" spans="19:21" x14ac:dyDescent="0.25">
      <c r="S8411" s="78">
        <v>35798</v>
      </c>
      <c r="T8411" s="29">
        <v>7.25</v>
      </c>
    </row>
    <row r="8412" spans="19:21" x14ac:dyDescent="0.25">
      <c r="S8412" s="78">
        <v>35799</v>
      </c>
      <c r="T8412" s="29">
        <v>7.25</v>
      </c>
    </row>
    <row r="8413" spans="19:21" x14ac:dyDescent="0.25">
      <c r="S8413" s="78">
        <v>35800</v>
      </c>
      <c r="T8413" s="29">
        <v>7.25</v>
      </c>
    </row>
    <row r="8414" spans="19:21" x14ac:dyDescent="0.25">
      <c r="S8414" s="78">
        <v>35801</v>
      </c>
      <c r="T8414" s="29">
        <v>7.25</v>
      </c>
    </row>
    <row r="8415" spans="19:21" x14ac:dyDescent="0.25">
      <c r="S8415" s="78">
        <v>35802</v>
      </c>
      <c r="T8415" s="29">
        <v>7.25</v>
      </c>
    </row>
    <row r="8416" spans="19:21" x14ac:dyDescent="0.25">
      <c r="S8416" s="78">
        <v>35803</v>
      </c>
      <c r="T8416" s="29">
        <v>7.25</v>
      </c>
    </row>
    <row r="8417" spans="19:20" x14ac:dyDescent="0.25">
      <c r="S8417" s="78">
        <v>35804</v>
      </c>
      <c r="T8417" s="29">
        <v>7.25</v>
      </c>
    </row>
    <row r="8418" spans="19:20" x14ac:dyDescent="0.25">
      <c r="S8418" s="78">
        <v>35805</v>
      </c>
      <c r="T8418" s="29">
        <v>7.25</v>
      </c>
    </row>
    <row r="8419" spans="19:20" x14ac:dyDescent="0.25">
      <c r="S8419" s="78">
        <v>35806</v>
      </c>
      <c r="T8419" s="29">
        <v>7.25</v>
      </c>
    </row>
    <row r="8420" spans="19:20" x14ac:dyDescent="0.25">
      <c r="S8420" s="78">
        <v>35807</v>
      </c>
      <c r="T8420" s="29">
        <v>7.25</v>
      </c>
    </row>
    <row r="8421" spans="19:20" x14ac:dyDescent="0.25">
      <c r="S8421" s="78">
        <v>35808</v>
      </c>
      <c r="T8421" s="29">
        <v>7.25</v>
      </c>
    </row>
    <row r="8422" spans="19:20" x14ac:dyDescent="0.25">
      <c r="S8422" s="78">
        <v>35809</v>
      </c>
      <c r="T8422" s="29">
        <v>7.25</v>
      </c>
    </row>
    <row r="8423" spans="19:20" x14ac:dyDescent="0.25">
      <c r="S8423" s="78">
        <v>35810</v>
      </c>
      <c r="T8423" s="29">
        <v>7.25</v>
      </c>
    </row>
    <row r="8424" spans="19:20" x14ac:dyDescent="0.25">
      <c r="S8424" s="78">
        <v>35811</v>
      </c>
      <c r="T8424" s="29">
        <v>7.25</v>
      </c>
    </row>
    <row r="8425" spans="19:20" x14ac:dyDescent="0.25">
      <c r="S8425" s="78">
        <v>35812</v>
      </c>
      <c r="T8425" s="29">
        <v>7.25</v>
      </c>
    </row>
    <row r="8426" spans="19:20" x14ac:dyDescent="0.25">
      <c r="S8426" s="78">
        <v>35813</v>
      </c>
      <c r="T8426" s="29">
        <v>7.25</v>
      </c>
    </row>
    <row r="8427" spans="19:20" x14ac:dyDescent="0.25">
      <c r="S8427" s="78">
        <v>35814</v>
      </c>
      <c r="T8427" s="29">
        <v>7.25</v>
      </c>
    </row>
    <row r="8428" spans="19:20" x14ac:dyDescent="0.25">
      <c r="S8428" s="78">
        <v>35815</v>
      </c>
      <c r="T8428" s="29">
        <v>7.25</v>
      </c>
    </row>
    <row r="8429" spans="19:20" x14ac:dyDescent="0.25">
      <c r="S8429" s="78">
        <v>35816</v>
      </c>
      <c r="T8429" s="29">
        <v>7.25</v>
      </c>
    </row>
    <row r="8430" spans="19:20" x14ac:dyDescent="0.25">
      <c r="S8430" s="78">
        <v>35817</v>
      </c>
      <c r="T8430" s="29">
        <v>7.25</v>
      </c>
    </row>
    <row r="8431" spans="19:20" x14ac:dyDescent="0.25">
      <c r="S8431" s="78">
        <v>35818</v>
      </c>
      <c r="T8431" s="29">
        <v>7.25</v>
      </c>
    </row>
    <row r="8432" spans="19:20" x14ac:dyDescent="0.25">
      <c r="S8432" s="78">
        <v>35819</v>
      </c>
      <c r="T8432" s="29">
        <v>7.25</v>
      </c>
    </row>
    <row r="8433" spans="19:20" x14ac:dyDescent="0.25">
      <c r="S8433" s="78">
        <v>35820</v>
      </c>
      <c r="T8433" s="29">
        <v>7.25</v>
      </c>
    </row>
    <row r="8434" spans="19:20" x14ac:dyDescent="0.25">
      <c r="S8434" s="78">
        <v>35821</v>
      </c>
      <c r="T8434" s="29">
        <v>7.25</v>
      </c>
    </row>
    <row r="8435" spans="19:20" x14ac:dyDescent="0.25">
      <c r="S8435" s="78">
        <v>35822</v>
      </c>
      <c r="T8435" s="29">
        <v>7.25</v>
      </c>
    </row>
    <row r="8436" spans="19:20" x14ac:dyDescent="0.25">
      <c r="S8436" s="78">
        <v>35823</v>
      </c>
      <c r="T8436" s="29">
        <v>7.25</v>
      </c>
    </row>
    <row r="8437" spans="19:20" x14ac:dyDescent="0.25">
      <c r="S8437" s="78">
        <v>35824</v>
      </c>
      <c r="T8437" s="29">
        <v>7.25</v>
      </c>
    </row>
    <row r="8438" spans="19:20" x14ac:dyDescent="0.25">
      <c r="S8438" s="78">
        <v>35825</v>
      </c>
      <c r="T8438" s="29">
        <v>7.25</v>
      </c>
    </row>
    <row r="8439" spans="19:20" x14ac:dyDescent="0.25">
      <c r="S8439" s="78">
        <v>35826</v>
      </c>
      <c r="T8439" s="29">
        <v>7.25</v>
      </c>
    </row>
    <row r="8440" spans="19:20" x14ac:dyDescent="0.25">
      <c r="S8440" s="78">
        <v>35827</v>
      </c>
      <c r="T8440" s="29">
        <v>7.25</v>
      </c>
    </row>
    <row r="8441" spans="19:20" x14ac:dyDescent="0.25">
      <c r="S8441" s="78">
        <v>35828</v>
      </c>
      <c r="T8441" s="29">
        <v>7.25</v>
      </c>
    </row>
    <row r="8442" spans="19:20" x14ac:dyDescent="0.25">
      <c r="S8442" s="78">
        <v>35829</v>
      </c>
      <c r="T8442" s="29">
        <v>7.25</v>
      </c>
    </row>
    <row r="8443" spans="19:20" x14ac:dyDescent="0.25">
      <c r="S8443" s="78">
        <v>35830</v>
      </c>
      <c r="T8443" s="29">
        <v>7.25</v>
      </c>
    </row>
    <row r="8444" spans="19:20" x14ac:dyDescent="0.25">
      <c r="S8444" s="78">
        <v>35831</v>
      </c>
      <c r="T8444" s="29">
        <v>7.25</v>
      </c>
    </row>
    <row r="8445" spans="19:20" x14ac:dyDescent="0.25">
      <c r="S8445" s="78">
        <v>35832</v>
      </c>
      <c r="T8445" s="29">
        <v>7.25</v>
      </c>
    </row>
    <row r="8446" spans="19:20" x14ac:dyDescent="0.25">
      <c r="S8446" s="78">
        <v>35833</v>
      </c>
      <c r="T8446" s="29">
        <v>7.25</v>
      </c>
    </row>
    <row r="8447" spans="19:20" x14ac:dyDescent="0.25">
      <c r="S8447" s="78">
        <v>35834</v>
      </c>
      <c r="T8447" s="29">
        <v>7.25</v>
      </c>
    </row>
    <row r="8448" spans="19:20" x14ac:dyDescent="0.25">
      <c r="S8448" s="78">
        <v>35835</v>
      </c>
      <c r="T8448" s="29">
        <v>7.25</v>
      </c>
    </row>
    <row r="8449" spans="19:20" x14ac:dyDescent="0.25">
      <c r="S8449" s="78">
        <v>35836</v>
      </c>
      <c r="T8449" s="29">
        <v>7.25</v>
      </c>
    </row>
    <row r="8450" spans="19:20" x14ac:dyDescent="0.25">
      <c r="S8450" s="78">
        <v>35837</v>
      </c>
      <c r="T8450" s="29">
        <v>7.25</v>
      </c>
    </row>
    <row r="8451" spans="19:20" x14ac:dyDescent="0.25">
      <c r="S8451" s="78">
        <v>35838</v>
      </c>
      <c r="T8451" s="29">
        <v>7.25</v>
      </c>
    </row>
    <row r="8452" spans="19:20" x14ac:dyDescent="0.25">
      <c r="S8452" s="78">
        <v>35839</v>
      </c>
      <c r="T8452" s="29">
        <v>7.25</v>
      </c>
    </row>
    <row r="8453" spans="19:20" x14ac:dyDescent="0.25">
      <c r="S8453" s="78">
        <v>35840</v>
      </c>
      <c r="T8453" s="29">
        <v>7.25</v>
      </c>
    </row>
    <row r="8454" spans="19:20" x14ac:dyDescent="0.25">
      <c r="S8454" s="78">
        <v>35841</v>
      </c>
      <c r="T8454" s="29">
        <v>7.25</v>
      </c>
    </row>
    <row r="8455" spans="19:20" x14ac:dyDescent="0.25">
      <c r="S8455" s="78">
        <v>35842</v>
      </c>
      <c r="T8455" s="29">
        <v>7.25</v>
      </c>
    </row>
    <row r="8456" spans="19:20" x14ac:dyDescent="0.25">
      <c r="S8456" s="78">
        <v>35843</v>
      </c>
      <c r="T8456" s="29">
        <v>7.25</v>
      </c>
    </row>
    <row r="8457" spans="19:20" x14ac:dyDescent="0.25">
      <c r="S8457" s="78">
        <v>35844</v>
      </c>
      <c r="T8457" s="29">
        <v>7.25</v>
      </c>
    </row>
    <row r="8458" spans="19:20" x14ac:dyDescent="0.25">
      <c r="S8458" s="78">
        <v>35845</v>
      </c>
      <c r="T8458" s="29">
        <v>7.25</v>
      </c>
    </row>
    <row r="8459" spans="19:20" x14ac:dyDescent="0.25">
      <c r="S8459" s="78">
        <v>35846</v>
      </c>
      <c r="T8459" s="29">
        <v>7.25</v>
      </c>
    </row>
    <row r="8460" spans="19:20" x14ac:dyDescent="0.25">
      <c r="S8460" s="78">
        <v>35847</v>
      </c>
      <c r="T8460" s="29">
        <v>7.25</v>
      </c>
    </row>
    <row r="8461" spans="19:20" x14ac:dyDescent="0.25">
      <c r="S8461" s="78">
        <v>35848</v>
      </c>
      <c r="T8461" s="29">
        <v>7.25</v>
      </c>
    </row>
    <row r="8462" spans="19:20" x14ac:dyDescent="0.25">
      <c r="S8462" s="78">
        <v>35849</v>
      </c>
      <c r="T8462" s="29">
        <v>7.25</v>
      </c>
    </row>
    <row r="8463" spans="19:20" x14ac:dyDescent="0.25">
      <c r="S8463" s="78">
        <v>35850</v>
      </c>
      <c r="T8463" s="29">
        <v>7.25</v>
      </c>
    </row>
    <row r="8464" spans="19:20" x14ac:dyDescent="0.25">
      <c r="S8464" s="78">
        <v>35851</v>
      </c>
      <c r="T8464" s="29">
        <v>7.25</v>
      </c>
    </row>
    <row r="8465" spans="19:20" x14ac:dyDescent="0.25">
      <c r="S8465" s="78">
        <v>35852</v>
      </c>
      <c r="T8465" s="29">
        <v>7.25</v>
      </c>
    </row>
    <row r="8466" spans="19:20" x14ac:dyDescent="0.25">
      <c r="S8466" s="78">
        <v>35853</v>
      </c>
      <c r="T8466" s="29">
        <v>7.25</v>
      </c>
    </row>
    <row r="8467" spans="19:20" x14ac:dyDescent="0.25">
      <c r="S8467" s="78">
        <v>35854</v>
      </c>
      <c r="T8467" s="29">
        <v>7.25</v>
      </c>
    </row>
    <row r="8468" spans="19:20" x14ac:dyDescent="0.25">
      <c r="S8468" s="78">
        <v>35855</v>
      </c>
      <c r="T8468" s="29">
        <v>7.25</v>
      </c>
    </row>
    <row r="8469" spans="19:20" x14ac:dyDescent="0.25">
      <c r="S8469" s="78">
        <v>35856</v>
      </c>
      <c r="T8469" s="29">
        <v>7.25</v>
      </c>
    </row>
    <row r="8470" spans="19:20" x14ac:dyDescent="0.25">
      <c r="S8470" s="78">
        <v>35857</v>
      </c>
      <c r="T8470" s="29">
        <v>7.25</v>
      </c>
    </row>
    <row r="8471" spans="19:20" x14ac:dyDescent="0.25">
      <c r="S8471" s="78">
        <v>35858</v>
      </c>
      <c r="T8471" s="29">
        <v>7.25</v>
      </c>
    </row>
    <row r="8472" spans="19:20" x14ac:dyDescent="0.25">
      <c r="S8472" s="78">
        <v>35859</v>
      </c>
      <c r="T8472" s="29">
        <v>7.25</v>
      </c>
    </row>
    <row r="8473" spans="19:20" x14ac:dyDescent="0.25">
      <c r="S8473" s="78">
        <v>35860</v>
      </c>
      <c r="T8473" s="29">
        <v>7.25</v>
      </c>
    </row>
    <row r="8474" spans="19:20" x14ac:dyDescent="0.25">
      <c r="S8474" s="78">
        <v>35861</v>
      </c>
      <c r="T8474" s="29">
        <v>7.25</v>
      </c>
    </row>
    <row r="8475" spans="19:20" x14ac:dyDescent="0.25">
      <c r="S8475" s="78">
        <v>35862</v>
      </c>
      <c r="T8475" s="29">
        <v>7.25</v>
      </c>
    </row>
    <row r="8476" spans="19:20" x14ac:dyDescent="0.25">
      <c r="S8476" s="78">
        <v>35863</v>
      </c>
      <c r="T8476" s="29">
        <v>7.25</v>
      </c>
    </row>
    <row r="8477" spans="19:20" x14ac:dyDescent="0.25">
      <c r="S8477" s="78">
        <v>35864</v>
      </c>
      <c r="T8477" s="29">
        <v>7.25</v>
      </c>
    </row>
    <row r="8478" spans="19:20" x14ac:dyDescent="0.25">
      <c r="S8478" s="78">
        <v>35865</v>
      </c>
      <c r="T8478" s="29">
        <v>7.25</v>
      </c>
    </row>
    <row r="8479" spans="19:20" x14ac:dyDescent="0.25">
      <c r="S8479" s="78">
        <v>35866</v>
      </c>
      <c r="T8479" s="29">
        <v>7.25</v>
      </c>
    </row>
    <row r="8480" spans="19:20" x14ac:dyDescent="0.25">
      <c r="S8480" s="78">
        <v>35867</v>
      </c>
      <c r="T8480" s="29">
        <v>7.25</v>
      </c>
    </row>
    <row r="8481" spans="19:20" x14ac:dyDescent="0.25">
      <c r="S8481" s="78">
        <v>35868</v>
      </c>
      <c r="T8481" s="29">
        <v>7.25</v>
      </c>
    </row>
    <row r="8482" spans="19:20" x14ac:dyDescent="0.25">
      <c r="S8482" s="78">
        <v>35869</v>
      </c>
      <c r="T8482" s="29">
        <v>7.25</v>
      </c>
    </row>
    <row r="8483" spans="19:20" x14ac:dyDescent="0.25">
      <c r="S8483" s="78">
        <v>35870</v>
      </c>
      <c r="T8483" s="29">
        <v>7.25</v>
      </c>
    </row>
    <row r="8484" spans="19:20" x14ac:dyDescent="0.25">
      <c r="S8484" s="78">
        <v>35871</v>
      </c>
      <c r="T8484" s="29">
        <v>7.25</v>
      </c>
    </row>
    <row r="8485" spans="19:20" x14ac:dyDescent="0.25">
      <c r="S8485" s="78">
        <v>35872</v>
      </c>
      <c r="T8485" s="29">
        <v>7.25</v>
      </c>
    </row>
    <row r="8486" spans="19:20" x14ac:dyDescent="0.25">
      <c r="S8486" s="78">
        <v>35873</v>
      </c>
      <c r="T8486" s="29">
        <v>7.25</v>
      </c>
    </row>
    <row r="8487" spans="19:20" x14ac:dyDescent="0.25">
      <c r="S8487" s="78">
        <v>35874</v>
      </c>
      <c r="T8487" s="29">
        <v>7.25</v>
      </c>
    </row>
    <row r="8488" spans="19:20" x14ac:dyDescent="0.25">
      <c r="S8488" s="78">
        <v>35875</v>
      </c>
      <c r="T8488" s="29">
        <v>7.25</v>
      </c>
    </row>
    <row r="8489" spans="19:20" x14ac:dyDescent="0.25">
      <c r="S8489" s="78">
        <v>35876</v>
      </c>
      <c r="T8489" s="29">
        <v>7.25</v>
      </c>
    </row>
    <row r="8490" spans="19:20" x14ac:dyDescent="0.25">
      <c r="S8490" s="78">
        <v>35877</v>
      </c>
      <c r="T8490" s="29">
        <v>7.25</v>
      </c>
    </row>
    <row r="8491" spans="19:20" x14ac:dyDescent="0.25">
      <c r="S8491" s="78">
        <v>35878</v>
      </c>
      <c r="T8491" s="29">
        <v>7.25</v>
      </c>
    </row>
    <row r="8492" spans="19:20" x14ac:dyDescent="0.25">
      <c r="S8492" s="78">
        <v>35879</v>
      </c>
      <c r="T8492" s="29">
        <v>7.25</v>
      </c>
    </row>
    <row r="8493" spans="19:20" x14ac:dyDescent="0.25">
      <c r="S8493" s="78">
        <v>35880</v>
      </c>
      <c r="T8493" s="29">
        <v>7.25</v>
      </c>
    </row>
    <row r="8494" spans="19:20" x14ac:dyDescent="0.25">
      <c r="S8494" s="78">
        <v>35881</v>
      </c>
      <c r="T8494" s="29">
        <v>7.25</v>
      </c>
    </row>
    <row r="8495" spans="19:20" x14ac:dyDescent="0.25">
      <c r="S8495" s="78">
        <v>35882</v>
      </c>
      <c r="T8495" s="29">
        <v>7.25</v>
      </c>
    </row>
    <row r="8496" spans="19:20" x14ac:dyDescent="0.25">
      <c r="S8496" s="78">
        <v>35883</v>
      </c>
      <c r="T8496" s="29">
        <v>7.25</v>
      </c>
    </row>
    <row r="8497" spans="19:21" x14ac:dyDescent="0.25">
      <c r="S8497" s="78">
        <v>35884</v>
      </c>
      <c r="T8497" s="29">
        <v>7.25</v>
      </c>
    </row>
    <row r="8498" spans="19:21" x14ac:dyDescent="0.25">
      <c r="S8498" s="78">
        <v>35885</v>
      </c>
      <c r="T8498" s="29">
        <v>7.25</v>
      </c>
      <c r="U8498" s="39">
        <f>AVERAGE(T8409:T8498)</f>
        <v>7.25</v>
      </c>
    </row>
    <row r="8499" spans="19:21" x14ac:dyDescent="0.25">
      <c r="S8499" s="78">
        <v>35886</v>
      </c>
      <c r="T8499" s="29">
        <v>7.25</v>
      </c>
    </row>
    <row r="8500" spans="19:21" x14ac:dyDescent="0.25">
      <c r="S8500" s="78">
        <v>35887</v>
      </c>
      <c r="T8500" s="29">
        <v>7.25</v>
      </c>
    </row>
    <row r="8501" spans="19:21" x14ac:dyDescent="0.25">
      <c r="S8501" s="78">
        <v>35888</v>
      </c>
      <c r="T8501" s="29">
        <v>7.25</v>
      </c>
    </row>
    <row r="8502" spans="19:21" x14ac:dyDescent="0.25">
      <c r="S8502" s="78">
        <v>35889</v>
      </c>
      <c r="T8502" s="29">
        <v>7.25</v>
      </c>
    </row>
    <row r="8503" spans="19:21" x14ac:dyDescent="0.25">
      <c r="S8503" s="78">
        <v>35890</v>
      </c>
      <c r="T8503" s="29">
        <v>7.25</v>
      </c>
    </row>
    <row r="8504" spans="19:21" x14ac:dyDescent="0.25">
      <c r="S8504" s="78">
        <v>35891</v>
      </c>
      <c r="T8504" s="29">
        <v>7.25</v>
      </c>
    </row>
    <row r="8505" spans="19:21" x14ac:dyDescent="0.25">
      <c r="S8505" s="78">
        <v>35892</v>
      </c>
      <c r="T8505" s="29">
        <v>7.25</v>
      </c>
    </row>
    <row r="8506" spans="19:21" x14ac:dyDescent="0.25">
      <c r="S8506" s="78">
        <v>35893</v>
      </c>
      <c r="T8506" s="29">
        <v>7.25</v>
      </c>
    </row>
    <row r="8507" spans="19:21" x14ac:dyDescent="0.25">
      <c r="S8507" s="78">
        <v>35894</v>
      </c>
      <c r="T8507" s="29">
        <v>7.25</v>
      </c>
    </row>
    <row r="8508" spans="19:21" x14ac:dyDescent="0.25">
      <c r="S8508" s="78">
        <v>35895</v>
      </c>
      <c r="T8508" s="29">
        <v>7.25</v>
      </c>
    </row>
    <row r="8509" spans="19:21" x14ac:dyDescent="0.25">
      <c r="S8509" s="78">
        <v>35896</v>
      </c>
      <c r="T8509" s="29">
        <v>7.25</v>
      </c>
    </row>
    <row r="8510" spans="19:21" x14ac:dyDescent="0.25">
      <c r="S8510" s="78">
        <v>35897</v>
      </c>
      <c r="T8510" s="29">
        <v>7.25</v>
      </c>
    </row>
    <row r="8511" spans="19:21" x14ac:dyDescent="0.25">
      <c r="S8511" s="78">
        <v>35898</v>
      </c>
      <c r="T8511" s="29">
        <v>7.25</v>
      </c>
    </row>
    <row r="8512" spans="19:21" x14ac:dyDescent="0.25">
      <c r="S8512" s="78">
        <v>35899</v>
      </c>
      <c r="T8512" s="29">
        <v>7.25</v>
      </c>
    </row>
    <row r="8513" spans="19:20" x14ac:dyDescent="0.25">
      <c r="S8513" s="78">
        <v>35900</v>
      </c>
      <c r="T8513" s="29">
        <v>7.25</v>
      </c>
    </row>
    <row r="8514" spans="19:20" x14ac:dyDescent="0.25">
      <c r="S8514" s="78">
        <v>35901</v>
      </c>
      <c r="T8514" s="29">
        <v>7.25</v>
      </c>
    </row>
    <row r="8515" spans="19:20" x14ac:dyDescent="0.25">
      <c r="S8515" s="78">
        <v>35902</v>
      </c>
      <c r="T8515" s="29">
        <v>7.25</v>
      </c>
    </row>
    <row r="8516" spans="19:20" x14ac:dyDescent="0.25">
      <c r="S8516" s="78">
        <v>35903</v>
      </c>
      <c r="T8516" s="29">
        <v>7.25</v>
      </c>
    </row>
    <row r="8517" spans="19:20" x14ac:dyDescent="0.25">
      <c r="S8517" s="78">
        <v>35904</v>
      </c>
      <c r="T8517" s="29">
        <v>7.25</v>
      </c>
    </row>
    <row r="8518" spans="19:20" x14ac:dyDescent="0.25">
      <c r="S8518" s="78">
        <v>35905</v>
      </c>
      <c r="T8518" s="29">
        <v>7.25</v>
      </c>
    </row>
    <row r="8519" spans="19:20" x14ac:dyDescent="0.25">
      <c r="S8519" s="78">
        <v>35906</v>
      </c>
      <c r="T8519" s="29">
        <v>7.25</v>
      </c>
    </row>
    <row r="8520" spans="19:20" x14ac:dyDescent="0.25">
      <c r="S8520" s="78">
        <v>35907</v>
      </c>
      <c r="T8520" s="29">
        <v>7.25</v>
      </c>
    </row>
    <row r="8521" spans="19:20" x14ac:dyDescent="0.25">
      <c r="S8521" s="78">
        <v>35908</v>
      </c>
      <c r="T8521" s="29">
        <v>7.25</v>
      </c>
    </row>
    <row r="8522" spans="19:20" x14ac:dyDescent="0.25">
      <c r="S8522" s="78">
        <v>35909</v>
      </c>
      <c r="T8522" s="29">
        <v>7.25</v>
      </c>
    </row>
    <row r="8523" spans="19:20" x14ac:dyDescent="0.25">
      <c r="S8523" s="78">
        <v>35910</v>
      </c>
      <c r="T8523" s="29">
        <v>7.25</v>
      </c>
    </row>
    <row r="8524" spans="19:20" x14ac:dyDescent="0.25">
      <c r="S8524" s="78">
        <v>35911</v>
      </c>
      <c r="T8524" s="29">
        <v>7.25</v>
      </c>
    </row>
    <row r="8525" spans="19:20" x14ac:dyDescent="0.25">
      <c r="S8525" s="78">
        <v>35912</v>
      </c>
      <c r="T8525" s="29">
        <v>7.25</v>
      </c>
    </row>
    <row r="8526" spans="19:20" x14ac:dyDescent="0.25">
      <c r="S8526" s="78">
        <v>35913</v>
      </c>
      <c r="T8526" s="29">
        <v>7.25</v>
      </c>
    </row>
    <row r="8527" spans="19:20" x14ac:dyDescent="0.25">
      <c r="S8527" s="78">
        <v>35914</v>
      </c>
      <c r="T8527" s="29">
        <v>7.25</v>
      </c>
    </row>
    <row r="8528" spans="19:20" x14ac:dyDescent="0.25">
      <c r="S8528" s="78">
        <v>35915</v>
      </c>
      <c r="T8528" s="29">
        <v>7.25</v>
      </c>
    </row>
    <row r="8529" spans="19:20" x14ac:dyDescent="0.25">
      <c r="S8529" s="78">
        <v>35916</v>
      </c>
      <c r="T8529" s="29">
        <v>7.25</v>
      </c>
    </row>
    <row r="8530" spans="19:20" x14ac:dyDescent="0.25">
      <c r="S8530" s="78">
        <v>35917</v>
      </c>
      <c r="T8530" s="29">
        <v>7.25</v>
      </c>
    </row>
    <row r="8531" spans="19:20" x14ac:dyDescent="0.25">
      <c r="S8531" s="78">
        <v>35918</v>
      </c>
      <c r="T8531" s="29">
        <v>7.25</v>
      </c>
    </row>
    <row r="8532" spans="19:20" x14ac:dyDescent="0.25">
      <c r="S8532" s="78">
        <v>35919</v>
      </c>
      <c r="T8532" s="29">
        <v>7.25</v>
      </c>
    </row>
    <row r="8533" spans="19:20" x14ac:dyDescent="0.25">
      <c r="S8533" s="78">
        <v>35920</v>
      </c>
      <c r="T8533" s="29">
        <v>7.25</v>
      </c>
    </row>
    <row r="8534" spans="19:20" x14ac:dyDescent="0.25">
      <c r="S8534" s="78">
        <v>35921</v>
      </c>
      <c r="T8534" s="29">
        <v>7.25</v>
      </c>
    </row>
    <row r="8535" spans="19:20" x14ac:dyDescent="0.25">
      <c r="S8535" s="78">
        <v>35922</v>
      </c>
      <c r="T8535" s="29">
        <v>7.25</v>
      </c>
    </row>
    <row r="8536" spans="19:20" x14ac:dyDescent="0.25">
      <c r="S8536" s="78">
        <v>35923</v>
      </c>
      <c r="T8536" s="29">
        <v>7.25</v>
      </c>
    </row>
    <row r="8537" spans="19:20" x14ac:dyDescent="0.25">
      <c r="S8537" s="78">
        <v>35924</v>
      </c>
      <c r="T8537" s="29">
        <v>7.25</v>
      </c>
    </row>
    <row r="8538" spans="19:20" x14ac:dyDescent="0.25">
      <c r="S8538" s="78">
        <v>35925</v>
      </c>
      <c r="T8538" s="29">
        <v>7.25</v>
      </c>
    </row>
    <row r="8539" spans="19:20" x14ac:dyDescent="0.25">
      <c r="S8539" s="78">
        <v>35926</v>
      </c>
      <c r="T8539" s="29">
        <v>7.25</v>
      </c>
    </row>
    <row r="8540" spans="19:20" x14ac:dyDescent="0.25">
      <c r="S8540" s="78">
        <v>35927</v>
      </c>
      <c r="T8540" s="29">
        <v>7.25</v>
      </c>
    </row>
    <row r="8541" spans="19:20" x14ac:dyDescent="0.25">
      <c r="S8541" s="78">
        <v>35928</v>
      </c>
      <c r="T8541" s="29">
        <v>7.25</v>
      </c>
    </row>
    <row r="8542" spans="19:20" x14ac:dyDescent="0.25">
      <c r="S8542" s="78">
        <v>35929</v>
      </c>
      <c r="T8542" s="29">
        <v>7.25</v>
      </c>
    </row>
    <row r="8543" spans="19:20" x14ac:dyDescent="0.25">
      <c r="S8543" s="78">
        <v>35930</v>
      </c>
      <c r="T8543" s="29">
        <v>7.25</v>
      </c>
    </row>
    <row r="8544" spans="19:20" x14ac:dyDescent="0.25">
      <c r="S8544" s="78">
        <v>35931</v>
      </c>
      <c r="T8544" s="29">
        <v>7.25</v>
      </c>
    </row>
    <row r="8545" spans="19:20" x14ac:dyDescent="0.25">
      <c r="S8545" s="78">
        <v>35932</v>
      </c>
      <c r="T8545" s="29">
        <v>7.25</v>
      </c>
    </row>
    <row r="8546" spans="19:20" x14ac:dyDescent="0.25">
      <c r="S8546" s="78">
        <v>35933</v>
      </c>
      <c r="T8546" s="29">
        <v>7.25</v>
      </c>
    </row>
    <row r="8547" spans="19:20" x14ac:dyDescent="0.25">
      <c r="S8547" s="78">
        <v>35934</v>
      </c>
      <c r="T8547" s="29">
        <v>7.25</v>
      </c>
    </row>
    <row r="8548" spans="19:20" x14ac:dyDescent="0.25">
      <c r="S8548" s="78">
        <v>35935</v>
      </c>
      <c r="T8548" s="29">
        <v>7.25</v>
      </c>
    </row>
    <row r="8549" spans="19:20" x14ac:dyDescent="0.25">
      <c r="S8549" s="78">
        <v>35936</v>
      </c>
      <c r="T8549" s="29">
        <v>7.25</v>
      </c>
    </row>
    <row r="8550" spans="19:20" x14ac:dyDescent="0.25">
      <c r="S8550" s="78">
        <v>35937</v>
      </c>
      <c r="T8550" s="29">
        <v>7.25</v>
      </c>
    </row>
    <row r="8551" spans="19:20" x14ac:dyDescent="0.25">
      <c r="S8551" s="78">
        <v>35938</v>
      </c>
      <c r="T8551" s="29">
        <v>7.25</v>
      </c>
    </row>
    <row r="8552" spans="19:20" x14ac:dyDescent="0.25">
      <c r="S8552" s="78">
        <v>35939</v>
      </c>
      <c r="T8552" s="29">
        <v>7.25</v>
      </c>
    </row>
    <row r="8553" spans="19:20" x14ac:dyDescent="0.25">
      <c r="S8553" s="78">
        <v>35940</v>
      </c>
      <c r="T8553" s="29">
        <v>7.25</v>
      </c>
    </row>
    <row r="8554" spans="19:20" x14ac:dyDescent="0.25">
      <c r="S8554" s="78">
        <v>35941</v>
      </c>
      <c r="T8554" s="29">
        <v>7.25</v>
      </c>
    </row>
    <row r="8555" spans="19:20" x14ac:dyDescent="0.25">
      <c r="S8555" s="78">
        <v>35942</v>
      </c>
      <c r="T8555" s="29">
        <v>7.25</v>
      </c>
    </row>
    <row r="8556" spans="19:20" x14ac:dyDescent="0.25">
      <c r="S8556" s="78">
        <v>35943</v>
      </c>
      <c r="T8556" s="29">
        <v>7.25</v>
      </c>
    </row>
    <row r="8557" spans="19:20" x14ac:dyDescent="0.25">
      <c r="S8557" s="78">
        <v>35944</v>
      </c>
      <c r="T8557" s="29">
        <v>7.25</v>
      </c>
    </row>
    <row r="8558" spans="19:20" x14ac:dyDescent="0.25">
      <c r="S8558" s="78">
        <v>35945</v>
      </c>
      <c r="T8558" s="29">
        <v>7.25</v>
      </c>
    </row>
    <row r="8559" spans="19:20" x14ac:dyDescent="0.25">
      <c r="S8559" s="78">
        <v>35946</v>
      </c>
      <c r="T8559" s="29">
        <v>7.25</v>
      </c>
    </row>
    <row r="8560" spans="19:20" x14ac:dyDescent="0.25">
      <c r="S8560" s="78">
        <v>35947</v>
      </c>
      <c r="T8560" s="29">
        <v>7.25</v>
      </c>
    </row>
    <row r="8561" spans="19:20" x14ac:dyDescent="0.25">
      <c r="S8561" s="78">
        <v>35948</v>
      </c>
      <c r="T8561" s="29">
        <v>7.25</v>
      </c>
    </row>
    <row r="8562" spans="19:20" x14ac:dyDescent="0.25">
      <c r="S8562" s="78">
        <v>35949</v>
      </c>
      <c r="T8562" s="29">
        <v>7.25</v>
      </c>
    </row>
    <row r="8563" spans="19:20" x14ac:dyDescent="0.25">
      <c r="S8563" s="78">
        <v>35950</v>
      </c>
      <c r="T8563" s="29">
        <v>7.5</v>
      </c>
    </row>
    <row r="8564" spans="19:20" x14ac:dyDescent="0.25">
      <c r="S8564" s="78">
        <v>35951</v>
      </c>
      <c r="T8564" s="29">
        <v>7.5</v>
      </c>
    </row>
    <row r="8565" spans="19:20" x14ac:dyDescent="0.25">
      <c r="S8565" s="78">
        <v>35952</v>
      </c>
      <c r="T8565" s="29">
        <v>7.5</v>
      </c>
    </row>
    <row r="8566" spans="19:20" x14ac:dyDescent="0.25">
      <c r="S8566" s="78">
        <v>35953</v>
      </c>
      <c r="T8566" s="29">
        <v>7.5</v>
      </c>
    </row>
    <row r="8567" spans="19:20" x14ac:dyDescent="0.25">
      <c r="S8567" s="78">
        <v>35954</v>
      </c>
      <c r="T8567" s="29">
        <v>7.5</v>
      </c>
    </row>
    <row r="8568" spans="19:20" x14ac:dyDescent="0.25">
      <c r="S8568" s="78">
        <v>35955</v>
      </c>
      <c r="T8568" s="29">
        <v>7.5</v>
      </c>
    </row>
    <row r="8569" spans="19:20" x14ac:dyDescent="0.25">
      <c r="S8569" s="78">
        <v>35956</v>
      </c>
      <c r="T8569" s="29">
        <v>7.5</v>
      </c>
    </row>
    <row r="8570" spans="19:20" x14ac:dyDescent="0.25">
      <c r="S8570" s="78">
        <v>35957</v>
      </c>
      <c r="T8570" s="29">
        <v>7.5</v>
      </c>
    </row>
    <row r="8571" spans="19:20" x14ac:dyDescent="0.25">
      <c r="S8571" s="78">
        <v>35958</v>
      </c>
      <c r="T8571" s="29">
        <v>7.5</v>
      </c>
    </row>
    <row r="8572" spans="19:20" x14ac:dyDescent="0.25">
      <c r="S8572" s="78">
        <v>35959</v>
      </c>
      <c r="T8572" s="29">
        <v>7.5</v>
      </c>
    </row>
    <row r="8573" spans="19:20" x14ac:dyDescent="0.25">
      <c r="S8573" s="78">
        <v>35960</v>
      </c>
      <c r="T8573" s="29">
        <v>7.5</v>
      </c>
    </row>
    <row r="8574" spans="19:20" x14ac:dyDescent="0.25">
      <c r="S8574" s="78">
        <v>35961</v>
      </c>
      <c r="T8574" s="29">
        <v>7.5</v>
      </c>
    </row>
    <row r="8575" spans="19:20" x14ac:dyDescent="0.25">
      <c r="S8575" s="78">
        <v>35962</v>
      </c>
      <c r="T8575" s="29">
        <v>7.5</v>
      </c>
    </row>
    <row r="8576" spans="19:20" x14ac:dyDescent="0.25">
      <c r="S8576" s="78">
        <v>35963</v>
      </c>
      <c r="T8576" s="29">
        <v>7.5</v>
      </c>
    </row>
    <row r="8577" spans="19:21" x14ac:dyDescent="0.25">
      <c r="S8577" s="78">
        <v>35964</v>
      </c>
      <c r="T8577" s="29">
        <v>7.5</v>
      </c>
    </row>
    <row r="8578" spans="19:21" x14ac:dyDescent="0.25">
      <c r="S8578" s="78">
        <v>35965</v>
      </c>
      <c r="T8578" s="29">
        <v>7.5</v>
      </c>
    </row>
    <row r="8579" spans="19:21" x14ac:dyDescent="0.25">
      <c r="S8579" s="78">
        <v>35966</v>
      </c>
      <c r="T8579" s="29">
        <v>7.5</v>
      </c>
    </row>
    <row r="8580" spans="19:21" x14ac:dyDescent="0.25">
      <c r="S8580" s="78">
        <v>35967</v>
      </c>
      <c r="T8580" s="29">
        <v>7.5</v>
      </c>
    </row>
    <row r="8581" spans="19:21" x14ac:dyDescent="0.25">
      <c r="S8581" s="78">
        <v>35968</v>
      </c>
      <c r="T8581" s="29">
        <v>7.5</v>
      </c>
    </row>
    <row r="8582" spans="19:21" x14ac:dyDescent="0.25">
      <c r="S8582" s="78">
        <v>35969</v>
      </c>
      <c r="T8582" s="29">
        <v>7.5</v>
      </c>
    </row>
    <row r="8583" spans="19:21" x14ac:dyDescent="0.25">
      <c r="S8583" s="78">
        <v>35970</v>
      </c>
      <c r="T8583" s="29">
        <v>7.5</v>
      </c>
    </row>
    <row r="8584" spans="19:21" x14ac:dyDescent="0.25">
      <c r="S8584" s="78">
        <v>35971</v>
      </c>
      <c r="T8584" s="29">
        <v>7.5</v>
      </c>
    </row>
    <row r="8585" spans="19:21" x14ac:dyDescent="0.25">
      <c r="S8585" s="78">
        <v>35972</v>
      </c>
      <c r="T8585" s="29">
        <v>7.5</v>
      </c>
    </row>
    <row r="8586" spans="19:21" x14ac:dyDescent="0.25">
      <c r="S8586" s="78">
        <v>35973</v>
      </c>
      <c r="T8586" s="29">
        <v>7.5</v>
      </c>
    </row>
    <row r="8587" spans="19:21" x14ac:dyDescent="0.25">
      <c r="S8587" s="78">
        <v>35974</v>
      </c>
      <c r="T8587" s="29">
        <v>7.5</v>
      </c>
    </row>
    <row r="8588" spans="19:21" x14ac:dyDescent="0.25">
      <c r="S8588" s="78">
        <v>35975</v>
      </c>
      <c r="T8588" s="29">
        <v>7.5</v>
      </c>
    </row>
    <row r="8589" spans="19:21" x14ac:dyDescent="0.25">
      <c r="S8589" s="78">
        <v>35976</v>
      </c>
      <c r="T8589" s="29">
        <v>7.5</v>
      </c>
      <c r="U8589" s="40">
        <f>AVERAGE(T8499:T8589)</f>
        <v>7.3241758241758239</v>
      </c>
    </row>
    <row r="8590" spans="19:21" x14ac:dyDescent="0.25">
      <c r="S8590" s="78">
        <v>35977</v>
      </c>
      <c r="T8590" s="29">
        <v>7.5</v>
      </c>
    </row>
    <row r="8591" spans="19:21" x14ac:dyDescent="0.25">
      <c r="S8591" s="78">
        <v>35978</v>
      </c>
      <c r="T8591" s="29">
        <v>7.5</v>
      </c>
    </row>
    <row r="8592" spans="19:21" x14ac:dyDescent="0.25">
      <c r="S8592" s="78">
        <v>35979</v>
      </c>
      <c r="T8592" s="29">
        <v>7.5</v>
      </c>
    </row>
    <row r="8593" spans="19:20" x14ac:dyDescent="0.25">
      <c r="S8593" s="78">
        <v>35980</v>
      </c>
      <c r="T8593" s="29">
        <v>7.5</v>
      </c>
    </row>
    <row r="8594" spans="19:20" x14ac:dyDescent="0.25">
      <c r="S8594" s="78">
        <v>35981</v>
      </c>
      <c r="T8594" s="29">
        <v>7.5</v>
      </c>
    </row>
    <row r="8595" spans="19:20" x14ac:dyDescent="0.25">
      <c r="S8595" s="78">
        <v>35982</v>
      </c>
      <c r="T8595" s="29">
        <v>7.5</v>
      </c>
    </row>
    <row r="8596" spans="19:20" x14ac:dyDescent="0.25">
      <c r="S8596" s="78">
        <v>35983</v>
      </c>
      <c r="T8596" s="29">
        <v>7.5</v>
      </c>
    </row>
    <row r="8597" spans="19:20" x14ac:dyDescent="0.25">
      <c r="S8597" s="78">
        <v>35984</v>
      </c>
      <c r="T8597" s="29">
        <v>7.5</v>
      </c>
    </row>
    <row r="8598" spans="19:20" x14ac:dyDescent="0.25">
      <c r="S8598" s="78">
        <v>35985</v>
      </c>
      <c r="T8598" s="29">
        <v>7.5</v>
      </c>
    </row>
    <row r="8599" spans="19:20" x14ac:dyDescent="0.25">
      <c r="S8599" s="78">
        <v>35986</v>
      </c>
      <c r="T8599" s="29">
        <v>7.5</v>
      </c>
    </row>
    <row r="8600" spans="19:20" x14ac:dyDescent="0.25">
      <c r="S8600" s="78">
        <v>35987</v>
      </c>
      <c r="T8600" s="29">
        <v>7.5</v>
      </c>
    </row>
    <row r="8601" spans="19:20" x14ac:dyDescent="0.25">
      <c r="S8601" s="78">
        <v>35988</v>
      </c>
      <c r="T8601" s="29">
        <v>7.5</v>
      </c>
    </row>
    <row r="8602" spans="19:20" x14ac:dyDescent="0.25">
      <c r="S8602" s="78">
        <v>35989</v>
      </c>
      <c r="T8602" s="29">
        <v>7.5</v>
      </c>
    </row>
    <row r="8603" spans="19:20" x14ac:dyDescent="0.25">
      <c r="S8603" s="78">
        <v>35990</v>
      </c>
      <c r="T8603" s="29">
        <v>7.5</v>
      </c>
    </row>
    <row r="8604" spans="19:20" x14ac:dyDescent="0.25">
      <c r="S8604" s="78">
        <v>35991</v>
      </c>
      <c r="T8604" s="29">
        <v>7.5</v>
      </c>
    </row>
    <row r="8605" spans="19:20" x14ac:dyDescent="0.25">
      <c r="S8605" s="78">
        <v>35992</v>
      </c>
      <c r="T8605" s="29">
        <v>7.5</v>
      </c>
    </row>
    <row r="8606" spans="19:20" x14ac:dyDescent="0.25">
      <c r="S8606" s="78">
        <v>35993</v>
      </c>
      <c r="T8606" s="29">
        <v>7.5</v>
      </c>
    </row>
    <row r="8607" spans="19:20" x14ac:dyDescent="0.25">
      <c r="S8607" s="78">
        <v>35994</v>
      </c>
      <c r="T8607" s="29">
        <v>7.5</v>
      </c>
    </row>
    <row r="8608" spans="19:20" x14ac:dyDescent="0.25">
      <c r="S8608" s="78">
        <v>35995</v>
      </c>
      <c r="T8608" s="29">
        <v>7.5</v>
      </c>
    </row>
    <row r="8609" spans="19:20" x14ac:dyDescent="0.25">
      <c r="S8609" s="78">
        <v>35996</v>
      </c>
      <c r="T8609" s="29">
        <v>7.5</v>
      </c>
    </row>
    <row r="8610" spans="19:20" x14ac:dyDescent="0.25">
      <c r="S8610" s="78">
        <v>35997</v>
      </c>
      <c r="T8610" s="29">
        <v>7.5</v>
      </c>
    </row>
    <row r="8611" spans="19:20" x14ac:dyDescent="0.25">
      <c r="S8611" s="78">
        <v>35998</v>
      </c>
      <c r="T8611" s="29">
        <v>7.5</v>
      </c>
    </row>
    <row r="8612" spans="19:20" x14ac:dyDescent="0.25">
      <c r="S8612" s="78">
        <v>35999</v>
      </c>
      <c r="T8612" s="29">
        <v>7.5</v>
      </c>
    </row>
    <row r="8613" spans="19:20" x14ac:dyDescent="0.25">
      <c r="S8613" s="78">
        <v>36000</v>
      </c>
      <c r="T8613" s="29">
        <v>7.5</v>
      </c>
    </row>
    <row r="8614" spans="19:20" x14ac:dyDescent="0.25">
      <c r="S8614" s="78">
        <v>36001</v>
      </c>
      <c r="T8614" s="29">
        <v>7.5</v>
      </c>
    </row>
    <row r="8615" spans="19:20" x14ac:dyDescent="0.25">
      <c r="S8615" s="78">
        <v>36002</v>
      </c>
      <c r="T8615" s="29">
        <v>7.5</v>
      </c>
    </row>
    <row r="8616" spans="19:20" x14ac:dyDescent="0.25">
      <c r="S8616" s="78">
        <v>36003</v>
      </c>
      <c r="T8616" s="29">
        <v>7.5</v>
      </c>
    </row>
    <row r="8617" spans="19:20" x14ac:dyDescent="0.25">
      <c r="S8617" s="78">
        <v>36004</v>
      </c>
      <c r="T8617" s="29">
        <v>7.5</v>
      </c>
    </row>
    <row r="8618" spans="19:20" x14ac:dyDescent="0.25">
      <c r="S8618" s="78">
        <v>36005</v>
      </c>
      <c r="T8618" s="29">
        <v>7.5</v>
      </c>
    </row>
    <row r="8619" spans="19:20" x14ac:dyDescent="0.25">
      <c r="S8619" s="78">
        <v>36006</v>
      </c>
      <c r="T8619" s="29">
        <v>7.5</v>
      </c>
    </row>
    <row r="8620" spans="19:20" x14ac:dyDescent="0.25">
      <c r="S8620" s="78">
        <v>36007</v>
      </c>
      <c r="T8620" s="29">
        <v>7.5</v>
      </c>
    </row>
    <row r="8621" spans="19:20" x14ac:dyDescent="0.25">
      <c r="S8621" s="78">
        <v>36008</v>
      </c>
      <c r="T8621" s="29">
        <v>7.5</v>
      </c>
    </row>
    <row r="8622" spans="19:20" x14ac:dyDescent="0.25">
      <c r="S8622" s="78">
        <v>36009</v>
      </c>
      <c r="T8622" s="29">
        <v>7.5</v>
      </c>
    </row>
    <row r="8623" spans="19:20" x14ac:dyDescent="0.25">
      <c r="S8623" s="78">
        <v>36010</v>
      </c>
      <c r="T8623" s="29">
        <v>7.5</v>
      </c>
    </row>
    <row r="8624" spans="19:20" x14ac:dyDescent="0.25">
      <c r="S8624" s="78">
        <v>36011</v>
      </c>
      <c r="T8624" s="29">
        <v>7.5</v>
      </c>
    </row>
    <row r="8625" spans="19:20" x14ac:dyDescent="0.25">
      <c r="S8625" s="78">
        <v>36012</v>
      </c>
      <c r="T8625" s="29">
        <v>7.5</v>
      </c>
    </row>
    <row r="8626" spans="19:20" x14ac:dyDescent="0.25">
      <c r="S8626" s="78">
        <v>36013</v>
      </c>
      <c r="T8626" s="29">
        <v>7.5</v>
      </c>
    </row>
    <row r="8627" spans="19:20" x14ac:dyDescent="0.25">
      <c r="S8627" s="78">
        <v>36014</v>
      </c>
      <c r="T8627" s="29">
        <v>7.5</v>
      </c>
    </row>
    <row r="8628" spans="19:20" x14ac:dyDescent="0.25">
      <c r="S8628" s="78">
        <v>36015</v>
      </c>
      <c r="T8628" s="29">
        <v>7.5</v>
      </c>
    </row>
    <row r="8629" spans="19:20" x14ac:dyDescent="0.25">
      <c r="S8629" s="78">
        <v>36016</v>
      </c>
      <c r="T8629" s="29">
        <v>7.5</v>
      </c>
    </row>
    <row r="8630" spans="19:20" x14ac:dyDescent="0.25">
      <c r="S8630" s="78">
        <v>36017</v>
      </c>
      <c r="T8630" s="29">
        <v>7.5</v>
      </c>
    </row>
    <row r="8631" spans="19:20" x14ac:dyDescent="0.25">
      <c r="S8631" s="78">
        <v>36018</v>
      </c>
      <c r="T8631" s="29">
        <v>7.5</v>
      </c>
    </row>
    <row r="8632" spans="19:20" x14ac:dyDescent="0.25">
      <c r="S8632" s="78">
        <v>36019</v>
      </c>
      <c r="T8632" s="29">
        <v>7.5</v>
      </c>
    </row>
    <row r="8633" spans="19:20" x14ac:dyDescent="0.25">
      <c r="S8633" s="78">
        <v>36020</v>
      </c>
      <c r="T8633" s="29">
        <v>7.5</v>
      </c>
    </row>
    <row r="8634" spans="19:20" x14ac:dyDescent="0.25">
      <c r="S8634" s="78">
        <v>36021</v>
      </c>
      <c r="T8634" s="29">
        <v>7.5</v>
      </c>
    </row>
    <row r="8635" spans="19:20" x14ac:dyDescent="0.25">
      <c r="S8635" s="78">
        <v>36022</v>
      </c>
      <c r="T8635" s="29">
        <v>7.5</v>
      </c>
    </row>
    <row r="8636" spans="19:20" x14ac:dyDescent="0.25">
      <c r="S8636" s="78">
        <v>36023</v>
      </c>
      <c r="T8636" s="29">
        <v>7.5</v>
      </c>
    </row>
    <row r="8637" spans="19:20" x14ac:dyDescent="0.25">
      <c r="S8637" s="78">
        <v>36024</v>
      </c>
      <c r="T8637" s="29">
        <v>7.5</v>
      </c>
    </row>
    <row r="8638" spans="19:20" x14ac:dyDescent="0.25">
      <c r="S8638" s="78">
        <v>36025</v>
      </c>
      <c r="T8638" s="29">
        <v>7.5</v>
      </c>
    </row>
    <row r="8639" spans="19:20" x14ac:dyDescent="0.25">
      <c r="S8639" s="78">
        <v>36026</v>
      </c>
      <c r="T8639" s="29">
        <v>7.5</v>
      </c>
    </row>
    <row r="8640" spans="19:20" x14ac:dyDescent="0.25">
      <c r="S8640" s="78">
        <v>36027</v>
      </c>
      <c r="T8640" s="29">
        <v>7.5</v>
      </c>
    </row>
    <row r="8641" spans="19:20" x14ac:dyDescent="0.25">
      <c r="S8641" s="78">
        <v>36028</v>
      </c>
      <c r="T8641" s="29">
        <v>7.5</v>
      </c>
    </row>
    <row r="8642" spans="19:20" x14ac:dyDescent="0.25">
      <c r="S8642" s="78">
        <v>36029</v>
      </c>
      <c r="T8642" s="29">
        <v>7.5</v>
      </c>
    </row>
    <row r="8643" spans="19:20" x14ac:dyDescent="0.25">
      <c r="S8643" s="78">
        <v>36030</v>
      </c>
      <c r="T8643" s="29">
        <v>7.5</v>
      </c>
    </row>
    <row r="8644" spans="19:20" x14ac:dyDescent="0.25">
      <c r="S8644" s="78">
        <v>36031</v>
      </c>
      <c r="T8644" s="29">
        <v>7.5</v>
      </c>
    </row>
    <row r="8645" spans="19:20" x14ac:dyDescent="0.25">
      <c r="S8645" s="78">
        <v>36032</v>
      </c>
      <c r="T8645" s="29">
        <v>7.5</v>
      </c>
    </row>
    <row r="8646" spans="19:20" x14ac:dyDescent="0.25">
      <c r="S8646" s="78">
        <v>36033</v>
      </c>
      <c r="T8646" s="29">
        <v>7.5</v>
      </c>
    </row>
    <row r="8647" spans="19:20" x14ac:dyDescent="0.25">
      <c r="S8647" s="78">
        <v>36034</v>
      </c>
      <c r="T8647" s="29">
        <v>7.5</v>
      </c>
    </row>
    <row r="8648" spans="19:20" x14ac:dyDescent="0.25">
      <c r="S8648" s="78">
        <v>36035</v>
      </c>
      <c r="T8648" s="29">
        <v>7.5</v>
      </c>
    </row>
    <row r="8649" spans="19:20" x14ac:dyDescent="0.25">
      <c r="S8649" s="78">
        <v>36036</v>
      </c>
      <c r="T8649" s="29">
        <v>7.5</v>
      </c>
    </row>
    <row r="8650" spans="19:20" x14ac:dyDescent="0.25">
      <c r="S8650" s="78">
        <v>36037</v>
      </c>
      <c r="T8650" s="29">
        <v>7.5</v>
      </c>
    </row>
    <row r="8651" spans="19:20" x14ac:dyDescent="0.25">
      <c r="S8651" s="78">
        <v>36038</v>
      </c>
      <c r="T8651" s="29">
        <v>7.5</v>
      </c>
    </row>
    <row r="8652" spans="19:20" x14ac:dyDescent="0.25">
      <c r="S8652" s="78">
        <v>36039</v>
      </c>
      <c r="T8652" s="29">
        <v>7.5</v>
      </c>
    </row>
    <row r="8653" spans="19:20" x14ac:dyDescent="0.25">
      <c r="S8653" s="78">
        <v>36040</v>
      </c>
      <c r="T8653" s="29">
        <v>7.5</v>
      </c>
    </row>
    <row r="8654" spans="19:20" x14ac:dyDescent="0.25">
      <c r="S8654" s="78">
        <v>36041</v>
      </c>
      <c r="T8654" s="29">
        <v>7.5</v>
      </c>
    </row>
    <row r="8655" spans="19:20" x14ac:dyDescent="0.25">
      <c r="S8655" s="78">
        <v>36042</v>
      </c>
      <c r="T8655" s="29">
        <v>7.5</v>
      </c>
    </row>
    <row r="8656" spans="19:20" x14ac:dyDescent="0.25">
      <c r="S8656" s="78">
        <v>36043</v>
      </c>
      <c r="T8656" s="29">
        <v>7.5</v>
      </c>
    </row>
    <row r="8657" spans="19:20" x14ac:dyDescent="0.25">
      <c r="S8657" s="78">
        <v>36044</v>
      </c>
      <c r="T8657" s="29">
        <v>7.5</v>
      </c>
    </row>
    <row r="8658" spans="19:20" x14ac:dyDescent="0.25">
      <c r="S8658" s="78">
        <v>36045</v>
      </c>
      <c r="T8658" s="29">
        <v>7.5</v>
      </c>
    </row>
    <row r="8659" spans="19:20" x14ac:dyDescent="0.25">
      <c r="S8659" s="78">
        <v>36046</v>
      </c>
      <c r="T8659" s="29">
        <v>7.5</v>
      </c>
    </row>
    <row r="8660" spans="19:20" x14ac:dyDescent="0.25">
      <c r="S8660" s="78">
        <v>36047</v>
      </c>
      <c r="T8660" s="29">
        <v>7.5</v>
      </c>
    </row>
    <row r="8661" spans="19:20" x14ac:dyDescent="0.25">
      <c r="S8661" s="78">
        <v>36048</v>
      </c>
      <c r="T8661" s="29">
        <v>7.5</v>
      </c>
    </row>
    <row r="8662" spans="19:20" x14ac:dyDescent="0.25">
      <c r="S8662" s="78">
        <v>36049</v>
      </c>
      <c r="T8662" s="29">
        <v>7.5</v>
      </c>
    </row>
    <row r="8663" spans="19:20" x14ac:dyDescent="0.25">
      <c r="S8663" s="78">
        <v>36050</v>
      </c>
      <c r="T8663" s="29">
        <v>7.5</v>
      </c>
    </row>
    <row r="8664" spans="19:20" x14ac:dyDescent="0.25">
      <c r="S8664" s="78">
        <v>36051</v>
      </c>
      <c r="T8664" s="29">
        <v>7.5</v>
      </c>
    </row>
    <row r="8665" spans="19:20" x14ac:dyDescent="0.25">
      <c r="S8665" s="78">
        <v>36052</v>
      </c>
      <c r="T8665" s="29">
        <v>7.5</v>
      </c>
    </row>
    <row r="8666" spans="19:20" x14ac:dyDescent="0.25">
      <c r="S8666" s="78">
        <v>36053</v>
      </c>
      <c r="T8666" s="29">
        <v>7.5</v>
      </c>
    </row>
    <row r="8667" spans="19:20" x14ac:dyDescent="0.25">
      <c r="S8667" s="78">
        <v>36054</v>
      </c>
      <c r="T8667" s="29">
        <v>7.5</v>
      </c>
    </row>
    <row r="8668" spans="19:20" x14ac:dyDescent="0.25">
      <c r="S8668" s="78">
        <v>36055</v>
      </c>
      <c r="T8668" s="29">
        <v>7.5</v>
      </c>
    </row>
    <row r="8669" spans="19:20" x14ac:dyDescent="0.25">
      <c r="S8669" s="78">
        <v>36056</v>
      </c>
      <c r="T8669" s="29">
        <v>7.5</v>
      </c>
    </row>
    <row r="8670" spans="19:20" x14ac:dyDescent="0.25">
      <c r="S8670" s="78">
        <v>36057</v>
      </c>
      <c r="T8670" s="29">
        <v>7.5</v>
      </c>
    </row>
    <row r="8671" spans="19:20" x14ac:dyDescent="0.25">
      <c r="S8671" s="78">
        <v>36058</v>
      </c>
      <c r="T8671" s="29">
        <v>7.5</v>
      </c>
    </row>
    <row r="8672" spans="19:20" x14ac:dyDescent="0.25">
      <c r="S8672" s="78">
        <v>36059</v>
      </c>
      <c r="T8672" s="29">
        <v>7.5</v>
      </c>
    </row>
    <row r="8673" spans="19:21" x14ac:dyDescent="0.25">
      <c r="S8673" s="78">
        <v>36060</v>
      </c>
      <c r="T8673" s="29">
        <v>7.5</v>
      </c>
    </row>
    <row r="8674" spans="19:21" x14ac:dyDescent="0.25">
      <c r="S8674" s="78">
        <v>36061</v>
      </c>
      <c r="T8674" s="29">
        <v>7.5</v>
      </c>
    </row>
    <row r="8675" spans="19:21" x14ac:dyDescent="0.25">
      <c r="S8675" s="78">
        <v>36062</v>
      </c>
      <c r="T8675" s="29">
        <v>7.5</v>
      </c>
    </row>
    <row r="8676" spans="19:21" x14ac:dyDescent="0.25">
      <c r="S8676" s="78">
        <v>36063</v>
      </c>
      <c r="T8676" s="29">
        <v>7.5</v>
      </c>
    </row>
    <row r="8677" spans="19:21" x14ac:dyDescent="0.25">
      <c r="S8677" s="78">
        <v>36064</v>
      </c>
      <c r="T8677" s="29">
        <v>7.5</v>
      </c>
    </row>
    <row r="8678" spans="19:21" x14ac:dyDescent="0.25">
      <c r="S8678" s="78">
        <v>36065</v>
      </c>
      <c r="T8678" s="29">
        <v>7.5</v>
      </c>
    </row>
    <row r="8679" spans="19:21" x14ac:dyDescent="0.25">
      <c r="S8679" s="78">
        <v>36066</v>
      </c>
      <c r="T8679" s="29">
        <v>7.5</v>
      </c>
    </row>
    <row r="8680" spans="19:21" x14ac:dyDescent="0.25">
      <c r="S8680" s="78">
        <v>36067</v>
      </c>
      <c r="T8680" s="29">
        <v>7.5</v>
      </c>
    </row>
    <row r="8681" spans="19:21" x14ac:dyDescent="0.25">
      <c r="S8681" s="78">
        <v>36068</v>
      </c>
      <c r="T8681" s="29">
        <v>7.5</v>
      </c>
      <c r="U8681" s="40">
        <f>AVERAGE(T8590:T8681)</f>
        <v>7.5</v>
      </c>
    </row>
    <row r="8682" spans="19:21" x14ac:dyDescent="0.25">
      <c r="S8682" s="78">
        <v>36069</v>
      </c>
      <c r="T8682" s="29">
        <v>7.5</v>
      </c>
    </row>
    <row r="8683" spans="19:21" x14ac:dyDescent="0.25">
      <c r="S8683" s="78">
        <v>36070</v>
      </c>
      <c r="T8683" s="29">
        <v>7.5</v>
      </c>
    </row>
    <row r="8684" spans="19:21" x14ac:dyDescent="0.25">
      <c r="S8684" s="78">
        <v>36071</v>
      </c>
      <c r="T8684" s="29">
        <v>7.5</v>
      </c>
    </row>
    <row r="8685" spans="19:21" x14ac:dyDescent="0.25">
      <c r="S8685" s="78">
        <v>36072</v>
      </c>
      <c r="T8685" s="29">
        <v>7.5</v>
      </c>
    </row>
    <row r="8686" spans="19:21" x14ac:dyDescent="0.25">
      <c r="S8686" s="78">
        <v>36073</v>
      </c>
      <c r="T8686" s="29">
        <v>7.5</v>
      </c>
    </row>
    <row r="8687" spans="19:21" x14ac:dyDescent="0.25">
      <c r="S8687" s="78">
        <v>36074</v>
      </c>
      <c r="T8687" s="29">
        <v>7.5</v>
      </c>
    </row>
    <row r="8688" spans="19:21" x14ac:dyDescent="0.25">
      <c r="S8688" s="78">
        <v>36075</v>
      </c>
      <c r="T8688" s="29">
        <v>7.5</v>
      </c>
    </row>
    <row r="8689" spans="19:20" x14ac:dyDescent="0.25">
      <c r="S8689" s="78">
        <v>36076</v>
      </c>
      <c r="T8689" s="29">
        <v>7.25</v>
      </c>
    </row>
    <row r="8690" spans="19:20" x14ac:dyDescent="0.25">
      <c r="S8690" s="78">
        <v>36077</v>
      </c>
      <c r="T8690" s="29">
        <v>7.25</v>
      </c>
    </row>
    <row r="8691" spans="19:20" x14ac:dyDescent="0.25">
      <c r="S8691" s="78">
        <v>36078</v>
      </c>
      <c r="T8691" s="29">
        <v>7.25</v>
      </c>
    </row>
    <row r="8692" spans="19:20" x14ac:dyDescent="0.25">
      <c r="S8692" s="78">
        <v>36079</v>
      </c>
      <c r="T8692" s="29">
        <v>7.25</v>
      </c>
    </row>
    <row r="8693" spans="19:20" x14ac:dyDescent="0.25">
      <c r="S8693" s="78">
        <v>36080</v>
      </c>
      <c r="T8693" s="29">
        <v>7.25</v>
      </c>
    </row>
    <row r="8694" spans="19:20" x14ac:dyDescent="0.25">
      <c r="S8694" s="78">
        <v>36081</v>
      </c>
      <c r="T8694" s="29">
        <v>7.25</v>
      </c>
    </row>
    <row r="8695" spans="19:20" x14ac:dyDescent="0.25">
      <c r="S8695" s="78">
        <v>36082</v>
      </c>
      <c r="T8695" s="29">
        <v>7.25</v>
      </c>
    </row>
    <row r="8696" spans="19:20" x14ac:dyDescent="0.25">
      <c r="S8696" s="78">
        <v>36083</v>
      </c>
      <c r="T8696" s="29">
        <v>7.25</v>
      </c>
    </row>
    <row r="8697" spans="19:20" x14ac:dyDescent="0.25">
      <c r="S8697" s="78">
        <v>36084</v>
      </c>
      <c r="T8697" s="29">
        <v>7.25</v>
      </c>
    </row>
    <row r="8698" spans="19:20" x14ac:dyDescent="0.25">
      <c r="S8698" s="78">
        <v>36085</v>
      </c>
      <c r="T8698" s="29">
        <v>7.25</v>
      </c>
    </row>
    <row r="8699" spans="19:20" x14ac:dyDescent="0.25">
      <c r="S8699" s="78">
        <v>36086</v>
      </c>
      <c r="T8699" s="29">
        <v>7.25</v>
      </c>
    </row>
    <row r="8700" spans="19:20" x14ac:dyDescent="0.25">
      <c r="S8700" s="78">
        <v>36087</v>
      </c>
      <c r="T8700" s="29">
        <v>7.25</v>
      </c>
    </row>
    <row r="8701" spans="19:20" x14ac:dyDescent="0.25">
      <c r="S8701" s="78">
        <v>36088</v>
      </c>
      <c r="T8701" s="29">
        <v>7.25</v>
      </c>
    </row>
    <row r="8702" spans="19:20" x14ac:dyDescent="0.25">
      <c r="S8702" s="78">
        <v>36089</v>
      </c>
      <c r="T8702" s="29">
        <v>7.25</v>
      </c>
    </row>
    <row r="8703" spans="19:20" x14ac:dyDescent="0.25">
      <c r="S8703" s="78">
        <v>36090</v>
      </c>
      <c r="T8703" s="29">
        <v>7.25</v>
      </c>
    </row>
    <row r="8704" spans="19:20" x14ac:dyDescent="0.25">
      <c r="S8704" s="78">
        <v>36091</v>
      </c>
      <c r="T8704" s="29">
        <v>7.25</v>
      </c>
    </row>
    <row r="8705" spans="19:20" x14ac:dyDescent="0.25">
      <c r="S8705" s="78">
        <v>36092</v>
      </c>
      <c r="T8705" s="29">
        <v>7.25</v>
      </c>
    </row>
    <row r="8706" spans="19:20" x14ac:dyDescent="0.25">
      <c r="S8706" s="78">
        <v>36093</v>
      </c>
      <c r="T8706" s="29">
        <v>7.25</v>
      </c>
    </row>
    <row r="8707" spans="19:20" x14ac:dyDescent="0.25">
      <c r="S8707" s="78">
        <v>36094</v>
      </c>
      <c r="T8707" s="29">
        <v>7.25</v>
      </c>
    </row>
    <row r="8708" spans="19:20" x14ac:dyDescent="0.25">
      <c r="S8708" s="78">
        <v>36095</v>
      </c>
      <c r="T8708" s="29">
        <v>7.25</v>
      </c>
    </row>
    <row r="8709" spans="19:20" x14ac:dyDescent="0.25">
      <c r="S8709" s="78">
        <v>36096</v>
      </c>
      <c r="T8709" s="29">
        <v>7.25</v>
      </c>
    </row>
    <row r="8710" spans="19:20" x14ac:dyDescent="0.25">
      <c r="S8710" s="78">
        <v>36097</v>
      </c>
      <c r="T8710" s="29">
        <v>7.25</v>
      </c>
    </row>
    <row r="8711" spans="19:20" x14ac:dyDescent="0.25">
      <c r="S8711" s="78">
        <v>36098</v>
      </c>
      <c r="T8711" s="29">
        <v>7.25</v>
      </c>
    </row>
    <row r="8712" spans="19:20" x14ac:dyDescent="0.25">
      <c r="S8712" s="78">
        <v>36099</v>
      </c>
      <c r="T8712" s="29">
        <v>7.25</v>
      </c>
    </row>
    <row r="8713" spans="19:20" x14ac:dyDescent="0.25">
      <c r="S8713" s="78">
        <v>36100</v>
      </c>
      <c r="T8713" s="29">
        <v>7.25</v>
      </c>
    </row>
    <row r="8714" spans="19:20" x14ac:dyDescent="0.25">
      <c r="S8714" s="78">
        <v>36101</v>
      </c>
      <c r="T8714" s="29">
        <v>7.25</v>
      </c>
    </row>
    <row r="8715" spans="19:20" x14ac:dyDescent="0.25">
      <c r="S8715" s="78">
        <v>36102</v>
      </c>
      <c r="T8715" s="29">
        <v>7.25</v>
      </c>
    </row>
    <row r="8716" spans="19:20" x14ac:dyDescent="0.25">
      <c r="S8716" s="78">
        <v>36103</v>
      </c>
      <c r="T8716" s="29">
        <v>7.25</v>
      </c>
    </row>
    <row r="8717" spans="19:20" x14ac:dyDescent="0.25">
      <c r="S8717" s="78">
        <v>36104</v>
      </c>
      <c r="T8717" s="29">
        <v>6.75</v>
      </c>
    </row>
    <row r="8718" spans="19:20" x14ac:dyDescent="0.25">
      <c r="S8718" s="78">
        <v>36105</v>
      </c>
      <c r="T8718" s="29">
        <v>6.75</v>
      </c>
    </row>
    <row r="8719" spans="19:20" x14ac:dyDescent="0.25">
      <c r="S8719" s="78">
        <v>36106</v>
      </c>
      <c r="T8719" s="29">
        <v>6.75</v>
      </c>
    </row>
    <row r="8720" spans="19:20" x14ac:dyDescent="0.25">
      <c r="S8720" s="78">
        <v>36107</v>
      </c>
      <c r="T8720" s="29">
        <v>6.75</v>
      </c>
    </row>
    <row r="8721" spans="19:20" x14ac:dyDescent="0.25">
      <c r="S8721" s="78">
        <v>36108</v>
      </c>
      <c r="T8721" s="29">
        <v>6.75</v>
      </c>
    </row>
    <row r="8722" spans="19:20" x14ac:dyDescent="0.25">
      <c r="S8722" s="78">
        <v>36109</v>
      </c>
      <c r="T8722" s="29">
        <v>6.75</v>
      </c>
    </row>
    <row r="8723" spans="19:20" x14ac:dyDescent="0.25">
      <c r="S8723" s="78">
        <v>36110</v>
      </c>
      <c r="T8723" s="29">
        <v>6.75</v>
      </c>
    </row>
    <row r="8724" spans="19:20" x14ac:dyDescent="0.25">
      <c r="S8724" s="78">
        <v>36111</v>
      </c>
      <c r="T8724" s="29">
        <v>6.75</v>
      </c>
    </row>
    <row r="8725" spans="19:20" x14ac:dyDescent="0.25">
      <c r="S8725" s="78">
        <v>36112</v>
      </c>
      <c r="T8725" s="29">
        <v>6.75</v>
      </c>
    </row>
    <row r="8726" spans="19:20" x14ac:dyDescent="0.25">
      <c r="S8726" s="78">
        <v>36113</v>
      </c>
      <c r="T8726" s="29">
        <v>6.75</v>
      </c>
    </row>
    <row r="8727" spans="19:20" x14ac:dyDescent="0.25">
      <c r="S8727" s="78">
        <v>36114</v>
      </c>
      <c r="T8727" s="29">
        <v>6.75</v>
      </c>
    </row>
    <row r="8728" spans="19:20" x14ac:dyDescent="0.25">
      <c r="S8728" s="78">
        <v>36115</v>
      </c>
      <c r="T8728" s="29">
        <v>6.75</v>
      </c>
    </row>
    <row r="8729" spans="19:20" x14ac:dyDescent="0.25">
      <c r="S8729" s="78">
        <v>36116</v>
      </c>
      <c r="T8729" s="29">
        <v>6.75</v>
      </c>
    </row>
    <row r="8730" spans="19:20" x14ac:dyDescent="0.25">
      <c r="S8730" s="78">
        <v>36117</v>
      </c>
      <c r="T8730" s="29">
        <v>6.75</v>
      </c>
    </row>
    <row r="8731" spans="19:20" x14ac:dyDescent="0.25">
      <c r="S8731" s="78">
        <v>36118</v>
      </c>
      <c r="T8731" s="29">
        <v>6.75</v>
      </c>
    </row>
    <row r="8732" spans="19:20" x14ac:dyDescent="0.25">
      <c r="S8732" s="78">
        <v>36119</v>
      </c>
      <c r="T8732" s="29">
        <v>6.75</v>
      </c>
    </row>
    <row r="8733" spans="19:20" x14ac:dyDescent="0.25">
      <c r="S8733" s="78">
        <v>36120</v>
      </c>
      <c r="T8733" s="29">
        <v>6.75</v>
      </c>
    </row>
    <row r="8734" spans="19:20" x14ac:dyDescent="0.25">
      <c r="S8734" s="78">
        <v>36121</v>
      </c>
      <c r="T8734" s="29">
        <v>6.75</v>
      </c>
    </row>
    <row r="8735" spans="19:20" x14ac:dyDescent="0.25">
      <c r="S8735" s="78">
        <v>36122</v>
      </c>
      <c r="T8735" s="29">
        <v>6.75</v>
      </c>
    </row>
    <row r="8736" spans="19:20" x14ac:dyDescent="0.25">
      <c r="S8736" s="78">
        <v>36123</v>
      </c>
      <c r="T8736" s="29">
        <v>6.75</v>
      </c>
    </row>
    <row r="8737" spans="19:20" x14ac:dyDescent="0.25">
      <c r="S8737" s="78">
        <v>36124</v>
      </c>
      <c r="T8737" s="29">
        <v>6.75</v>
      </c>
    </row>
    <row r="8738" spans="19:20" x14ac:dyDescent="0.25">
      <c r="S8738" s="78">
        <v>36125</v>
      </c>
      <c r="T8738" s="29">
        <v>6.75</v>
      </c>
    </row>
    <row r="8739" spans="19:20" x14ac:dyDescent="0.25">
      <c r="S8739" s="78">
        <v>36126</v>
      </c>
      <c r="T8739" s="29">
        <v>6.75</v>
      </c>
    </row>
    <row r="8740" spans="19:20" x14ac:dyDescent="0.25">
      <c r="S8740" s="78">
        <v>36127</v>
      </c>
      <c r="T8740" s="29">
        <v>6.75</v>
      </c>
    </row>
    <row r="8741" spans="19:20" x14ac:dyDescent="0.25">
      <c r="S8741" s="78">
        <v>36128</v>
      </c>
      <c r="T8741" s="29">
        <v>6.75</v>
      </c>
    </row>
    <row r="8742" spans="19:20" x14ac:dyDescent="0.25">
      <c r="S8742" s="78">
        <v>36129</v>
      </c>
      <c r="T8742" s="29">
        <v>6.75</v>
      </c>
    </row>
    <row r="8743" spans="19:20" x14ac:dyDescent="0.25">
      <c r="S8743" s="78">
        <v>36130</v>
      </c>
      <c r="T8743" s="29">
        <v>6.75</v>
      </c>
    </row>
    <row r="8744" spans="19:20" x14ac:dyDescent="0.25">
      <c r="S8744" s="78">
        <v>36131</v>
      </c>
      <c r="T8744" s="29">
        <v>6.75</v>
      </c>
    </row>
    <row r="8745" spans="19:20" x14ac:dyDescent="0.25">
      <c r="S8745" s="78">
        <v>36132</v>
      </c>
      <c r="T8745" s="29">
        <v>6.75</v>
      </c>
    </row>
    <row r="8746" spans="19:20" x14ac:dyDescent="0.25">
      <c r="S8746" s="78">
        <v>36133</v>
      </c>
      <c r="T8746" s="29">
        <v>6.75</v>
      </c>
    </row>
    <row r="8747" spans="19:20" x14ac:dyDescent="0.25">
      <c r="S8747" s="78">
        <v>36134</v>
      </c>
      <c r="T8747" s="29">
        <v>6.75</v>
      </c>
    </row>
    <row r="8748" spans="19:20" x14ac:dyDescent="0.25">
      <c r="S8748" s="78">
        <v>36135</v>
      </c>
      <c r="T8748" s="29">
        <v>6.75</v>
      </c>
    </row>
    <row r="8749" spans="19:20" x14ac:dyDescent="0.25">
      <c r="S8749" s="78">
        <v>36136</v>
      </c>
      <c r="T8749" s="29">
        <v>6.75</v>
      </c>
    </row>
    <row r="8750" spans="19:20" x14ac:dyDescent="0.25">
      <c r="S8750" s="78">
        <v>36137</v>
      </c>
      <c r="T8750" s="29">
        <v>6.75</v>
      </c>
    </row>
    <row r="8751" spans="19:20" x14ac:dyDescent="0.25">
      <c r="S8751" s="78">
        <v>36138</v>
      </c>
      <c r="T8751" s="29">
        <v>6.75</v>
      </c>
    </row>
    <row r="8752" spans="19:20" x14ac:dyDescent="0.25">
      <c r="S8752" s="78">
        <v>36139</v>
      </c>
      <c r="T8752" s="29">
        <v>6.25</v>
      </c>
    </row>
    <row r="8753" spans="19:20" x14ac:dyDescent="0.25">
      <c r="S8753" s="78">
        <v>36140</v>
      </c>
      <c r="T8753" s="29">
        <v>6.25</v>
      </c>
    </row>
    <row r="8754" spans="19:20" x14ac:dyDescent="0.25">
      <c r="S8754" s="78">
        <v>36141</v>
      </c>
      <c r="T8754" s="29">
        <v>6.25</v>
      </c>
    </row>
    <row r="8755" spans="19:20" x14ac:dyDescent="0.25">
      <c r="S8755" s="78">
        <v>36142</v>
      </c>
      <c r="T8755" s="29">
        <v>6.25</v>
      </c>
    </row>
    <row r="8756" spans="19:20" x14ac:dyDescent="0.25">
      <c r="S8756" s="78">
        <v>36143</v>
      </c>
      <c r="T8756" s="29">
        <v>6.25</v>
      </c>
    </row>
    <row r="8757" spans="19:20" x14ac:dyDescent="0.25">
      <c r="S8757" s="78">
        <v>36144</v>
      </c>
      <c r="T8757" s="29">
        <v>6.25</v>
      </c>
    </row>
    <row r="8758" spans="19:20" x14ac:dyDescent="0.25">
      <c r="S8758" s="78">
        <v>36145</v>
      </c>
      <c r="T8758" s="29">
        <v>6.25</v>
      </c>
    </row>
    <row r="8759" spans="19:20" x14ac:dyDescent="0.25">
      <c r="S8759" s="78">
        <v>36146</v>
      </c>
      <c r="T8759" s="29">
        <v>6.25</v>
      </c>
    </row>
    <row r="8760" spans="19:20" x14ac:dyDescent="0.25">
      <c r="S8760" s="78">
        <v>36147</v>
      </c>
      <c r="T8760" s="29">
        <v>6.25</v>
      </c>
    </row>
    <row r="8761" spans="19:20" x14ac:dyDescent="0.25">
      <c r="S8761" s="78">
        <v>36148</v>
      </c>
      <c r="T8761" s="29">
        <v>6.25</v>
      </c>
    </row>
    <row r="8762" spans="19:20" x14ac:dyDescent="0.25">
      <c r="S8762" s="78">
        <v>36149</v>
      </c>
      <c r="T8762" s="29">
        <v>6.25</v>
      </c>
    </row>
    <row r="8763" spans="19:20" x14ac:dyDescent="0.25">
      <c r="S8763" s="78">
        <v>36150</v>
      </c>
      <c r="T8763" s="29">
        <v>6.25</v>
      </c>
    </row>
    <row r="8764" spans="19:20" x14ac:dyDescent="0.25">
      <c r="S8764" s="78">
        <v>36151</v>
      </c>
      <c r="T8764" s="29">
        <v>6.25</v>
      </c>
    </row>
    <row r="8765" spans="19:20" x14ac:dyDescent="0.25">
      <c r="S8765" s="78">
        <v>36152</v>
      </c>
      <c r="T8765" s="29">
        <v>6.25</v>
      </c>
    </row>
    <row r="8766" spans="19:20" x14ac:dyDescent="0.25">
      <c r="S8766" s="78">
        <v>36153</v>
      </c>
      <c r="T8766" s="29">
        <v>6.25</v>
      </c>
    </row>
    <row r="8767" spans="19:20" x14ac:dyDescent="0.25">
      <c r="S8767" s="78">
        <v>36154</v>
      </c>
      <c r="T8767" s="29">
        <v>6.25</v>
      </c>
    </row>
    <row r="8768" spans="19:20" x14ac:dyDescent="0.25">
      <c r="S8768" s="78">
        <v>36155</v>
      </c>
      <c r="T8768" s="29">
        <v>6.25</v>
      </c>
    </row>
    <row r="8769" spans="19:21" x14ac:dyDescent="0.25">
      <c r="S8769" s="78">
        <v>36156</v>
      </c>
      <c r="T8769" s="29">
        <v>6.25</v>
      </c>
    </row>
    <row r="8770" spans="19:21" x14ac:dyDescent="0.25">
      <c r="S8770" s="78">
        <v>36157</v>
      </c>
      <c r="T8770" s="29">
        <v>6.25</v>
      </c>
    </row>
    <row r="8771" spans="19:21" x14ac:dyDescent="0.25">
      <c r="S8771" s="78">
        <v>36158</v>
      </c>
      <c r="T8771" s="29">
        <v>6.25</v>
      </c>
    </row>
    <row r="8772" spans="19:21" x14ac:dyDescent="0.25">
      <c r="S8772" s="78">
        <v>36159</v>
      </c>
      <c r="T8772" s="29">
        <v>6.25</v>
      </c>
    </row>
    <row r="8773" spans="19:21" x14ac:dyDescent="0.25">
      <c r="S8773" s="78">
        <v>36160</v>
      </c>
      <c r="T8773" s="29">
        <v>6.25</v>
      </c>
      <c r="U8773" s="40">
        <f>AVERAGE(T8682:T8773)</f>
        <v>6.8396739130434785</v>
      </c>
    </row>
    <row r="8774" spans="19:21" x14ac:dyDescent="0.25">
      <c r="S8774" s="78">
        <v>36161</v>
      </c>
      <c r="T8774" s="29">
        <v>6.25</v>
      </c>
    </row>
    <row r="8775" spans="19:21" x14ac:dyDescent="0.25">
      <c r="S8775" s="78">
        <v>36162</v>
      </c>
      <c r="T8775" s="29">
        <v>6.25</v>
      </c>
    </row>
    <row r="8776" spans="19:21" x14ac:dyDescent="0.25">
      <c r="S8776" s="78">
        <v>36163</v>
      </c>
      <c r="T8776" s="29">
        <v>6.25</v>
      </c>
    </row>
    <row r="8777" spans="19:21" x14ac:dyDescent="0.25">
      <c r="S8777" s="78">
        <v>36164</v>
      </c>
      <c r="T8777" s="29">
        <v>6.25</v>
      </c>
    </row>
    <row r="8778" spans="19:21" x14ac:dyDescent="0.25">
      <c r="S8778" s="78">
        <v>36165</v>
      </c>
      <c r="T8778" s="29">
        <v>6.25</v>
      </c>
    </row>
    <row r="8779" spans="19:21" x14ac:dyDescent="0.25">
      <c r="S8779" s="78">
        <v>36166</v>
      </c>
      <c r="T8779" s="29">
        <v>6.25</v>
      </c>
    </row>
    <row r="8780" spans="19:21" x14ac:dyDescent="0.25">
      <c r="S8780" s="78">
        <v>36167</v>
      </c>
      <c r="T8780" s="29">
        <v>6</v>
      </c>
    </row>
    <row r="8781" spans="19:21" x14ac:dyDescent="0.25">
      <c r="S8781" s="78">
        <v>36168</v>
      </c>
      <c r="T8781" s="29">
        <v>6</v>
      </c>
    </row>
    <row r="8782" spans="19:21" x14ac:dyDescent="0.25">
      <c r="S8782" s="78">
        <v>36169</v>
      </c>
      <c r="T8782" s="29">
        <v>6</v>
      </c>
    </row>
    <row r="8783" spans="19:21" x14ac:dyDescent="0.25">
      <c r="S8783" s="78">
        <v>36170</v>
      </c>
      <c r="T8783" s="29">
        <v>6</v>
      </c>
    </row>
    <row r="8784" spans="19:21" x14ac:dyDescent="0.25">
      <c r="S8784" s="78">
        <v>36171</v>
      </c>
      <c r="T8784" s="29">
        <v>6</v>
      </c>
    </row>
    <row r="8785" spans="19:20" x14ac:dyDescent="0.25">
      <c r="S8785" s="78">
        <v>36172</v>
      </c>
      <c r="T8785" s="29">
        <v>6</v>
      </c>
    </row>
    <row r="8786" spans="19:20" x14ac:dyDescent="0.25">
      <c r="S8786" s="78">
        <v>36173</v>
      </c>
      <c r="T8786" s="29">
        <v>6</v>
      </c>
    </row>
    <row r="8787" spans="19:20" x14ac:dyDescent="0.25">
      <c r="S8787" s="78">
        <v>36174</v>
      </c>
      <c r="T8787" s="29">
        <v>6</v>
      </c>
    </row>
    <row r="8788" spans="19:20" x14ac:dyDescent="0.25">
      <c r="S8788" s="78">
        <v>36175</v>
      </c>
      <c r="T8788" s="29">
        <v>6</v>
      </c>
    </row>
    <row r="8789" spans="19:20" x14ac:dyDescent="0.25">
      <c r="S8789" s="78">
        <v>36176</v>
      </c>
      <c r="T8789" s="29">
        <v>6</v>
      </c>
    </row>
    <row r="8790" spans="19:20" x14ac:dyDescent="0.25">
      <c r="S8790" s="78">
        <v>36177</v>
      </c>
      <c r="T8790" s="29">
        <v>6</v>
      </c>
    </row>
    <row r="8791" spans="19:20" x14ac:dyDescent="0.25">
      <c r="S8791" s="78">
        <v>36178</v>
      </c>
      <c r="T8791" s="29">
        <v>6</v>
      </c>
    </row>
    <row r="8792" spans="19:20" x14ac:dyDescent="0.25">
      <c r="S8792" s="78">
        <v>36179</v>
      </c>
      <c r="T8792" s="29">
        <v>6</v>
      </c>
    </row>
    <row r="8793" spans="19:20" x14ac:dyDescent="0.25">
      <c r="S8793" s="78">
        <v>36180</v>
      </c>
      <c r="T8793" s="29">
        <v>6</v>
      </c>
    </row>
    <row r="8794" spans="19:20" x14ac:dyDescent="0.25">
      <c r="S8794" s="78">
        <v>36181</v>
      </c>
      <c r="T8794" s="29">
        <v>6</v>
      </c>
    </row>
    <row r="8795" spans="19:20" x14ac:dyDescent="0.25">
      <c r="S8795" s="78">
        <v>36182</v>
      </c>
      <c r="T8795" s="29">
        <v>6</v>
      </c>
    </row>
    <row r="8796" spans="19:20" x14ac:dyDescent="0.25">
      <c r="S8796" s="78">
        <v>36183</v>
      </c>
      <c r="T8796" s="29">
        <v>6</v>
      </c>
    </row>
    <row r="8797" spans="19:20" x14ac:dyDescent="0.25">
      <c r="S8797" s="78">
        <v>36184</v>
      </c>
      <c r="T8797" s="29">
        <v>6</v>
      </c>
    </row>
    <row r="8798" spans="19:20" x14ac:dyDescent="0.25">
      <c r="S8798" s="78">
        <v>36185</v>
      </c>
      <c r="T8798" s="29">
        <v>6</v>
      </c>
    </row>
    <row r="8799" spans="19:20" x14ac:dyDescent="0.25">
      <c r="S8799" s="78">
        <v>36186</v>
      </c>
      <c r="T8799" s="29">
        <v>6</v>
      </c>
    </row>
    <row r="8800" spans="19:20" x14ac:dyDescent="0.25">
      <c r="S8800" s="78">
        <v>36187</v>
      </c>
      <c r="T8800" s="29">
        <v>6</v>
      </c>
    </row>
    <row r="8801" spans="19:20" x14ac:dyDescent="0.25">
      <c r="S8801" s="78">
        <v>36188</v>
      </c>
      <c r="T8801" s="29">
        <v>6</v>
      </c>
    </row>
    <row r="8802" spans="19:20" x14ac:dyDescent="0.25">
      <c r="S8802" s="78">
        <v>36189</v>
      </c>
      <c r="T8802" s="29">
        <v>6</v>
      </c>
    </row>
    <row r="8803" spans="19:20" x14ac:dyDescent="0.25">
      <c r="S8803" s="78">
        <v>36190</v>
      </c>
      <c r="T8803" s="29">
        <v>6</v>
      </c>
    </row>
    <row r="8804" spans="19:20" x14ac:dyDescent="0.25">
      <c r="S8804" s="78">
        <v>36191</v>
      </c>
      <c r="T8804" s="29">
        <v>6</v>
      </c>
    </row>
    <row r="8805" spans="19:20" x14ac:dyDescent="0.25">
      <c r="S8805" s="78">
        <v>36192</v>
      </c>
      <c r="T8805" s="29">
        <v>6</v>
      </c>
    </row>
    <row r="8806" spans="19:20" x14ac:dyDescent="0.25">
      <c r="S8806" s="78">
        <v>36193</v>
      </c>
      <c r="T8806" s="29">
        <v>6</v>
      </c>
    </row>
    <row r="8807" spans="19:20" x14ac:dyDescent="0.25">
      <c r="S8807" s="78">
        <v>36194</v>
      </c>
      <c r="T8807" s="29">
        <v>6</v>
      </c>
    </row>
    <row r="8808" spans="19:20" x14ac:dyDescent="0.25">
      <c r="S8808" s="78">
        <v>36195</v>
      </c>
      <c r="T8808" s="29">
        <v>5.5</v>
      </c>
    </row>
    <row r="8809" spans="19:20" x14ac:dyDescent="0.25">
      <c r="S8809" s="78">
        <v>36196</v>
      </c>
      <c r="T8809" s="29">
        <v>5.5</v>
      </c>
    </row>
    <row r="8810" spans="19:20" x14ac:dyDescent="0.25">
      <c r="S8810" s="78">
        <v>36197</v>
      </c>
      <c r="T8810" s="29">
        <v>5.5</v>
      </c>
    </row>
    <row r="8811" spans="19:20" x14ac:dyDescent="0.25">
      <c r="S8811" s="78">
        <v>36198</v>
      </c>
      <c r="T8811" s="29">
        <v>5.5</v>
      </c>
    </row>
    <row r="8812" spans="19:20" x14ac:dyDescent="0.25">
      <c r="S8812" s="78">
        <v>36199</v>
      </c>
      <c r="T8812" s="29">
        <v>5.5</v>
      </c>
    </row>
    <row r="8813" spans="19:20" x14ac:dyDescent="0.25">
      <c r="S8813" s="78">
        <v>36200</v>
      </c>
      <c r="T8813" s="29">
        <v>5.5</v>
      </c>
    </row>
    <row r="8814" spans="19:20" x14ac:dyDescent="0.25">
      <c r="S8814" s="78">
        <v>36201</v>
      </c>
      <c r="T8814" s="29">
        <v>5.5</v>
      </c>
    </row>
    <row r="8815" spans="19:20" x14ac:dyDescent="0.25">
      <c r="S8815" s="78">
        <v>36202</v>
      </c>
      <c r="T8815" s="29">
        <v>5.5</v>
      </c>
    </row>
    <row r="8816" spans="19:20" x14ac:dyDescent="0.25">
      <c r="S8816" s="78">
        <v>36203</v>
      </c>
      <c r="T8816" s="29">
        <v>5.5</v>
      </c>
    </row>
    <row r="8817" spans="19:20" x14ac:dyDescent="0.25">
      <c r="S8817" s="78">
        <v>36204</v>
      </c>
      <c r="T8817" s="29">
        <v>5.5</v>
      </c>
    </row>
    <row r="8818" spans="19:20" x14ac:dyDescent="0.25">
      <c r="S8818" s="78">
        <v>36205</v>
      </c>
      <c r="T8818" s="29">
        <v>5.5</v>
      </c>
    </row>
    <row r="8819" spans="19:20" x14ac:dyDescent="0.25">
      <c r="S8819" s="78">
        <v>36206</v>
      </c>
      <c r="T8819" s="29">
        <v>5.5</v>
      </c>
    </row>
    <row r="8820" spans="19:20" x14ac:dyDescent="0.25">
      <c r="S8820" s="78">
        <v>36207</v>
      </c>
      <c r="T8820" s="29">
        <v>5.5</v>
      </c>
    </row>
    <row r="8821" spans="19:20" x14ac:dyDescent="0.25">
      <c r="S8821" s="78">
        <v>36208</v>
      </c>
      <c r="T8821" s="29">
        <v>5.5</v>
      </c>
    </row>
    <row r="8822" spans="19:20" x14ac:dyDescent="0.25">
      <c r="S8822" s="78">
        <v>36209</v>
      </c>
      <c r="T8822" s="29">
        <v>5.5</v>
      </c>
    </row>
    <row r="8823" spans="19:20" x14ac:dyDescent="0.25">
      <c r="S8823" s="78">
        <v>36210</v>
      </c>
      <c r="T8823" s="29">
        <v>5.5</v>
      </c>
    </row>
    <row r="8824" spans="19:20" x14ac:dyDescent="0.25">
      <c r="S8824" s="78">
        <v>36211</v>
      </c>
      <c r="T8824" s="29">
        <v>5.5</v>
      </c>
    </row>
    <row r="8825" spans="19:20" x14ac:dyDescent="0.25">
      <c r="S8825" s="78">
        <v>36212</v>
      </c>
      <c r="T8825" s="29">
        <v>5.5</v>
      </c>
    </row>
    <row r="8826" spans="19:20" x14ac:dyDescent="0.25">
      <c r="S8826" s="78">
        <v>36213</v>
      </c>
      <c r="T8826" s="29">
        <v>5.5</v>
      </c>
    </row>
    <row r="8827" spans="19:20" x14ac:dyDescent="0.25">
      <c r="S8827" s="78">
        <v>36214</v>
      </c>
      <c r="T8827" s="29">
        <v>5.5</v>
      </c>
    </row>
    <row r="8828" spans="19:20" x14ac:dyDescent="0.25">
      <c r="S8828" s="78">
        <v>36215</v>
      </c>
      <c r="T8828" s="29">
        <v>5.5</v>
      </c>
    </row>
    <row r="8829" spans="19:20" x14ac:dyDescent="0.25">
      <c r="S8829" s="78">
        <v>36216</v>
      </c>
      <c r="T8829" s="29">
        <v>5.5</v>
      </c>
    </row>
    <row r="8830" spans="19:20" x14ac:dyDescent="0.25">
      <c r="S8830" s="78">
        <v>36217</v>
      </c>
      <c r="T8830" s="29">
        <v>5.5</v>
      </c>
    </row>
    <row r="8831" spans="19:20" x14ac:dyDescent="0.25">
      <c r="S8831" s="78">
        <v>36218</v>
      </c>
      <c r="T8831" s="29">
        <v>5.5</v>
      </c>
    </row>
    <row r="8832" spans="19:20" x14ac:dyDescent="0.25">
      <c r="S8832" s="78">
        <v>36219</v>
      </c>
      <c r="T8832" s="29">
        <v>5.5</v>
      </c>
    </row>
    <row r="8833" spans="19:20" x14ac:dyDescent="0.25">
      <c r="S8833" s="78">
        <v>36220</v>
      </c>
      <c r="T8833" s="29">
        <v>5.5</v>
      </c>
    </row>
    <row r="8834" spans="19:20" x14ac:dyDescent="0.25">
      <c r="S8834" s="78">
        <v>36221</v>
      </c>
      <c r="T8834" s="29">
        <v>5.5</v>
      </c>
    </row>
    <row r="8835" spans="19:20" x14ac:dyDescent="0.25">
      <c r="S8835" s="78">
        <v>36222</v>
      </c>
      <c r="T8835" s="29">
        <v>5.5</v>
      </c>
    </row>
    <row r="8836" spans="19:20" x14ac:dyDescent="0.25">
      <c r="S8836" s="78">
        <v>36223</v>
      </c>
      <c r="T8836" s="29">
        <v>5.5</v>
      </c>
    </row>
    <row r="8837" spans="19:20" x14ac:dyDescent="0.25">
      <c r="S8837" s="78">
        <v>36224</v>
      </c>
      <c r="T8837" s="29">
        <v>5.5</v>
      </c>
    </row>
    <row r="8838" spans="19:20" x14ac:dyDescent="0.25">
      <c r="S8838" s="78">
        <v>36225</v>
      </c>
      <c r="T8838" s="29">
        <v>5.5</v>
      </c>
    </row>
    <row r="8839" spans="19:20" x14ac:dyDescent="0.25">
      <c r="S8839" s="78">
        <v>36226</v>
      </c>
      <c r="T8839" s="29">
        <v>5.5</v>
      </c>
    </row>
    <row r="8840" spans="19:20" x14ac:dyDescent="0.25">
      <c r="S8840" s="78">
        <v>36227</v>
      </c>
      <c r="T8840" s="29">
        <v>5.5</v>
      </c>
    </row>
    <row r="8841" spans="19:20" x14ac:dyDescent="0.25">
      <c r="S8841" s="78">
        <v>36228</v>
      </c>
      <c r="T8841" s="29">
        <v>5.5</v>
      </c>
    </row>
    <row r="8842" spans="19:20" x14ac:dyDescent="0.25">
      <c r="S8842" s="78">
        <v>36229</v>
      </c>
      <c r="T8842" s="29">
        <v>5.5</v>
      </c>
    </row>
    <row r="8843" spans="19:20" x14ac:dyDescent="0.25">
      <c r="S8843" s="78">
        <v>36230</v>
      </c>
      <c r="T8843" s="29">
        <v>5.5</v>
      </c>
    </row>
    <row r="8844" spans="19:20" x14ac:dyDescent="0.25">
      <c r="S8844" s="78">
        <v>36231</v>
      </c>
      <c r="T8844" s="29">
        <v>5.5</v>
      </c>
    </row>
    <row r="8845" spans="19:20" x14ac:dyDescent="0.25">
      <c r="S8845" s="78">
        <v>36232</v>
      </c>
      <c r="T8845" s="29">
        <v>5.5</v>
      </c>
    </row>
    <row r="8846" spans="19:20" x14ac:dyDescent="0.25">
      <c r="S8846" s="78">
        <v>36233</v>
      </c>
      <c r="T8846" s="29">
        <v>5.5</v>
      </c>
    </row>
    <row r="8847" spans="19:20" x14ac:dyDescent="0.25">
      <c r="S8847" s="78">
        <v>36234</v>
      </c>
      <c r="T8847" s="29">
        <v>5.5</v>
      </c>
    </row>
    <row r="8848" spans="19:20" x14ac:dyDescent="0.25">
      <c r="S8848" s="78">
        <v>36235</v>
      </c>
      <c r="T8848" s="29">
        <v>5.5</v>
      </c>
    </row>
    <row r="8849" spans="19:21" x14ac:dyDescent="0.25">
      <c r="S8849" s="78">
        <v>36236</v>
      </c>
      <c r="T8849" s="29">
        <v>5.5</v>
      </c>
    </row>
    <row r="8850" spans="19:21" x14ac:dyDescent="0.25">
      <c r="S8850" s="78">
        <v>36237</v>
      </c>
      <c r="T8850" s="29">
        <v>5.5</v>
      </c>
    </row>
    <row r="8851" spans="19:21" x14ac:dyDescent="0.25">
      <c r="S8851" s="78">
        <v>36238</v>
      </c>
      <c r="T8851" s="29">
        <v>5.5</v>
      </c>
    </row>
    <row r="8852" spans="19:21" x14ac:dyDescent="0.25">
      <c r="S8852" s="78">
        <v>36239</v>
      </c>
      <c r="T8852" s="29">
        <v>5.5</v>
      </c>
    </row>
    <row r="8853" spans="19:21" x14ac:dyDescent="0.25">
      <c r="S8853" s="78">
        <v>36240</v>
      </c>
      <c r="T8853" s="29">
        <v>5.5</v>
      </c>
    </row>
    <row r="8854" spans="19:21" x14ac:dyDescent="0.25">
      <c r="S8854" s="78">
        <v>36241</v>
      </c>
      <c r="T8854" s="29">
        <v>5.5</v>
      </c>
    </row>
    <row r="8855" spans="19:21" x14ac:dyDescent="0.25">
      <c r="S8855" s="78">
        <v>36242</v>
      </c>
      <c r="T8855" s="29">
        <v>5.5</v>
      </c>
    </row>
    <row r="8856" spans="19:21" x14ac:dyDescent="0.25">
      <c r="S8856" s="78">
        <v>36243</v>
      </c>
      <c r="T8856" s="29">
        <v>5.5</v>
      </c>
    </row>
    <row r="8857" spans="19:21" x14ac:dyDescent="0.25">
      <c r="S8857" s="78">
        <v>36244</v>
      </c>
      <c r="T8857" s="29">
        <v>5.5</v>
      </c>
    </row>
    <row r="8858" spans="19:21" x14ac:dyDescent="0.25">
      <c r="S8858" s="78">
        <v>36245</v>
      </c>
      <c r="T8858" s="29">
        <v>5.5</v>
      </c>
    </row>
    <row r="8859" spans="19:21" x14ac:dyDescent="0.25">
      <c r="S8859" s="78">
        <v>36246</v>
      </c>
      <c r="T8859" s="29">
        <v>5.5</v>
      </c>
    </row>
    <row r="8860" spans="19:21" x14ac:dyDescent="0.25">
      <c r="S8860" s="78">
        <v>36247</v>
      </c>
      <c r="T8860" s="29">
        <v>5.5</v>
      </c>
    </row>
    <row r="8861" spans="19:21" x14ac:dyDescent="0.25">
      <c r="S8861" s="78">
        <v>36248</v>
      </c>
      <c r="T8861" s="29">
        <v>5.5</v>
      </c>
    </row>
    <row r="8862" spans="19:21" x14ac:dyDescent="0.25">
      <c r="S8862" s="78">
        <v>36249</v>
      </c>
      <c r="T8862" s="29">
        <v>5.5</v>
      </c>
    </row>
    <row r="8863" spans="19:21" x14ac:dyDescent="0.25">
      <c r="S8863" s="78">
        <v>36250</v>
      </c>
      <c r="T8863" s="29">
        <v>5.5</v>
      </c>
      <c r="U8863" s="39">
        <f>AVERAGE(T8774:T8863)</f>
        <v>5.7055555555555557</v>
      </c>
    </row>
    <row r="8864" spans="19:21" x14ac:dyDescent="0.25">
      <c r="S8864" s="78">
        <v>36251</v>
      </c>
      <c r="T8864" s="29">
        <v>5.5</v>
      </c>
    </row>
    <row r="8865" spans="19:20" x14ac:dyDescent="0.25">
      <c r="S8865" s="78">
        <v>36252</v>
      </c>
      <c r="T8865" s="29">
        <v>5.5</v>
      </c>
    </row>
    <row r="8866" spans="19:20" x14ac:dyDescent="0.25">
      <c r="S8866" s="78">
        <v>36253</v>
      </c>
      <c r="T8866" s="29">
        <v>5.5</v>
      </c>
    </row>
    <row r="8867" spans="19:20" x14ac:dyDescent="0.25">
      <c r="S8867" s="78">
        <v>36254</v>
      </c>
      <c r="T8867" s="29">
        <v>5.5</v>
      </c>
    </row>
    <row r="8868" spans="19:20" x14ac:dyDescent="0.25">
      <c r="S8868" s="78">
        <v>36255</v>
      </c>
      <c r="T8868" s="29">
        <v>5.5</v>
      </c>
    </row>
    <row r="8869" spans="19:20" x14ac:dyDescent="0.25">
      <c r="S8869" s="78">
        <v>36256</v>
      </c>
      <c r="T8869" s="29">
        <v>5.5</v>
      </c>
    </row>
    <row r="8870" spans="19:20" x14ac:dyDescent="0.25">
      <c r="S8870" s="78">
        <v>36257</v>
      </c>
      <c r="T8870" s="29">
        <v>5.5</v>
      </c>
    </row>
    <row r="8871" spans="19:20" x14ac:dyDescent="0.25">
      <c r="S8871" s="78">
        <v>36258</v>
      </c>
      <c r="T8871" s="29">
        <v>5.25</v>
      </c>
    </row>
    <row r="8872" spans="19:20" x14ac:dyDescent="0.25">
      <c r="S8872" s="78">
        <v>36259</v>
      </c>
      <c r="T8872" s="29">
        <v>5.25</v>
      </c>
    </row>
    <row r="8873" spans="19:20" x14ac:dyDescent="0.25">
      <c r="S8873" s="78">
        <v>36260</v>
      </c>
      <c r="T8873" s="29">
        <v>5.25</v>
      </c>
    </row>
    <row r="8874" spans="19:20" x14ac:dyDescent="0.25">
      <c r="S8874" s="78">
        <v>36261</v>
      </c>
      <c r="T8874" s="29">
        <v>5.25</v>
      </c>
    </row>
    <row r="8875" spans="19:20" x14ac:dyDescent="0.25">
      <c r="S8875" s="78">
        <v>36262</v>
      </c>
      <c r="T8875" s="29">
        <v>5.25</v>
      </c>
    </row>
    <row r="8876" spans="19:20" x14ac:dyDescent="0.25">
      <c r="S8876" s="78">
        <v>36263</v>
      </c>
      <c r="T8876" s="29">
        <v>5.25</v>
      </c>
    </row>
    <row r="8877" spans="19:20" x14ac:dyDescent="0.25">
      <c r="S8877" s="78">
        <v>36264</v>
      </c>
      <c r="T8877" s="29">
        <v>5.25</v>
      </c>
    </row>
    <row r="8878" spans="19:20" x14ac:dyDescent="0.25">
      <c r="S8878" s="78">
        <v>36265</v>
      </c>
      <c r="T8878" s="29">
        <v>5.25</v>
      </c>
    </row>
    <row r="8879" spans="19:20" x14ac:dyDescent="0.25">
      <c r="S8879" s="78">
        <v>36266</v>
      </c>
      <c r="T8879" s="29">
        <v>5.25</v>
      </c>
    </row>
    <row r="8880" spans="19:20" x14ac:dyDescent="0.25">
      <c r="S8880" s="78">
        <v>36267</v>
      </c>
      <c r="T8880" s="29">
        <v>5.25</v>
      </c>
    </row>
    <row r="8881" spans="19:20" x14ac:dyDescent="0.25">
      <c r="S8881" s="78">
        <v>36268</v>
      </c>
      <c r="T8881" s="29">
        <v>5.25</v>
      </c>
    </row>
    <row r="8882" spans="19:20" x14ac:dyDescent="0.25">
      <c r="S8882" s="78">
        <v>36269</v>
      </c>
      <c r="T8882" s="29">
        <v>5.25</v>
      </c>
    </row>
    <row r="8883" spans="19:20" x14ac:dyDescent="0.25">
      <c r="S8883" s="78">
        <v>36270</v>
      </c>
      <c r="T8883" s="29">
        <v>5.25</v>
      </c>
    </row>
    <row r="8884" spans="19:20" x14ac:dyDescent="0.25">
      <c r="S8884" s="78">
        <v>36271</v>
      </c>
      <c r="T8884" s="29">
        <v>5.25</v>
      </c>
    </row>
    <row r="8885" spans="19:20" x14ac:dyDescent="0.25">
      <c r="S8885" s="78">
        <v>36272</v>
      </c>
      <c r="T8885" s="29">
        <v>5.25</v>
      </c>
    </row>
    <row r="8886" spans="19:20" x14ac:dyDescent="0.25">
      <c r="S8886" s="78">
        <v>36273</v>
      </c>
      <c r="T8886" s="29">
        <v>5.25</v>
      </c>
    </row>
    <row r="8887" spans="19:20" x14ac:dyDescent="0.25">
      <c r="S8887" s="78">
        <v>36274</v>
      </c>
      <c r="T8887" s="29">
        <v>5.25</v>
      </c>
    </row>
    <row r="8888" spans="19:20" x14ac:dyDescent="0.25">
      <c r="S8888" s="78">
        <v>36275</v>
      </c>
      <c r="T8888" s="29">
        <v>5.25</v>
      </c>
    </row>
    <row r="8889" spans="19:20" x14ac:dyDescent="0.25">
      <c r="S8889" s="78">
        <v>36276</v>
      </c>
      <c r="T8889" s="29">
        <v>5.25</v>
      </c>
    </row>
    <row r="8890" spans="19:20" x14ac:dyDescent="0.25">
      <c r="S8890" s="78">
        <v>36277</v>
      </c>
      <c r="T8890" s="29">
        <v>5.25</v>
      </c>
    </row>
    <row r="8891" spans="19:20" x14ac:dyDescent="0.25">
      <c r="S8891" s="78">
        <v>36278</v>
      </c>
      <c r="T8891" s="29">
        <v>5.25</v>
      </c>
    </row>
    <row r="8892" spans="19:20" x14ac:dyDescent="0.25">
      <c r="S8892" s="78">
        <v>36279</v>
      </c>
      <c r="T8892" s="29">
        <v>5.25</v>
      </c>
    </row>
    <row r="8893" spans="19:20" x14ac:dyDescent="0.25">
      <c r="S8893" s="78">
        <v>36280</v>
      </c>
      <c r="T8893" s="29">
        <v>5.25</v>
      </c>
    </row>
    <row r="8894" spans="19:20" x14ac:dyDescent="0.25">
      <c r="S8894" s="78">
        <v>36281</v>
      </c>
      <c r="T8894" s="29">
        <v>5.25</v>
      </c>
    </row>
    <row r="8895" spans="19:20" x14ac:dyDescent="0.25">
      <c r="S8895" s="78">
        <v>36282</v>
      </c>
      <c r="T8895" s="29">
        <v>5.25</v>
      </c>
    </row>
    <row r="8896" spans="19:20" x14ac:dyDescent="0.25">
      <c r="S8896" s="78">
        <v>36283</v>
      </c>
      <c r="T8896" s="29">
        <v>5.25</v>
      </c>
    </row>
    <row r="8897" spans="19:20" x14ac:dyDescent="0.25">
      <c r="S8897" s="78">
        <v>36284</v>
      </c>
      <c r="T8897" s="29">
        <v>5.25</v>
      </c>
    </row>
    <row r="8898" spans="19:20" x14ac:dyDescent="0.25">
      <c r="S8898" s="78">
        <v>36285</v>
      </c>
      <c r="T8898" s="29">
        <v>5.25</v>
      </c>
    </row>
    <row r="8899" spans="19:20" x14ac:dyDescent="0.25">
      <c r="S8899" s="78">
        <v>36286</v>
      </c>
      <c r="T8899" s="29">
        <v>5.25</v>
      </c>
    </row>
    <row r="8900" spans="19:20" x14ac:dyDescent="0.25">
      <c r="S8900" s="78">
        <v>36287</v>
      </c>
      <c r="T8900" s="29">
        <v>5.25</v>
      </c>
    </row>
    <row r="8901" spans="19:20" x14ac:dyDescent="0.25">
      <c r="S8901" s="78">
        <v>36288</v>
      </c>
      <c r="T8901" s="29">
        <v>5.25</v>
      </c>
    </row>
    <row r="8902" spans="19:20" x14ac:dyDescent="0.25">
      <c r="S8902" s="78">
        <v>36289</v>
      </c>
      <c r="T8902" s="29">
        <v>5.25</v>
      </c>
    </row>
    <row r="8903" spans="19:20" x14ac:dyDescent="0.25">
      <c r="S8903" s="78">
        <v>36290</v>
      </c>
      <c r="T8903" s="29">
        <v>5.25</v>
      </c>
    </row>
    <row r="8904" spans="19:20" x14ac:dyDescent="0.25">
      <c r="S8904" s="78">
        <v>36291</v>
      </c>
      <c r="T8904" s="29">
        <v>5.25</v>
      </c>
    </row>
    <row r="8905" spans="19:20" x14ac:dyDescent="0.25">
      <c r="S8905" s="78">
        <v>36292</v>
      </c>
      <c r="T8905" s="29">
        <v>5.25</v>
      </c>
    </row>
    <row r="8906" spans="19:20" x14ac:dyDescent="0.25">
      <c r="S8906" s="78">
        <v>36293</v>
      </c>
      <c r="T8906" s="29">
        <v>5.25</v>
      </c>
    </row>
    <row r="8907" spans="19:20" x14ac:dyDescent="0.25">
      <c r="S8907" s="78">
        <v>36294</v>
      </c>
      <c r="T8907" s="29">
        <v>5.25</v>
      </c>
    </row>
    <row r="8908" spans="19:20" x14ac:dyDescent="0.25">
      <c r="S8908" s="78">
        <v>36295</v>
      </c>
      <c r="T8908" s="29">
        <v>5.25</v>
      </c>
    </row>
    <row r="8909" spans="19:20" x14ac:dyDescent="0.25">
      <c r="S8909" s="78">
        <v>36296</v>
      </c>
      <c r="T8909" s="29">
        <v>5.25</v>
      </c>
    </row>
    <row r="8910" spans="19:20" x14ac:dyDescent="0.25">
      <c r="S8910" s="78">
        <v>36297</v>
      </c>
      <c r="T8910" s="29">
        <v>5.25</v>
      </c>
    </row>
    <row r="8911" spans="19:20" x14ac:dyDescent="0.25">
      <c r="S8911" s="78">
        <v>36298</v>
      </c>
      <c r="T8911" s="29">
        <v>5.25</v>
      </c>
    </row>
    <row r="8912" spans="19:20" x14ac:dyDescent="0.25">
      <c r="S8912" s="78">
        <v>36299</v>
      </c>
      <c r="T8912" s="29">
        <v>5.25</v>
      </c>
    </row>
    <row r="8913" spans="19:20" x14ac:dyDescent="0.25">
      <c r="S8913" s="78">
        <v>36300</v>
      </c>
      <c r="T8913" s="29">
        <v>5.25</v>
      </c>
    </row>
    <row r="8914" spans="19:20" x14ac:dyDescent="0.25">
      <c r="S8914" s="78">
        <v>36301</v>
      </c>
      <c r="T8914" s="29">
        <v>5.25</v>
      </c>
    </row>
    <row r="8915" spans="19:20" x14ac:dyDescent="0.25">
      <c r="S8915" s="78">
        <v>36302</v>
      </c>
      <c r="T8915" s="29">
        <v>5.25</v>
      </c>
    </row>
    <row r="8916" spans="19:20" x14ac:dyDescent="0.25">
      <c r="S8916" s="78">
        <v>36303</v>
      </c>
      <c r="T8916" s="29">
        <v>5.25</v>
      </c>
    </row>
    <row r="8917" spans="19:20" x14ac:dyDescent="0.25">
      <c r="S8917" s="78">
        <v>36304</v>
      </c>
      <c r="T8917" s="29">
        <v>5.25</v>
      </c>
    </row>
    <row r="8918" spans="19:20" x14ac:dyDescent="0.25">
      <c r="S8918" s="78">
        <v>36305</v>
      </c>
      <c r="T8918" s="29">
        <v>5.25</v>
      </c>
    </row>
    <row r="8919" spans="19:20" x14ac:dyDescent="0.25">
      <c r="S8919" s="78">
        <v>36306</v>
      </c>
      <c r="T8919" s="29">
        <v>5.25</v>
      </c>
    </row>
    <row r="8920" spans="19:20" x14ac:dyDescent="0.25">
      <c r="S8920" s="78">
        <v>36307</v>
      </c>
      <c r="T8920" s="29">
        <v>5.25</v>
      </c>
    </row>
    <row r="8921" spans="19:20" x14ac:dyDescent="0.25">
      <c r="S8921" s="78">
        <v>36308</v>
      </c>
      <c r="T8921" s="29">
        <v>5.25</v>
      </c>
    </row>
    <row r="8922" spans="19:20" x14ac:dyDescent="0.25">
      <c r="S8922" s="78">
        <v>36309</v>
      </c>
      <c r="T8922" s="29">
        <v>5.25</v>
      </c>
    </row>
    <row r="8923" spans="19:20" x14ac:dyDescent="0.25">
      <c r="S8923" s="78">
        <v>36310</v>
      </c>
      <c r="T8923" s="29">
        <v>5.25</v>
      </c>
    </row>
    <row r="8924" spans="19:20" x14ac:dyDescent="0.25">
      <c r="S8924" s="78">
        <v>36311</v>
      </c>
      <c r="T8924" s="29">
        <v>5.25</v>
      </c>
    </row>
    <row r="8925" spans="19:20" x14ac:dyDescent="0.25">
      <c r="S8925" s="78">
        <v>36312</v>
      </c>
      <c r="T8925" s="29">
        <v>5.25</v>
      </c>
    </row>
    <row r="8926" spans="19:20" x14ac:dyDescent="0.25">
      <c r="S8926" s="78">
        <v>36313</v>
      </c>
      <c r="T8926" s="29">
        <v>5.25</v>
      </c>
    </row>
    <row r="8927" spans="19:20" x14ac:dyDescent="0.25">
      <c r="S8927" s="78">
        <v>36314</v>
      </c>
      <c r="T8927" s="29">
        <v>5.25</v>
      </c>
    </row>
    <row r="8928" spans="19:20" x14ac:dyDescent="0.25">
      <c r="S8928" s="78">
        <v>36315</v>
      </c>
      <c r="T8928" s="29">
        <v>5.25</v>
      </c>
    </row>
    <row r="8929" spans="19:20" x14ac:dyDescent="0.25">
      <c r="S8929" s="78">
        <v>36316</v>
      </c>
      <c r="T8929" s="29">
        <v>5.25</v>
      </c>
    </row>
    <row r="8930" spans="19:20" x14ac:dyDescent="0.25">
      <c r="S8930" s="78">
        <v>36317</v>
      </c>
      <c r="T8930" s="29">
        <v>5.25</v>
      </c>
    </row>
    <row r="8931" spans="19:20" x14ac:dyDescent="0.25">
      <c r="S8931" s="78">
        <v>36318</v>
      </c>
      <c r="T8931" s="29">
        <v>5.25</v>
      </c>
    </row>
    <row r="8932" spans="19:20" x14ac:dyDescent="0.25">
      <c r="S8932" s="78">
        <v>36319</v>
      </c>
      <c r="T8932" s="29">
        <v>5.25</v>
      </c>
    </row>
    <row r="8933" spans="19:20" x14ac:dyDescent="0.25">
      <c r="S8933" s="78">
        <v>36320</v>
      </c>
      <c r="T8933" s="29">
        <v>5.25</v>
      </c>
    </row>
    <row r="8934" spans="19:20" x14ac:dyDescent="0.25">
      <c r="S8934" s="78">
        <v>36321</v>
      </c>
      <c r="T8934" s="29">
        <v>5</v>
      </c>
    </row>
    <row r="8935" spans="19:20" x14ac:dyDescent="0.25">
      <c r="S8935" s="78">
        <v>36322</v>
      </c>
      <c r="T8935" s="29">
        <v>5</v>
      </c>
    </row>
    <row r="8936" spans="19:20" x14ac:dyDescent="0.25">
      <c r="S8936" s="78">
        <v>36323</v>
      </c>
      <c r="T8936" s="29">
        <v>5</v>
      </c>
    </row>
    <row r="8937" spans="19:20" x14ac:dyDescent="0.25">
      <c r="S8937" s="78">
        <v>36324</v>
      </c>
      <c r="T8937" s="29">
        <v>5</v>
      </c>
    </row>
    <row r="8938" spans="19:20" x14ac:dyDescent="0.25">
      <c r="S8938" s="78">
        <v>36325</v>
      </c>
      <c r="T8938" s="29">
        <v>5</v>
      </c>
    </row>
    <row r="8939" spans="19:20" x14ac:dyDescent="0.25">
      <c r="S8939" s="78">
        <v>36326</v>
      </c>
      <c r="T8939" s="29">
        <v>5</v>
      </c>
    </row>
    <row r="8940" spans="19:20" x14ac:dyDescent="0.25">
      <c r="S8940" s="78">
        <v>36327</v>
      </c>
      <c r="T8940" s="29">
        <v>5</v>
      </c>
    </row>
    <row r="8941" spans="19:20" x14ac:dyDescent="0.25">
      <c r="S8941" s="78">
        <v>36328</v>
      </c>
      <c r="T8941" s="29">
        <v>5</v>
      </c>
    </row>
    <row r="8942" spans="19:20" x14ac:dyDescent="0.25">
      <c r="S8942" s="78">
        <v>36329</v>
      </c>
      <c r="T8942" s="29">
        <v>5</v>
      </c>
    </row>
    <row r="8943" spans="19:20" x14ac:dyDescent="0.25">
      <c r="S8943" s="78">
        <v>36330</v>
      </c>
      <c r="T8943" s="29">
        <v>5</v>
      </c>
    </row>
    <row r="8944" spans="19:20" x14ac:dyDescent="0.25">
      <c r="S8944" s="78">
        <v>36331</v>
      </c>
      <c r="T8944" s="29">
        <v>5</v>
      </c>
    </row>
    <row r="8945" spans="19:21" x14ac:dyDescent="0.25">
      <c r="S8945" s="78">
        <v>36332</v>
      </c>
      <c r="T8945" s="29">
        <v>5</v>
      </c>
    </row>
    <row r="8946" spans="19:21" x14ac:dyDescent="0.25">
      <c r="S8946" s="78">
        <v>36333</v>
      </c>
      <c r="T8946" s="29">
        <v>5</v>
      </c>
    </row>
    <row r="8947" spans="19:21" x14ac:dyDescent="0.25">
      <c r="S8947" s="78">
        <v>36334</v>
      </c>
      <c r="T8947" s="29">
        <v>5</v>
      </c>
    </row>
    <row r="8948" spans="19:21" x14ac:dyDescent="0.25">
      <c r="S8948" s="78">
        <v>36335</v>
      </c>
      <c r="T8948" s="29">
        <v>5</v>
      </c>
    </row>
    <row r="8949" spans="19:21" x14ac:dyDescent="0.25">
      <c r="S8949" s="78">
        <v>36336</v>
      </c>
      <c r="T8949" s="29">
        <v>5</v>
      </c>
    </row>
    <row r="8950" spans="19:21" x14ac:dyDescent="0.25">
      <c r="S8950" s="78">
        <v>36337</v>
      </c>
      <c r="T8950" s="29">
        <v>5</v>
      </c>
    </row>
    <row r="8951" spans="19:21" x14ac:dyDescent="0.25">
      <c r="S8951" s="78">
        <v>36338</v>
      </c>
      <c r="T8951" s="29">
        <v>5</v>
      </c>
    </row>
    <row r="8952" spans="19:21" x14ac:dyDescent="0.25">
      <c r="S8952" s="78">
        <v>36339</v>
      </c>
      <c r="T8952" s="29">
        <v>5</v>
      </c>
    </row>
    <row r="8953" spans="19:21" x14ac:dyDescent="0.25">
      <c r="S8953" s="78">
        <v>36340</v>
      </c>
      <c r="T8953" s="29">
        <v>5</v>
      </c>
    </row>
    <row r="8954" spans="19:21" x14ac:dyDescent="0.25">
      <c r="S8954" s="78">
        <v>36341</v>
      </c>
      <c r="T8954" s="29">
        <v>5</v>
      </c>
      <c r="U8954" s="40">
        <f>AVERAGE(T8864:T8954)</f>
        <v>5.2115384615384617</v>
      </c>
    </row>
    <row r="8955" spans="19:21" x14ac:dyDescent="0.25">
      <c r="S8955" s="78">
        <v>36342</v>
      </c>
      <c r="T8955" s="29">
        <v>5</v>
      </c>
    </row>
    <row r="8956" spans="19:21" x14ac:dyDescent="0.25">
      <c r="S8956" s="78">
        <v>36343</v>
      </c>
      <c r="T8956" s="29">
        <v>5</v>
      </c>
    </row>
    <row r="8957" spans="19:21" x14ac:dyDescent="0.25">
      <c r="S8957" s="78">
        <v>36344</v>
      </c>
      <c r="T8957" s="29">
        <v>5</v>
      </c>
    </row>
    <row r="8958" spans="19:21" x14ac:dyDescent="0.25">
      <c r="S8958" s="78">
        <v>36345</v>
      </c>
      <c r="T8958" s="29">
        <v>5</v>
      </c>
    </row>
    <row r="8959" spans="19:21" x14ac:dyDescent="0.25">
      <c r="S8959" s="78">
        <v>36346</v>
      </c>
      <c r="T8959" s="29">
        <v>5</v>
      </c>
    </row>
    <row r="8960" spans="19:21" x14ac:dyDescent="0.25">
      <c r="S8960" s="78">
        <v>36347</v>
      </c>
      <c r="T8960" s="29">
        <v>5</v>
      </c>
    </row>
    <row r="8961" spans="19:20" x14ac:dyDescent="0.25">
      <c r="S8961" s="78">
        <v>36348</v>
      </c>
      <c r="T8961" s="29">
        <v>5</v>
      </c>
    </row>
    <row r="8962" spans="19:20" x14ac:dyDescent="0.25">
      <c r="S8962" s="78">
        <v>36349</v>
      </c>
      <c r="T8962" s="29">
        <v>5</v>
      </c>
    </row>
    <row r="8963" spans="19:20" x14ac:dyDescent="0.25">
      <c r="S8963" s="78">
        <v>36350</v>
      </c>
      <c r="T8963" s="29">
        <v>5</v>
      </c>
    </row>
    <row r="8964" spans="19:20" x14ac:dyDescent="0.25">
      <c r="S8964" s="78">
        <v>36351</v>
      </c>
      <c r="T8964" s="29">
        <v>5</v>
      </c>
    </row>
    <row r="8965" spans="19:20" x14ac:dyDescent="0.25">
      <c r="S8965" s="78">
        <v>36352</v>
      </c>
      <c r="T8965" s="29">
        <v>5</v>
      </c>
    </row>
    <row r="8966" spans="19:20" x14ac:dyDescent="0.25">
      <c r="S8966" s="78">
        <v>36353</v>
      </c>
      <c r="T8966" s="29">
        <v>5</v>
      </c>
    </row>
    <row r="8967" spans="19:20" x14ac:dyDescent="0.25">
      <c r="S8967" s="78">
        <v>36354</v>
      </c>
      <c r="T8967" s="29">
        <v>5</v>
      </c>
    </row>
    <row r="8968" spans="19:20" x14ac:dyDescent="0.25">
      <c r="S8968" s="78">
        <v>36355</v>
      </c>
      <c r="T8968" s="29">
        <v>5</v>
      </c>
    </row>
    <row r="8969" spans="19:20" x14ac:dyDescent="0.25">
      <c r="S8969" s="78">
        <v>36356</v>
      </c>
      <c r="T8969" s="29">
        <v>5</v>
      </c>
    </row>
    <row r="8970" spans="19:20" x14ac:dyDescent="0.25">
      <c r="S8970" s="78">
        <v>36357</v>
      </c>
      <c r="T8970" s="29">
        <v>5</v>
      </c>
    </row>
    <row r="8971" spans="19:20" x14ac:dyDescent="0.25">
      <c r="S8971" s="78">
        <v>36358</v>
      </c>
      <c r="T8971" s="29">
        <v>5</v>
      </c>
    </row>
    <row r="8972" spans="19:20" x14ac:dyDescent="0.25">
      <c r="S8972" s="78">
        <v>36359</v>
      </c>
      <c r="T8972" s="29">
        <v>5</v>
      </c>
    </row>
    <row r="8973" spans="19:20" x14ac:dyDescent="0.25">
      <c r="S8973" s="78">
        <v>36360</v>
      </c>
      <c r="T8973" s="29">
        <v>5</v>
      </c>
    </row>
    <row r="8974" spans="19:20" x14ac:dyDescent="0.25">
      <c r="S8974" s="78">
        <v>36361</v>
      </c>
      <c r="T8974" s="29">
        <v>5</v>
      </c>
    </row>
    <row r="8975" spans="19:20" x14ac:dyDescent="0.25">
      <c r="S8975" s="78">
        <v>36362</v>
      </c>
      <c r="T8975" s="29">
        <v>5</v>
      </c>
    </row>
    <row r="8976" spans="19:20" x14ac:dyDescent="0.25">
      <c r="S8976" s="78">
        <v>36363</v>
      </c>
      <c r="T8976" s="29">
        <v>5</v>
      </c>
    </row>
    <row r="8977" spans="19:20" x14ac:dyDescent="0.25">
      <c r="S8977" s="78">
        <v>36364</v>
      </c>
      <c r="T8977" s="29">
        <v>5</v>
      </c>
    </row>
    <row r="8978" spans="19:20" x14ac:dyDescent="0.25">
      <c r="S8978" s="78">
        <v>36365</v>
      </c>
      <c r="T8978" s="29">
        <v>5</v>
      </c>
    </row>
    <row r="8979" spans="19:20" x14ac:dyDescent="0.25">
      <c r="S8979" s="78">
        <v>36366</v>
      </c>
      <c r="T8979" s="29">
        <v>5</v>
      </c>
    </row>
    <row r="8980" spans="19:20" x14ac:dyDescent="0.25">
      <c r="S8980" s="78">
        <v>36367</v>
      </c>
      <c r="T8980" s="29">
        <v>5</v>
      </c>
    </row>
    <row r="8981" spans="19:20" x14ac:dyDescent="0.25">
      <c r="S8981" s="78">
        <v>36368</v>
      </c>
      <c r="T8981" s="29">
        <v>5</v>
      </c>
    </row>
    <row r="8982" spans="19:20" x14ac:dyDescent="0.25">
      <c r="S8982" s="78">
        <v>36369</v>
      </c>
      <c r="T8982" s="29">
        <v>5</v>
      </c>
    </row>
    <row r="8983" spans="19:20" x14ac:dyDescent="0.25">
      <c r="S8983" s="78">
        <v>36370</v>
      </c>
      <c r="T8983" s="29">
        <v>5</v>
      </c>
    </row>
    <row r="8984" spans="19:20" x14ac:dyDescent="0.25">
      <c r="S8984" s="78">
        <v>36371</v>
      </c>
      <c r="T8984" s="29">
        <v>5</v>
      </c>
    </row>
    <row r="8985" spans="19:20" x14ac:dyDescent="0.25">
      <c r="S8985" s="78">
        <v>36372</v>
      </c>
      <c r="T8985" s="29">
        <v>5</v>
      </c>
    </row>
    <row r="8986" spans="19:20" x14ac:dyDescent="0.25">
      <c r="S8986" s="78">
        <v>36373</v>
      </c>
      <c r="T8986" s="29">
        <v>5</v>
      </c>
    </row>
    <row r="8987" spans="19:20" x14ac:dyDescent="0.25">
      <c r="S8987" s="78">
        <v>36374</v>
      </c>
      <c r="T8987" s="29">
        <v>5</v>
      </c>
    </row>
    <row r="8988" spans="19:20" x14ac:dyDescent="0.25">
      <c r="S8988" s="78">
        <v>36375</v>
      </c>
      <c r="T8988" s="29">
        <v>5</v>
      </c>
    </row>
    <row r="8989" spans="19:20" x14ac:dyDescent="0.25">
      <c r="S8989" s="78">
        <v>36376</v>
      </c>
      <c r="T8989" s="29">
        <v>5</v>
      </c>
    </row>
    <row r="8990" spans="19:20" x14ac:dyDescent="0.25">
      <c r="S8990" s="78">
        <v>36377</v>
      </c>
      <c r="T8990" s="29">
        <v>5</v>
      </c>
    </row>
    <row r="8991" spans="19:20" x14ac:dyDescent="0.25">
      <c r="S8991" s="78">
        <v>36378</v>
      </c>
      <c r="T8991" s="29">
        <v>5</v>
      </c>
    </row>
    <row r="8992" spans="19:20" x14ac:dyDescent="0.25">
      <c r="S8992" s="78">
        <v>36379</v>
      </c>
      <c r="T8992" s="29">
        <v>5</v>
      </c>
    </row>
    <row r="8993" spans="19:20" x14ac:dyDescent="0.25">
      <c r="S8993" s="78">
        <v>36380</v>
      </c>
      <c r="T8993" s="29">
        <v>5</v>
      </c>
    </row>
    <row r="8994" spans="19:20" x14ac:dyDescent="0.25">
      <c r="S8994" s="78">
        <v>36381</v>
      </c>
      <c r="T8994" s="29">
        <v>5</v>
      </c>
    </row>
    <row r="8995" spans="19:20" x14ac:dyDescent="0.25">
      <c r="S8995" s="78">
        <v>36382</v>
      </c>
      <c r="T8995" s="29">
        <v>5</v>
      </c>
    </row>
    <row r="8996" spans="19:20" x14ac:dyDescent="0.25">
      <c r="S8996" s="78">
        <v>36383</v>
      </c>
      <c r="T8996" s="29">
        <v>5</v>
      </c>
    </row>
    <row r="8997" spans="19:20" x14ac:dyDescent="0.25">
      <c r="S8997" s="78">
        <v>36384</v>
      </c>
      <c r="T8997" s="29">
        <v>5</v>
      </c>
    </row>
    <row r="8998" spans="19:20" x14ac:dyDescent="0.25">
      <c r="S8998" s="78">
        <v>36385</v>
      </c>
      <c r="T8998" s="29">
        <v>5</v>
      </c>
    </row>
    <row r="8999" spans="19:20" x14ac:dyDescent="0.25">
      <c r="S8999" s="78">
        <v>36386</v>
      </c>
      <c r="T8999" s="29">
        <v>5</v>
      </c>
    </row>
    <row r="9000" spans="19:20" x14ac:dyDescent="0.25">
      <c r="S9000" s="78">
        <v>36387</v>
      </c>
      <c r="T9000" s="29">
        <v>5</v>
      </c>
    </row>
    <row r="9001" spans="19:20" x14ac:dyDescent="0.25">
      <c r="S9001" s="78">
        <v>36388</v>
      </c>
      <c r="T9001" s="29">
        <v>5</v>
      </c>
    </row>
    <row r="9002" spans="19:20" x14ac:dyDescent="0.25">
      <c r="S9002" s="78">
        <v>36389</v>
      </c>
      <c r="T9002" s="29">
        <v>5</v>
      </c>
    </row>
    <row r="9003" spans="19:20" x14ac:dyDescent="0.25">
      <c r="S9003" s="78">
        <v>36390</v>
      </c>
      <c r="T9003" s="29">
        <v>5</v>
      </c>
    </row>
    <row r="9004" spans="19:20" x14ac:dyDescent="0.25">
      <c r="S9004" s="78">
        <v>36391</v>
      </c>
      <c r="T9004" s="29">
        <v>5</v>
      </c>
    </row>
    <row r="9005" spans="19:20" x14ac:dyDescent="0.25">
      <c r="S9005" s="78">
        <v>36392</v>
      </c>
      <c r="T9005" s="29">
        <v>5</v>
      </c>
    </row>
    <row r="9006" spans="19:20" x14ac:dyDescent="0.25">
      <c r="S9006" s="78">
        <v>36393</v>
      </c>
      <c r="T9006" s="29">
        <v>5</v>
      </c>
    </row>
    <row r="9007" spans="19:20" x14ac:dyDescent="0.25">
      <c r="S9007" s="78">
        <v>36394</v>
      </c>
      <c r="T9007" s="29">
        <v>5</v>
      </c>
    </row>
    <row r="9008" spans="19:20" x14ac:dyDescent="0.25">
      <c r="S9008" s="78">
        <v>36395</v>
      </c>
      <c r="T9008" s="29">
        <v>5</v>
      </c>
    </row>
    <row r="9009" spans="19:20" x14ac:dyDescent="0.25">
      <c r="S9009" s="78">
        <v>36396</v>
      </c>
      <c r="T9009" s="29">
        <v>5</v>
      </c>
    </row>
    <row r="9010" spans="19:20" x14ac:dyDescent="0.25">
      <c r="S9010" s="78">
        <v>36397</v>
      </c>
      <c r="T9010" s="29">
        <v>5</v>
      </c>
    </row>
    <row r="9011" spans="19:20" x14ac:dyDescent="0.25">
      <c r="S9011" s="78">
        <v>36398</v>
      </c>
      <c r="T9011" s="29">
        <v>5</v>
      </c>
    </row>
    <row r="9012" spans="19:20" x14ac:dyDescent="0.25">
      <c r="S9012" s="78">
        <v>36399</v>
      </c>
      <c r="T9012" s="29">
        <v>5</v>
      </c>
    </row>
    <row r="9013" spans="19:20" x14ac:dyDescent="0.25">
      <c r="S9013" s="78">
        <v>36400</v>
      </c>
      <c r="T9013" s="29">
        <v>5</v>
      </c>
    </row>
    <row r="9014" spans="19:20" x14ac:dyDescent="0.25">
      <c r="S9014" s="78">
        <v>36401</v>
      </c>
      <c r="T9014" s="29">
        <v>5</v>
      </c>
    </row>
    <row r="9015" spans="19:20" x14ac:dyDescent="0.25">
      <c r="S9015" s="78">
        <v>36402</v>
      </c>
      <c r="T9015" s="29">
        <v>5</v>
      </c>
    </row>
    <row r="9016" spans="19:20" x14ac:dyDescent="0.25">
      <c r="S9016" s="78">
        <v>36403</v>
      </c>
      <c r="T9016" s="29">
        <v>5</v>
      </c>
    </row>
    <row r="9017" spans="19:20" x14ac:dyDescent="0.25">
      <c r="S9017" s="78">
        <v>36404</v>
      </c>
      <c r="T9017" s="29">
        <v>5</v>
      </c>
    </row>
    <row r="9018" spans="19:20" x14ac:dyDescent="0.25">
      <c r="S9018" s="78">
        <v>36405</v>
      </c>
      <c r="T9018" s="29">
        <v>5</v>
      </c>
    </row>
    <row r="9019" spans="19:20" x14ac:dyDescent="0.25">
      <c r="S9019" s="78">
        <v>36406</v>
      </c>
      <c r="T9019" s="29">
        <v>5</v>
      </c>
    </row>
    <row r="9020" spans="19:20" x14ac:dyDescent="0.25">
      <c r="S9020" s="78">
        <v>36407</v>
      </c>
      <c r="T9020" s="29">
        <v>5</v>
      </c>
    </row>
    <row r="9021" spans="19:20" x14ac:dyDescent="0.25">
      <c r="S9021" s="78">
        <v>36408</v>
      </c>
      <c r="T9021" s="29">
        <v>5</v>
      </c>
    </row>
    <row r="9022" spans="19:20" x14ac:dyDescent="0.25">
      <c r="S9022" s="78">
        <v>36409</v>
      </c>
      <c r="T9022" s="29">
        <v>5</v>
      </c>
    </row>
    <row r="9023" spans="19:20" x14ac:dyDescent="0.25">
      <c r="S9023" s="78">
        <v>36410</v>
      </c>
      <c r="T9023" s="29">
        <v>5</v>
      </c>
    </row>
    <row r="9024" spans="19:20" x14ac:dyDescent="0.25">
      <c r="S9024" s="78">
        <v>36411</v>
      </c>
      <c r="T9024" s="29">
        <v>5.25</v>
      </c>
    </row>
    <row r="9025" spans="19:20" x14ac:dyDescent="0.25">
      <c r="S9025" s="78">
        <v>36412</v>
      </c>
      <c r="T9025" s="29">
        <v>5.25</v>
      </c>
    </row>
    <row r="9026" spans="19:20" x14ac:dyDescent="0.25">
      <c r="S9026" s="78">
        <v>36413</v>
      </c>
      <c r="T9026" s="29">
        <v>5.25</v>
      </c>
    </row>
    <row r="9027" spans="19:20" x14ac:dyDescent="0.25">
      <c r="S9027" s="78">
        <v>36414</v>
      </c>
      <c r="T9027" s="29">
        <v>5.25</v>
      </c>
    </row>
    <row r="9028" spans="19:20" x14ac:dyDescent="0.25">
      <c r="S9028" s="78">
        <v>36415</v>
      </c>
      <c r="T9028" s="29">
        <v>5.25</v>
      </c>
    </row>
    <row r="9029" spans="19:20" x14ac:dyDescent="0.25">
      <c r="S9029" s="78">
        <v>36416</v>
      </c>
      <c r="T9029" s="29">
        <v>5.25</v>
      </c>
    </row>
    <row r="9030" spans="19:20" x14ac:dyDescent="0.25">
      <c r="S9030" s="78">
        <v>36417</v>
      </c>
      <c r="T9030" s="29">
        <v>5.25</v>
      </c>
    </row>
    <row r="9031" spans="19:20" x14ac:dyDescent="0.25">
      <c r="S9031" s="78">
        <v>36418</v>
      </c>
      <c r="T9031" s="29">
        <v>5.25</v>
      </c>
    </row>
    <row r="9032" spans="19:20" x14ac:dyDescent="0.25">
      <c r="S9032" s="78">
        <v>36419</v>
      </c>
      <c r="T9032" s="29">
        <v>5.25</v>
      </c>
    </row>
    <row r="9033" spans="19:20" x14ac:dyDescent="0.25">
      <c r="S9033" s="78">
        <v>36420</v>
      </c>
      <c r="T9033" s="29">
        <v>5.25</v>
      </c>
    </row>
    <row r="9034" spans="19:20" x14ac:dyDescent="0.25">
      <c r="S9034" s="78">
        <v>36421</v>
      </c>
      <c r="T9034" s="29">
        <v>5.25</v>
      </c>
    </row>
    <row r="9035" spans="19:20" x14ac:dyDescent="0.25">
      <c r="S9035" s="78">
        <v>36422</v>
      </c>
      <c r="T9035" s="29">
        <v>5.25</v>
      </c>
    </row>
    <row r="9036" spans="19:20" x14ac:dyDescent="0.25">
      <c r="S9036" s="78">
        <v>36423</v>
      </c>
      <c r="T9036" s="29">
        <v>5.25</v>
      </c>
    </row>
    <row r="9037" spans="19:20" x14ac:dyDescent="0.25">
      <c r="S9037" s="78">
        <v>36424</v>
      </c>
      <c r="T9037" s="29">
        <v>5.25</v>
      </c>
    </row>
    <row r="9038" spans="19:20" x14ac:dyDescent="0.25">
      <c r="S9038" s="78">
        <v>36425</v>
      </c>
      <c r="T9038" s="29">
        <v>5.25</v>
      </c>
    </row>
    <row r="9039" spans="19:20" x14ac:dyDescent="0.25">
      <c r="S9039" s="78">
        <v>36426</v>
      </c>
      <c r="T9039" s="29">
        <v>5.25</v>
      </c>
    </row>
    <row r="9040" spans="19:20" x14ac:dyDescent="0.25">
      <c r="S9040" s="78">
        <v>36427</v>
      </c>
      <c r="T9040" s="29">
        <v>5.25</v>
      </c>
    </row>
    <row r="9041" spans="19:21" x14ac:dyDescent="0.25">
      <c r="S9041" s="78">
        <v>36428</v>
      </c>
      <c r="T9041" s="29">
        <v>5.25</v>
      </c>
    </row>
    <row r="9042" spans="19:21" x14ac:dyDescent="0.25">
      <c r="S9042" s="78">
        <v>36429</v>
      </c>
      <c r="T9042" s="29">
        <v>5.25</v>
      </c>
    </row>
    <row r="9043" spans="19:21" x14ac:dyDescent="0.25">
      <c r="S9043" s="78">
        <v>36430</v>
      </c>
      <c r="T9043" s="29">
        <v>5.25</v>
      </c>
    </row>
    <row r="9044" spans="19:21" x14ac:dyDescent="0.25">
      <c r="S9044" s="78">
        <v>36431</v>
      </c>
      <c r="T9044" s="29">
        <v>5.25</v>
      </c>
    </row>
    <row r="9045" spans="19:21" x14ac:dyDescent="0.25">
      <c r="S9045" s="78">
        <v>36432</v>
      </c>
      <c r="T9045" s="29">
        <v>5.25</v>
      </c>
    </row>
    <row r="9046" spans="19:21" x14ac:dyDescent="0.25">
      <c r="S9046" s="78">
        <v>36433</v>
      </c>
      <c r="T9046" s="29">
        <v>5.25</v>
      </c>
      <c r="U9046" s="40">
        <f>AVERAGE(T8955:T9046)</f>
        <v>5.0625</v>
      </c>
    </row>
    <row r="9047" spans="19:21" x14ac:dyDescent="0.25">
      <c r="S9047" s="78">
        <v>36434</v>
      </c>
      <c r="T9047" s="29">
        <v>5.25</v>
      </c>
    </row>
    <row r="9048" spans="19:21" x14ac:dyDescent="0.25">
      <c r="S9048" s="78">
        <v>36435</v>
      </c>
      <c r="T9048" s="29">
        <v>5.25</v>
      </c>
    </row>
    <row r="9049" spans="19:21" x14ac:dyDescent="0.25">
      <c r="S9049" s="78">
        <v>36436</v>
      </c>
      <c r="T9049" s="29">
        <v>5.25</v>
      </c>
    </row>
    <row r="9050" spans="19:21" x14ac:dyDescent="0.25">
      <c r="S9050" s="78">
        <v>36437</v>
      </c>
      <c r="T9050" s="29">
        <v>5.25</v>
      </c>
    </row>
    <row r="9051" spans="19:21" x14ac:dyDescent="0.25">
      <c r="S9051" s="78">
        <v>36438</v>
      </c>
      <c r="T9051" s="29">
        <v>5.25</v>
      </c>
    </row>
    <row r="9052" spans="19:21" x14ac:dyDescent="0.25">
      <c r="S9052" s="78">
        <v>36439</v>
      </c>
      <c r="T9052" s="29">
        <v>5.25</v>
      </c>
    </row>
    <row r="9053" spans="19:21" x14ac:dyDescent="0.25">
      <c r="S9053" s="78">
        <v>36440</v>
      </c>
      <c r="T9053" s="29">
        <v>5.25</v>
      </c>
    </row>
    <row r="9054" spans="19:21" x14ac:dyDescent="0.25">
      <c r="S9054" s="78">
        <v>36441</v>
      </c>
      <c r="T9054" s="29">
        <v>5.25</v>
      </c>
    </row>
    <row r="9055" spans="19:21" x14ac:dyDescent="0.25">
      <c r="S9055" s="78">
        <v>36442</v>
      </c>
      <c r="T9055" s="29">
        <v>5.25</v>
      </c>
    </row>
    <row r="9056" spans="19:21" x14ac:dyDescent="0.25">
      <c r="S9056" s="78">
        <v>36443</v>
      </c>
      <c r="T9056" s="29">
        <v>5.25</v>
      </c>
    </row>
    <row r="9057" spans="19:20" x14ac:dyDescent="0.25">
      <c r="S9057" s="78">
        <v>36444</v>
      </c>
      <c r="T9057" s="29">
        <v>5.25</v>
      </c>
    </row>
    <row r="9058" spans="19:20" x14ac:dyDescent="0.25">
      <c r="S9058" s="78">
        <v>36445</v>
      </c>
      <c r="T9058" s="29">
        <v>5.25</v>
      </c>
    </row>
    <row r="9059" spans="19:20" x14ac:dyDescent="0.25">
      <c r="S9059" s="78">
        <v>36446</v>
      </c>
      <c r="T9059" s="29">
        <v>5.25</v>
      </c>
    </row>
    <row r="9060" spans="19:20" x14ac:dyDescent="0.25">
      <c r="S9060" s="78">
        <v>36447</v>
      </c>
      <c r="T9060" s="29">
        <v>5.25</v>
      </c>
    </row>
    <row r="9061" spans="19:20" x14ac:dyDescent="0.25">
      <c r="S9061" s="78">
        <v>36448</v>
      </c>
      <c r="T9061" s="29">
        <v>5.25</v>
      </c>
    </row>
    <row r="9062" spans="19:20" x14ac:dyDescent="0.25">
      <c r="S9062" s="78">
        <v>36449</v>
      </c>
      <c r="T9062" s="29">
        <v>5.25</v>
      </c>
    </row>
    <row r="9063" spans="19:20" x14ac:dyDescent="0.25">
      <c r="S9063" s="78">
        <v>36450</v>
      </c>
      <c r="T9063" s="29">
        <v>5.25</v>
      </c>
    </row>
    <row r="9064" spans="19:20" x14ac:dyDescent="0.25">
      <c r="S9064" s="78">
        <v>36451</v>
      </c>
      <c r="T9064" s="29">
        <v>5.25</v>
      </c>
    </row>
    <row r="9065" spans="19:20" x14ac:dyDescent="0.25">
      <c r="S9065" s="78">
        <v>36452</v>
      </c>
      <c r="T9065" s="29">
        <v>5.25</v>
      </c>
    </row>
    <row r="9066" spans="19:20" x14ac:dyDescent="0.25">
      <c r="S9066" s="78">
        <v>36453</v>
      </c>
      <c r="T9066" s="29">
        <v>5.25</v>
      </c>
    </row>
    <row r="9067" spans="19:20" x14ac:dyDescent="0.25">
      <c r="S9067" s="78">
        <v>36454</v>
      </c>
      <c r="T9067" s="29">
        <v>5.25</v>
      </c>
    </row>
    <row r="9068" spans="19:20" x14ac:dyDescent="0.25">
      <c r="S9068" s="78">
        <v>36455</v>
      </c>
      <c r="T9068" s="29">
        <v>5.25</v>
      </c>
    </row>
    <row r="9069" spans="19:20" x14ac:dyDescent="0.25">
      <c r="S9069" s="78">
        <v>36456</v>
      </c>
      <c r="T9069" s="29">
        <v>5.25</v>
      </c>
    </row>
    <row r="9070" spans="19:20" x14ac:dyDescent="0.25">
      <c r="S9070" s="78">
        <v>36457</v>
      </c>
      <c r="T9070" s="29">
        <v>5.25</v>
      </c>
    </row>
    <row r="9071" spans="19:20" x14ac:dyDescent="0.25">
      <c r="S9071" s="78">
        <v>36458</v>
      </c>
      <c r="T9071" s="29">
        <v>5.25</v>
      </c>
    </row>
    <row r="9072" spans="19:20" x14ac:dyDescent="0.25">
      <c r="S9072" s="78">
        <v>36459</v>
      </c>
      <c r="T9072" s="29">
        <v>5.25</v>
      </c>
    </row>
    <row r="9073" spans="19:20" x14ac:dyDescent="0.25">
      <c r="S9073" s="78">
        <v>36460</v>
      </c>
      <c r="T9073" s="29">
        <v>5.25</v>
      </c>
    </row>
    <row r="9074" spans="19:20" x14ac:dyDescent="0.25">
      <c r="S9074" s="78">
        <v>36461</v>
      </c>
      <c r="T9074" s="29">
        <v>5.25</v>
      </c>
    </row>
    <row r="9075" spans="19:20" x14ac:dyDescent="0.25">
      <c r="S9075" s="78">
        <v>36462</v>
      </c>
      <c r="T9075" s="29">
        <v>5.25</v>
      </c>
    </row>
    <row r="9076" spans="19:20" x14ac:dyDescent="0.25">
      <c r="S9076" s="78">
        <v>36463</v>
      </c>
      <c r="T9076" s="29">
        <v>5.25</v>
      </c>
    </row>
    <row r="9077" spans="19:20" x14ac:dyDescent="0.25">
      <c r="S9077" s="78">
        <v>36464</v>
      </c>
      <c r="T9077" s="29">
        <v>5.25</v>
      </c>
    </row>
    <row r="9078" spans="19:20" x14ac:dyDescent="0.25">
      <c r="S9078" s="78">
        <v>36465</v>
      </c>
      <c r="T9078" s="29">
        <v>5.25</v>
      </c>
    </row>
    <row r="9079" spans="19:20" x14ac:dyDescent="0.25">
      <c r="S9079" s="78">
        <v>36466</v>
      </c>
      <c r="T9079" s="29">
        <v>5.25</v>
      </c>
    </row>
    <row r="9080" spans="19:20" x14ac:dyDescent="0.25">
      <c r="S9080" s="78">
        <v>36467</v>
      </c>
      <c r="T9080" s="29">
        <v>5.25</v>
      </c>
    </row>
    <row r="9081" spans="19:20" x14ac:dyDescent="0.25">
      <c r="S9081" s="78">
        <v>36468</v>
      </c>
      <c r="T9081" s="29">
        <v>5.5</v>
      </c>
    </row>
    <row r="9082" spans="19:20" x14ac:dyDescent="0.25">
      <c r="S9082" s="78">
        <v>36469</v>
      </c>
      <c r="T9082" s="29">
        <v>5.5</v>
      </c>
    </row>
    <row r="9083" spans="19:20" x14ac:dyDescent="0.25">
      <c r="S9083" s="78">
        <v>36470</v>
      </c>
      <c r="T9083" s="29">
        <v>5.5</v>
      </c>
    </row>
    <row r="9084" spans="19:20" x14ac:dyDescent="0.25">
      <c r="S9084" s="78">
        <v>36471</v>
      </c>
      <c r="T9084" s="29">
        <v>5.5</v>
      </c>
    </row>
    <row r="9085" spans="19:20" x14ac:dyDescent="0.25">
      <c r="S9085" s="78">
        <v>36472</v>
      </c>
      <c r="T9085" s="29">
        <v>5.5</v>
      </c>
    </row>
    <row r="9086" spans="19:20" x14ac:dyDescent="0.25">
      <c r="S9086" s="78">
        <v>36473</v>
      </c>
      <c r="T9086" s="29">
        <v>5.5</v>
      </c>
    </row>
    <row r="9087" spans="19:20" x14ac:dyDescent="0.25">
      <c r="S9087" s="78">
        <v>36474</v>
      </c>
      <c r="T9087" s="29">
        <v>5.5</v>
      </c>
    </row>
    <row r="9088" spans="19:20" x14ac:dyDescent="0.25">
      <c r="S9088" s="78">
        <v>36475</v>
      </c>
      <c r="T9088" s="29">
        <v>5.5</v>
      </c>
    </row>
    <row r="9089" spans="19:20" x14ac:dyDescent="0.25">
      <c r="S9089" s="78">
        <v>36476</v>
      </c>
      <c r="T9089" s="29">
        <v>5.5</v>
      </c>
    </row>
    <row r="9090" spans="19:20" x14ac:dyDescent="0.25">
      <c r="S9090" s="78">
        <v>36477</v>
      </c>
      <c r="T9090" s="29">
        <v>5.5</v>
      </c>
    </row>
    <row r="9091" spans="19:20" x14ac:dyDescent="0.25">
      <c r="S9091" s="78">
        <v>36478</v>
      </c>
      <c r="T9091" s="29">
        <v>5.5</v>
      </c>
    </row>
    <row r="9092" spans="19:20" x14ac:dyDescent="0.25">
      <c r="S9092" s="78">
        <v>36479</v>
      </c>
      <c r="T9092" s="29">
        <v>5.5</v>
      </c>
    </row>
    <row r="9093" spans="19:20" x14ac:dyDescent="0.25">
      <c r="S9093" s="78">
        <v>36480</v>
      </c>
      <c r="T9093" s="29">
        <v>5.5</v>
      </c>
    </row>
    <row r="9094" spans="19:20" x14ac:dyDescent="0.25">
      <c r="S9094" s="78">
        <v>36481</v>
      </c>
      <c r="T9094" s="29">
        <v>5.5</v>
      </c>
    </row>
    <row r="9095" spans="19:20" x14ac:dyDescent="0.25">
      <c r="S9095" s="78">
        <v>36482</v>
      </c>
      <c r="T9095" s="29">
        <v>5.5</v>
      </c>
    </row>
    <row r="9096" spans="19:20" x14ac:dyDescent="0.25">
      <c r="S9096" s="78">
        <v>36483</v>
      </c>
      <c r="T9096" s="29">
        <v>5.5</v>
      </c>
    </row>
    <row r="9097" spans="19:20" x14ac:dyDescent="0.25">
      <c r="S9097" s="78">
        <v>36484</v>
      </c>
      <c r="T9097" s="29">
        <v>5.5</v>
      </c>
    </row>
    <row r="9098" spans="19:20" x14ac:dyDescent="0.25">
      <c r="S9098" s="78">
        <v>36485</v>
      </c>
      <c r="T9098" s="29">
        <v>5.5</v>
      </c>
    </row>
    <row r="9099" spans="19:20" x14ac:dyDescent="0.25">
      <c r="S9099" s="78">
        <v>36486</v>
      </c>
      <c r="T9099" s="29">
        <v>5.5</v>
      </c>
    </row>
    <row r="9100" spans="19:20" x14ac:dyDescent="0.25">
      <c r="S9100" s="78">
        <v>36487</v>
      </c>
      <c r="T9100" s="29">
        <v>5.5</v>
      </c>
    </row>
    <row r="9101" spans="19:20" x14ac:dyDescent="0.25">
      <c r="S9101" s="78">
        <v>36488</v>
      </c>
      <c r="T9101" s="29">
        <v>5.5</v>
      </c>
    </row>
    <row r="9102" spans="19:20" x14ac:dyDescent="0.25">
      <c r="S9102" s="78">
        <v>36489</v>
      </c>
      <c r="T9102" s="29">
        <v>5.5</v>
      </c>
    </row>
    <row r="9103" spans="19:20" x14ac:dyDescent="0.25">
      <c r="S9103" s="78">
        <v>36490</v>
      </c>
      <c r="T9103" s="29">
        <v>5.5</v>
      </c>
    </row>
    <row r="9104" spans="19:20" x14ac:dyDescent="0.25">
      <c r="S9104" s="78">
        <v>36491</v>
      </c>
      <c r="T9104" s="29">
        <v>5.5</v>
      </c>
    </row>
    <row r="9105" spans="19:20" x14ac:dyDescent="0.25">
      <c r="S9105" s="78">
        <v>36492</v>
      </c>
      <c r="T9105" s="29">
        <v>5.5</v>
      </c>
    </row>
    <row r="9106" spans="19:20" x14ac:dyDescent="0.25">
      <c r="S9106" s="78">
        <v>36493</v>
      </c>
      <c r="T9106" s="29">
        <v>5.5</v>
      </c>
    </row>
    <row r="9107" spans="19:20" x14ac:dyDescent="0.25">
      <c r="S9107" s="78">
        <v>36494</v>
      </c>
      <c r="T9107" s="29">
        <v>5.5</v>
      </c>
    </row>
    <row r="9108" spans="19:20" x14ac:dyDescent="0.25">
      <c r="S9108" s="78">
        <v>36495</v>
      </c>
      <c r="T9108" s="29">
        <v>5.5</v>
      </c>
    </row>
    <row r="9109" spans="19:20" x14ac:dyDescent="0.25">
      <c r="S9109" s="78">
        <v>36496</v>
      </c>
      <c r="T9109" s="29">
        <v>5.5</v>
      </c>
    </row>
    <row r="9110" spans="19:20" x14ac:dyDescent="0.25">
      <c r="S9110" s="78">
        <v>36497</v>
      </c>
      <c r="T9110" s="29">
        <v>5.5</v>
      </c>
    </row>
    <row r="9111" spans="19:20" x14ac:dyDescent="0.25">
      <c r="S9111" s="78">
        <v>36498</v>
      </c>
      <c r="T9111" s="29">
        <v>5.5</v>
      </c>
    </row>
    <row r="9112" spans="19:20" x14ac:dyDescent="0.25">
      <c r="S9112" s="78">
        <v>36499</v>
      </c>
      <c r="T9112" s="29">
        <v>5.5</v>
      </c>
    </row>
    <row r="9113" spans="19:20" x14ac:dyDescent="0.25">
      <c r="S9113" s="78">
        <v>36500</v>
      </c>
      <c r="T9113" s="29">
        <v>5.5</v>
      </c>
    </row>
    <row r="9114" spans="19:20" x14ac:dyDescent="0.25">
      <c r="S9114" s="78">
        <v>36501</v>
      </c>
      <c r="T9114" s="29">
        <v>5.5</v>
      </c>
    </row>
    <row r="9115" spans="19:20" x14ac:dyDescent="0.25">
      <c r="S9115" s="78">
        <v>36502</v>
      </c>
      <c r="T9115" s="29">
        <v>5.5</v>
      </c>
    </row>
    <row r="9116" spans="19:20" x14ac:dyDescent="0.25">
      <c r="S9116" s="78">
        <v>36503</v>
      </c>
      <c r="T9116" s="29">
        <v>5.5</v>
      </c>
    </row>
    <row r="9117" spans="19:20" x14ac:dyDescent="0.25">
      <c r="S9117" s="78">
        <v>36504</v>
      </c>
      <c r="T9117" s="29">
        <v>5.5</v>
      </c>
    </row>
    <row r="9118" spans="19:20" x14ac:dyDescent="0.25">
      <c r="S9118" s="78">
        <v>36505</v>
      </c>
      <c r="T9118" s="29">
        <v>5.5</v>
      </c>
    </row>
    <row r="9119" spans="19:20" x14ac:dyDescent="0.25">
      <c r="S9119" s="78">
        <v>36506</v>
      </c>
      <c r="T9119" s="29">
        <v>5.5</v>
      </c>
    </row>
    <row r="9120" spans="19:20" x14ac:dyDescent="0.25">
      <c r="S9120" s="78">
        <v>36507</v>
      </c>
      <c r="T9120" s="29">
        <v>5.5</v>
      </c>
    </row>
    <row r="9121" spans="19:20" x14ac:dyDescent="0.25">
      <c r="S9121" s="78">
        <v>36508</v>
      </c>
      <c r="T9121" s="29">
        <v>5.5</v>
      </c>
    </row>
    <row r="9122" spans="19:20" x14ac:dyDescent="0.25">
      <c r="S9122" s="78">
        <v>36509</v>
      </c>
      <c r="T9122" s="29">
        <v>5.5</v>
      </c>
    </row>
    <row r="9123" spans="19:20" x14ac:dyDescent="0.25">
      <c r="S9123" s="78">
        <v>36510</v>
      </c>
      <c r="T9123" s="29">
        <v>5.5</v>
      </c>
    </row>
    <row r="9124" spans="19:20" x14ac:dyDescent="0.25">
      <c r="S9124" s="78">
        <v>36511</v>
      </c>
      <c r="T9124" s="29">
        <v>5.5</v>
      </c>
    </row>
    <row r="9125" spans="19:20" x14ac:dyDescent="0.25">
      <c r="S9125" s="78">
        <v>36512</v>
      </c>
      <c r="T9125" s="29">
        <v>5.5</v>
      </c>
    </row>
    <row r="9126" spans="19:20" x14ac:dyDescent="0.25">
      <c r="S9126" s="78">
        <v>36513</v>
      </c>
      <c r="T9126" s="29">
        <v>5.5</v>
      </c>
    </row>
    <row r="9127" spans="19:20" x14ac:dyDescent="0.25">
      <c r="S9127" s="78">
        <v>36514</v>
      </c>
      <c r="T9127" s="29">
        <v>5.5</v>
      </c>
    </row>
    <row r="9128" spans="19:20" x14ac:dyDescent="0.25">
      <c r="S9128" s="78">
        <v>36515</v>
      </c>
      <c r="T9128" s="29">
        <v>5.5</v>
      </c>
    </row>
    <row r="9129" spans="19:20" x14ac:dyDescent="0.25">
      <c r="S9129" s="78">
        <v>36516</v>
      </c>
      <c r="T9129" s="29">
        <v>5.5</v>
      </c>
    </row>
    <row r="9130" spans="19:20" x14ac:dyDescent="0.25">
      <c r="S9130" s="78">
        <v>36517</v>
      </c>
      <c r="T9130" s="29">
        <v>5.5</v>
      </c>
    </row>
    <row r="9131" spans="19:20" x14ac:dyDescent="0.25">
      <c r="S9131" s="78">
        <v>36518</v>
      </c>
      <c r="T9131" s="29">
        <v>5.5</v>
      </c>
    </row>
    <row r="9132" spans="19:20" x14ac:dyDescent="0.25">
      <c r="S9132" s="78">
        <v>36519</v>
      </c>
      <c r="T9132" s="29">
        <v>5.5</v>
      </c>
    </row>
    <row r="9133" spans="19:20" x14ac:dyDescent="0.25">
      <c r="S9133" s="78">
        <v>36520</v>
      </c>
      <c r="T9133" s="29">
        <v>5.5</v>
      </c>
    </row>
    <row r="9134" spans="19:20" x14ac:dyDescent="0.25">
      <c r="S9134" s="78">
        <v>36521</v>
      </c>
      <c r="T9134" s="29">
        <v>5.5</v>
      </c>
    </row>
    <row r="9135" spans="19:20" x14ac:dyDescent="0.25">
      <c r="S9135" s="78">
        <v>36522</v>
      </c>
      <c r="T9135" s="29">
        <v>5.5</v>
      </c>
    </row>
    <row r="9136" spans="19:20" x14ac:dyDescent="0.25">
      <c r="S9136" s="78">
        <v>36523</v>
      </c>
      <c r="T9136" s="29">
        <v>5.5</v>
      </c>
    </row>
    <row r="9137" spans="19:21" x14ac:dyDescent="0.25">
      <c r="S9137" s="78">
        <v>36524</v>
      </c>
      <c r="T9137" s="29">
        <v>5.5</v>
      </c>
    </row>
    <row r="9138" spans="19:21" x14ac:dyDescent="0.25">
      <c r="S9138" s="78">
        <v>36525</v>
      </c>
      <c r="T9138" s="29">
        <v>5.5</v>
      </c>
      <c r="U9138" s="40">
        <f>AVERAGE(T9047:T9138)</f>
        <v>5.4076086956521738</v>
      </c>
    </row>
    <row r="9139" spans="19:21" x14ac:dyDescent="0.25">
      <c r="S9139" s="78">
        <v>36526</v>
      </c>
      <c r="T9139" s="29">
        <v>5.5</v>
      </c>
    </row>
    <row r="9140" spans="19:21" x14ac:dyDescent="0.25">
      <c r="S9140" s="78">
        <v>36527</v>
      </c>
      <c r="T9140" s="29">
        <v>5.5</v>
      </c>
    </row>
    <row r="9141" spans="19:21" x14ac:dyDescent="0.25">
      <c r="S9141" s="78">
        <v>36528</v>
      </c>
      <c r="T9141" s="29">
        <v>5.5</v>
      </c>
    </row>
    <row r="9142" spans="19:21" x14ac:dyDescent="0.25">
      <c r="S9142" s="78">
        <v>36529</v>
      </c>
      <c r="T9142" s="29">
        <v>5.5</v>
      </c>
    </row>
    <row r="9143" spans="19:21" x14ac:dyDescent="0.25">
      <c r="S9143" s="78">
        <v>36530</v>
      </c>
      <c r="T9143" s="29">
        <v>5.5</v>
      </c>
    </row>
    <row r="9144" spans="19:21" x14ac:dyDescent="0.25">
      <c r="S9144" s="78">
        <v>36531</v>
      </c>
      <c r="T9144" s="29">
        <v>5.5</v>
      </c>
    </row>
    <row r="9145" spans="19:21" x14ac:dyDescent="0.25">
      <c r="S9145" s="78">
        <v>36532</v>
      </c>
      <c r="T9145" s="29">
        <v>5.5</v>
      </c>
    </row>
    <row r="9146" spans="19:21" x14ac:dyDescent="0.25">
      <c r="S9146" s="78">
        <v>36533</v>
      </c>
      <c r="T9146" s="29">
        <v>5.5</v>
      </c>
    </row>
    <row r="9147" spans="19:21" x14ac:dyDescent="0.25">
      <c r="S9147" s="78">
        <v>36534</v>
      </c>
      <c r="T9147" s="29">
        <v>5.5</v>
      </c>
    </row>
    <row r="9148" spans="19:21" x14ac:dyDescent="0.25">
      <c r="S9148" s="78">
        <v>36535</v>
      </c>
      <c r="T9148" s="29">
        <v>5.5</v>
      </c>
    </row>
    <row r="9149" spans="19:21" x14ac:dyDescent="0.25">
      <c r="S9149" s="78">
        <v>36536</v>
      </c>
      <c r="T9149" s="29">
        <v>5.5</v>
      </c>
    </row>
    <row r="9150" spans="19:21" x14ac:dyDescent="0.25">
      <c r="S9150" s="78">
        <v>36537</v>
      </c>
      <c r="T9150" s="29">
        <v>5.5</v>
      </c>
    </row>
    <row r="9151" spans="19:21" x14ac:dyDescent="0.25">
      <c r="S9151" s="78">
        <v>36538</v>
      </c>
      <c r="T9151" s="29">
        <v>5.75</v>
      </c>
    </row>
    <row r="9152" spans="19:21" x14ac:dyDescent="0.25">
      <c r="S9152" s="78">
        <v>36539</v>
      </c>
      <c r="T9152" s="29">
        <v>5.75</v>
      </c>
    </row>
    <row r="9153" spans="19:20" x14ac:dyDescent="0.25">
      <c r="S9153" s="78">
        <v>36540</v>
      </c>
      <c r="T9153" s="29">
        <v>5.75</v>
      </c>
    </row>
    <row r="9154" spans="19:20" x14ac:dyDescent="0.25">
      <c r="S9154" s="78">
        <v>36541</v>
      </c>
      <c r="T9154" s="29">
        <v>5.75</v>
      </c>
    </row>
    <row r="9155" spans="19:20" x14ac:dyDescent="0.25">
      <c r="S9155" s="78">
        <v>36542</v>
      </c>
      <c r="T9155" s="29">
        <v>5.75</v>
      </c>
    </row>
    <row r="9156" spans="19:20" x14ac:dyDescent="0.25">
      <c r="S9156" s="78">
        <v>36543</v>
      </c>
      <c r="T9156" s="29">
        <v>5.75</v>
      </c>
    </row>
    <row r="9157" spans="19:20" x14ac:dyDescent="0.25">
      <c r="S9157" s="78">
        <v>36544</v>
      </c>
      <c r="T9157" s="29">
        <v>5.75</v>
      </c>
    </row>
    <row r="9158" spans="19:20" x14ac:dyDescent="0.25">
      <c r="S9158" s="78">
        <v>36545</v>
      </c>
      <c r="T9158" s="29">
        <v>5.75</v>
      </c>
    </row>
    <row r="9159" spans="19:20" x14ac:dyDescent="0.25">
      <c r="S9159" s="78">
        <v>36546</v>
      </c>
      <c r="T9159" s="29">
        <v>5.75</v>
      </c>
    </row>
    <row r="9160" spans="19:20" x14ac:dyDescent="0.25">
      <c r="S9160" s="78">
        <v>36547</v>
      </c>
      <c r="T9160" s="29">
        <v>5.75</v>
      </c>
    </row>
    <row r="9161" spans="19:20" x14ac:dyDescent="0.25">
      <c r="S9161" s="78">
        <v>36548</v>
      </c>
      <c r="T9161" s="29">
        <v>5.75</v>
      </c>
    </row>
    <row r="9162" spans="19:20" x14ac:dyDescent="0.25">
      <c r="S9162" s="78">
        <v>36549</v>
      </c>
      <c r="T9162" s="29">
        <v>5.75</v>
      </c>
    </row>
    <row r="9163" spans="19:20" x14ac:dyDescent="0.25">
      <c r="S9163" s="78">
        <v>36550</v>
      </c>
      <c r="T9163" s="29">
        <v>5.75</v>
      </c>
    </row>
    <row r="9164" spans="19:20" x14ac:dyDescent="0.25">
      <c r="S9164" s="78">
        <v>36551</v>
      </c>
      <c r="T9164" s="29">
        <v>5.75</v>
      </c>
    </row>
    <row r="9165" spans="19:20" x14ac:dyDescent="0.25">
      <c r="S9165" s="78">
        <v>36552</v>
      </c>
      <c r="T9165" s="29">
        <v>5.75</v>
      </c>
    </row>
    <row r="9166" spans="19:20" x14ac:dyDescent="0.25">
      <c r="S9166" s="78">
        <v>36553</v>
      </c>
      <c r="T9166" s="29">
        <v>5.75</v>
      </c>
    </row>
    <row r="9167" spans="19:20" x14ac:dyDescent="0.25">
      <c r="S9167" s="78">
        <v>36554</v>
      </c>
      <c r="T9167" s="29">
        <v>5.75</v>
      </c>
    </row>
    <row r="9168" spans="19:20" x14ac:dyDescent="0.25">
      <c r="S9168" s="78">
        <v>36555</v>
      </c>
      <c r="T9168" s="29">
        <v>5.75</v>
      </c>
    </row>
    <row r="9169" spans="19:20" x14ac:dyDescent="0.25">
      <c r="S9169" s="78">
        <v>36556</v>
      </c>
      <c r="T9169" s="29">
        <v>5.75</v>
      </c>
    </row>
    <row r="9170" spans="19:20" x14ac:dyDescent="0.25">
      <c r="S9170" s="78">
        <v>36557</v>
      </c>
      <c r="T9170" s="29">
        <v>5.75</v>
      </c>
    </row>
    <row r="9171" spans="19:20" x14ac:dyDescent="0.25">
      <c r="S9171" s="78">
        <v>36558</v>
      </c>
      <c r="T9171" s="29">
        <v>5.75</v>
      </c>
    </row>
    <row r="9172" spans="19:20" x14ac:dyDescent="0.25">
      <c r="S9172" s="78">
        <v>36559</v>
      </c>
      <c r="T9172" s="29">
        <v>5.75</v>
      </c>
    </row>
    <row r="9173" spans="19:20" x14ac:dyDescent="0.25">
      <c r="S9173" s="78">
        <v>36560</v>
      </c>
      <c r="T9173" s="29">
        <v>5.75</v>
      </c>
    </row>
    <row r="9174" spans="19:20" x14ac:dyDescent="0.25">
      <c r="S9174" s="78">
        <v>36561</v>
      </c>
      <c r="T9174" s="29">
        <v>5.75</v>
      </c>
    </row>
    <row r="9175" spans="19:20" x14ac:dyDescent="0.25">
      <c r="S9175" s="78">
        <v>36562</v>
      </c>
      <c r="T9175" s="29">
        <v>5.75</v>
      </c>
    </row>
    <row r="9176" spans="19:20" x14ac:dyDescent="0.25">
      <c r="S9176" s="78">
        <v>36563</v>
      </c>
      <c r="T9176" s="29">
        <v>5.75</v>
      </c>
    </row>
    <row r="9177" spans="19:20" x14ac:dyDescent="0.25">
      <c r="S9177" s="78">
        <v>36564</v>
      </c>
      <c r="T9177" s="29">
        <v>5.75</v>
      </c>
    </row>
    <row r="9178" spans="19:20" x14ac:dyDescent="0.25">
      <c r="S9178" s="78">
        <v>36565</v>
      </c>
      <c r="T9178" s="29">
        <v>5.75</v>
      </c>
    </row>
    <row r="9179" spans="19:20" x14ac:dyDescent="0.25">
      <c r="S9179" s="78">
        <v>36566</v>
      </c>
      <c r="T9179" s="29">
        <v>6</v>
      </c>
    </row>
    <row r="9180" spans="19:20" x14ac:dyDescent="0.25">
      <c r="S9180" s="78">
        <v>36567</v>
      </c>
      <c r="T9180" s="29">
        <v>6</v>
      </c>
    </row>
    <row r="9181" spans="19:20" x14ac:dyDescent="0.25">
      <c r="S9181" s="78">
        <v>36568</v>
      </c>
      <c r="T9181" s="29">
        <v>6</v>
      </c>
    </row>
    <row r="9182" spans="19:20" x14ac:dyDescent="0.25">
      <c r="S9182" s="78">
        <v>36569</v>
      </c>
      <c r="T9182" s="29">
        <v>6</v>
      </c>
    </row>
    <row r="9183" spans="19:20" x14ac:dyDescent="0.25">
      <c r="S9183" s="78">
        <v>36570</v>
      </c>
      <c r="T9183" s="29">
        <v>6</v>
      </c>
    </row>
    <row r="9184" spans="19:20" x14ac:dyDescent="0.25">
      <c r="S9184" s="78">
        <v>36571</v>
      </c>
      <c r="T9184" s="29">
        <v>6</v>
      </c>
    </row>
    <row r="9185" spans="19:20" x14ac:dyDescent="0.25">
      <c r="S9185" s="78">
        <v>36572</v>
      </c>
      <c r="T9185" s="29">
        <v>6</v>
      </c>
    </row>
    <row r="9186" spans="19:20" x14ac:dyDescent="0.25">
      <c r="S9186" s="78">
        <v>36573</v>
      </c>
      <c r="T9186" s="29">
        <v>6</v>
      </c>
    </row>
    <row r="9187" spans="19:20" x14ac:dyDescent="0.25">
      <c r="S9187" s="78">
        <v>36574</v>
      </c>
      <c r="T9187" s="29">
        <v>6</v>
      </c>
    </row>
    <row r="9188" spans="19:20" x14ac:dyDescent="0.25">
      <c r="S9188" s="78">
        <v>36575</v>
      </c>
      <c r="T9188" s="29">
        <v>6</v>
      </c>
    </row>
    <row r="9189" spans="19:20" x14ac:dyDescent="0.25">
      <c r="S9189" s="78">
        <v>36576</v>
      </c>
      <c r="T9189" s="29">
        <v>6</v>
      </c>
    </row>
    <row r="9190" spans="19:20" x14ac:dyDescent="0.25">
      <c r="S9190" s="78">
        <v>36577</v>
      </c>
      <c r="T9190" s="29">
        <v>6</v>
      </c>
    </row>
    <row r="9191" spans="19:20" x14ac:dyDescent="0.25">
      <c r="S9191" s="78">
        <v>36578</v>
      </c>
      <c r="T9191" s="29">
        <v>6</v>
      </c>
    </row>
    <row r="9192" spans="19:20" x14ac:dyDescent="0.25">
      <c r="S9192" s="78">
        <v>36579</v>
      </c>
      <c r="T9192" s="29">
        <v>6</v>
      </c>
    </row>
    <row r="9193" spans="19:20" x14ac:dyDescent="0.25">
      <c r="S9193" s="78">
        <v>36580</v>
      </c>
      <c r="T9193" s="29">
        <v>6</v>
      </c>
    </row>
    <row r="9194" spans="19:20" x14ac:dyDescent="0.25">
      <c r="S9194" s="78">
        <v>36581</v>
      </c>
      <c r="T9194" s="29">
        <v>6</v>
      </c>
    </row>
    <row r="9195" spans="19:20" x14ac:dyDescent="0.25">
      <c r="S9195" s="78">
        <v>36582</v>
      </c>
      <c r="T9195" s="29">
        <v>6</v>
      </c>
    </row>
    <row r="9196" spans="19:20" x14ac:dyDescent="0.25">
      <c r="S9196" s="78">
        <v>36583</v>
      </c>
      <c r="T9196" s="29">
        <v>6</v>
      </c>
    </row>
    <row r="9197" spans="19:20" x14ac:dyDescent="0.25">
      <c r="S9197" s="78">
        <v>36584</v>
      </c>
      <c r="T9197" s="29">
        <v>6</v>
      </c>
    </row>
    <row r="9198" spans="19:20" x14ac:dyDescent="0.25">
      <c r="S9198" s="78">
        <v>36585</v>
      </c>
      <c r="T9198" s="29">
        <v>6</v>
      </c>
    </row>
    <row r="9199" spans="19:20" x14ac:dyDescent="0.25">
      <c r="S9199" s="78">
        <v>36586</v>
      </c>
      <c r="T9199" s="29">
        <v>6</v>
      </c>
    </row>
    <row r="9200" spans="19:20" x14ac:dyDescent="0.25">
      <c r="S9200" s="78">
        <v>36587</v>
      </c>
      <c r="T9200" s="29">
        <v>6</v>
      </c>
    </row>
    <row r="9201" spans="19:20" x14ac:dyDescent="0.25">
      <c r="S9201" s="78">
        <v>36588</v>
      </c>
      <c r="T9201" s="29">
        <v>6</v>
      </c>
    </row>
    <row r="9202" spans="19:20" x14ac:dyDescent="0.25">
      <c r="S9202" s="78">
        <v>36589</v>
      </c>
      <c r="T9202" s="29">
        <v>6</v>
      </c>
    </row>
    <row r="9203" spans="19:20" x14ac:dyDescent="0.25">
      <c r="S9203" s="78">
        <v>36590</v>
      </c>
      <c r="T9203" s="29">
        <v>6</v>
      </c>
    </row>
    <row r="9204" spans="19:20" x14ac:dyDescent="0.25">
      <c r="S9204" s="78">
        <v>36591</v>
      </c>
      <c r="T9204" s="29">
        <v>6</v>
      </c>
    </row>
    <row r="9205" spans="19:20" x14ac:dyDescent="0.25">
      <c r="S9205" s="78">
        <v>36592</v>
      </c>
      <c r="T9205" s="29">
        <v>6</v>
      </c>
    </row>
    <row r="9206" spans="19:20" x14ac:dyDescent="0.25">
      <c r="S9206" s="78">
        <v>36593</v>
      </c>
      <c r="T9206" s="29">
        <v>6</v>
      </c>
    </row>
    <row r="9207" spans="19:20" x14ac:dyDescent="0.25">
      <c r="S9207" s="78">
        <v>36594</v>
      </c>
      <c r="T9207" s="29">
        <v>6</v>
      </c>
    </row>
    <row r="9208" spans="19:20" x14ac:dyDescent="0.25">
      <c r="S9208" s="78">
        <v>36595</v>
      </c>
      <c r="T9208" s="29">
        <v>6</v>
      </c>
    </row>
    <row r="9209" spans="19:20" x14ac:dyDescent="0.25">
      <c r="S9209" s="78">
        <v>36596</v>
      </c>
      <c r="T9209" s="29">
        <v>6</v>
      </c>
    </row>
    <row r="9210" spans="19:20" x14ac:dyDescent="0.25">
      <c r="S9210" s="78">
        <v>36597</v>
      </c>
      <c r="T9210" s="29">
        <v>6</v>
      </c>
    </row>
    <row r="9211" spans="19:20" x14ac:dyDescent="0.25">
      <c r="S9211" s="78">
        <v>36598</v>
      </c>
      <c r="T9211" s="29">
        <v>6</v>
      </c>
    </row>
    <row r="9212" spans="19:20" x14ac:dyDescent="0.25">
      <c r="S9212" s="78">
        <v>36599</v>
      </c>
      <c r="T9212" s="29">
        <v>6</v>
      </c>
    </row>
    <row r="9213" spans="19:20" x14ac:dyDescent="0.25">
      <c r="S9213" s="78">
        <v>36600</v>
      </c>
      <c r="T9213" s="29">
        <v>6</v>
      </c>
    </row>
    <row r="9214" spans="19:20" x14ac:dyDescent="0.25">
      <c r="S9214" s="78">
        <v>36601</v>
      </c>
      <c r="T9214" s="29">
        <v>6</v>
      </c>
    </row>
    <row r="9215" spans="19:20" x14ac:dyDescent="0.25">
      <c r="S9215" s="78">
        <v>36602</v>
      </c>
      <c r="T9215" s="29">
        <v>6</v>
      </c>
    </row>
    <row r="9216" spans="19:20" x14ac:dyDescent="0.25">
      <c r="S9216" s="78">
        <v>36603</v>
      </c>
      <c r="T9216" s="29">
        <v>6</v>
      </c>
    </row>
    <row r="9217" spans="19:21" x14ac:dyDescent="0.25">
      <c r="S9217" s="78">
        <v>36604</v>
      </c>
      <c r="T9217" s="29">
        <v>6</v>
      </c>
    </row>
    <row r="9218" spans="19:21" x14ac:dyDescent="0.25">
      <c r="S9218" s="78">
        <v>36605</v>
      </c>
      <c r="T9218" s="29">
        <v>6</v>
      </c>
    </row>
    <row r="9219" spans="19:21" x14ac:dyDescent="0.25">
      <c r="S9219" s="78">
        <v>36606</v>
      </c>
      <c r="T9219" s="29">
        <v>6</v>
      </c>
    </row>
    <row r="9220" spans="19:21" x14ac:dyDescent="0.25">
      <c r="S9220" s="78">
        <v>36607</v>
      </c>
      <c r="T9220" s="29">
        <v>6</v>
      </c>
    </row>
    <row r="9221" spans="19:21" x14ac:dyDescent="0.25">
      <c r="S9221" s="78">
        <v>36608</v>
      </c>
      <c r="T9221" s="29">
        <v>6</v>
      </c>
    </row>
    <row r="9222" spans="19:21" x14ac:dyDescent="0.25">
      <c r="S9222" s="78">
        <v>36609</v>
      </c>
      <c r="T9222" s="29">
        <v>6</v>
      </c>
    </row>
    <row r="9223" spans="19:21" x14ac:dyDescent="0.25">
      <c r="S9223" s="78">
        <v>36610</v>
      </c>
      <c r="T9223" s="29">
        <v>6</v>
      </c>
    </row>
    <row r="9224" spans="19:21" x14ac:dyDescent="0.25">
      <c r="S9224" s="78">
        <v>36611</v>
      </c>
      <c r="T9224" s="29">
        <v>6</v>
      </c>
    </row>
    <row r="9225" spans="19:21" x14ac:dyDescent="0.25">
      <c r="S9225" s="78">
        <v>36612</v>
      </c>
      <c r="T9225" s="29">
        <v>6</v>
      </c>
    </row>
    <row r="9226" spans="19:21" x14ac:dyDescent="0.25">
      <c r="S9226" s="78">
        <v>36613</v>
      </c>
      <c r="T9226" s="29">
        <v>6</v>
      </c>
    </row>
    <row r="9227" spans="19:21" x14ac:dyDescent="0.25">
      <c r="S9227" s="78">
        <v>36614</v>
      </c>
      <c r="T9227" s="29">
        <v>6</v>
      </c>
    </row>
    <row r="9228" spans="19:21" x14ac:dyDescent="0.25">
      <c r="S9228" s="78">
        <v>36615</v>
      </c>
      <c r="T9228" s="29">
        <v>6</v>
      </c>
    </row>
    <row r="9229" spans="19:21" x14ac:dyDescent="0.25">
      <c r="S9229" s="78">
        <v>36616</v>
      </c>
      <c r="T9229" s="29">
        <v>6</v>
      </c>
      <c r="U9229" s="39">
        <f>AVERAGE(T9139:T9229)</f>
        <v>5.8571428571428568</v>
      </c>
    </row>
    <row r="9230" spans="19:21" x14ac:dyDescent="0.25">
      <c r="S9230" s="78">
        <v>36617</v>
      </c>
      <c r="T9230" s="29">
        <v>6</v>
      </c>
    </row>
    <row r="9231" spans="19:21" x14ac:dyDescent="0.25">
      <c r="S9231" s="78">
        <v>36618</v>
      </c>
      <c r="T9231" s="29">
        <v>6</v>
      </c>
    </row>
    <row r="9232" spans="19:21" x14ac:dyDescent="0.25">
      <c r="S9232" s="78">
        <v>36619</v>
      </c>
      <c r="T9232" s="29">
        <v>6</v>
      </c>
    </row>
    <row r="9233" spans="19:20" x14ac:dyDescent="0.25">
      <c r="S9233" s="78">
        <v>36620</v>
      </c>
      <c r="T9233" s="29">
        <v>6</v>
      </c>
    </row>
    <row r="9234" spans="19:20" x14ac:dyDescent="0.25">
      <c r="S9234" s="78">
        <v>36621</v>
      </c>
      <c r="T9234" s="29">
        <v>6</v>
      </c>
    </row>
    <row r="9235" spans="19:20" x14ac:dyDescent="0.25">
      <c r="S9235" s="78">
        <v>36622</v>
      </c>
      <c r="T9235" s="29">
        <v>6</v>
      </c>
    </row>
    <row r="9236" spans="19:20" x14ac:dyDescent="0.25">
      <c r="S9236" s="78">
        <v>36623</v>
      </c>
      <c r="T9236" s="29">
        <v>6</v>
      </c>
    </row>
    <row r="9237" spans="19:20" x14ac:dyDescent="0.25">
      <c r="S9237" s="78">
        <v>36624</v>
      </c>
      <c r="T9237" s="29">
        <v>6</v>
      </c>
    </row>
    <row r="9238" spans="19:20" x14ac:dyDescent="0.25">
      <c r="S9238" s="78">
        <v>36625</v>
      </c>
      <c r="T9238" s="29">
        <v>6</v>
      </c>
    </row>
    <row r="9239" spans="19:20" x14ac:dyDescent="0.25">
      <c r="S9239" s="78">
        <v>36626</v>
      </c>
      <c r="T9239" s="29">
        <v>6</v>
      </c>
    </row>
    <row r="9240" spans="19:20" x14ac:dyDescent="0.25">
      <c r="S9240" s="78">
        <v>36627</v>
      </c>
      <c r="T9240" s="29">
        <v>6</v>
      </c>
    </row>
    <row r="9241" spans="19:20" x14ac:dyDescent="0.25">
      <c r="S9241" s="78">
        <v>36628</v>
      </c>
      <c r="T9241" s="29">
        <v>6</v>
      </c>
    </row>
    <row r="9242" spans="19:20" x14ac:dyDescent="0.25">
      <c r="S9242" s="78">
        <v>36629</v>
      </c>
      <c r="T9242" s="29">
        <v>6</v>
      </c>
    </row>
    <row r="9243" spans="19:20" x14ac:dyDescent="0.25">
      <c r="S9243" s="78">
        <v>36630</v>
      </c>
      <c r="T9243" s="29">
        <v>6</v>
      </c>
    </row>
    <row r="9244" spans="19:20" x14ac:dyDescent="0.25">
      <c r="S9244" s="78">
        <v>36631</v>
      </c>
      <c r="T9244" s="29">
        <v>6</v>
      </c>
    </row>
    <row r="9245" spans="19:20" x14ac:dyDescent="0.25">
      <c r="S9245" s="78">
        <v>36632</v>
      </c>
      <c r="T9245" s="29">
        <v>6</v>
      </c>
    </row>
    <row r="9246" spans="19:20" x14ac:dyDescent="0.25">
      <c r="S9246" s="78">
        <v>36633</v>
      </c>
      <c r="T9246" s="29">
        <v>6</v>
      </c>
    </row>
    <row r="9247" spans="19:20" x14ac:dyDescent="0.25">
      <c r="S9247" s="78">
        <v>36634</v>
      </c>
      <c r="T9247" s="29">
        <v>6</v>
      </c>
    </row>
    <row r="9248" spans="19:20" x14ac:dyDescent="0.25">
      <c r="S9248" s="78">
        <v>36635</v>
      </c>
      <c r="T9248" s="29">
        <v>6</v>
      </c>
    </row>
    <row r="9249" spans="19:20" x14ac:dyDescent="0.25">
      <c r="S9249" s="78">
        <v>36636</v>
      </c>
      <c r="T9249" s="29">
        <v>6</v>
      </c>
    </row>
    <row r="9250" spans="19:20" x14ac:dyDescent="0.25">
      <c r="S9250" s="78">
        <v>36637</v>
      </c>
      <c r="T9250" s="29">
        <v>6</v>
      </c>
    </row>
    <row r="9251" spans="19:20" x14ac:dyDescent="0.25">
      <c r="S9251" s="78">
        <v>36638</v>
      </c>
      <c r="T9251" s="29">
        <v>6</v>
      </c>
    </row>
    <row r="9252" spans="19:20" x14ac:dyDescent="0.25">
      <c r="S9252" s="78">
        <v>36639</v>
      </c>
      <c r="T9252" s="29">
        <v>6</v>
      </c>
    </row>
    <row r="9253" spans="19:20" x14ac:dyDescent="0.25">
      <c r="S9253" s="78">
        <v>36640</v>
      </c>
      <c r="T9253" s="29">
        <v>6</v>
      </c>
    </row>
    <row r="9254" spans="19:20" x14ac:dyDescent="0.25">
      <c r="S9254" s="78">
        <v>36641</v>
      </c>
      <c r="T9254" s="29">
        <v>6</v>
      </c>
    </row>
    <row r="9255" spans="19:20" x14ac:dyDescent="0.25">
      <c r="S9255" s="78">
        <v>36642</v>
      </c>
      <c r="T9255" s="29">
        <v>6</v>
      </c>
    </row>
    <row r="9256" spans="19:20" x14ac:dyDescent="0.25">
      <c r="S9256" s="78">
        <v>36643</v>
      </c>
      <c r="T9256" s="29">
        <v>6</v>
      </c>
    </row>
    <row r="9257" spans="19:20" x14ac:dyDescent="0.25">
      <c r="S9257" s="78">
        <v>36644</v>
      </c>
      <c r="T9257" s="29">
        <v>6</v>
      </c>
    </row>
    <row r="9258" spans="19:20" x14ac:dyDescent="0.25">
      <c r="S9258" s="78">
        <v>36645</v>
      </c>
      <c r="T9258" s="29">
        <v>6</v>
      </c>
    </row>
    <row r="9259" spans="19:20" x14ac:dyDescent="0.25">
      <c r="S9259" s="78">
        <v>36646</v>
      </c>
      <c r="T9259" s="29">
        <v>6</v>
      </c>
    </row>
    <row r="9260" spans="19:20" x14ac:dyDescent="0.25">
      <c r="S9260" s="78">
        <v>36647</v>
      </c>
      <c r="T9260" s="29">
        <v>6</v>
      </c>
    </row>
    <row r="9261" spans="19:20" x14ac:dyDescent="0.25">
      <c r="S9261" s="78">
        <v>36648</v>
      </c>
      <c r="T9261" s="29">
        <v>6</v>
      </c>
    </row>
    <row r="9262" spans="19:20" x14ac:dyDescent="0.25">
      <c r="S9262" s="78">
        <v>36649</v>
      </c>
      <c r="T9262" s="29">
        <v>6</v>
      </c>
    </row>
    <row r="9263" spans="19:20" x14ac:dyDescent="0.25">
      <c r="S9263" s="78">
        <v>36650</v>
      </c>
      <c r="T9263" s="29">
        <v>6</v>
      </c>
    </row>
    <row r="9264" spans="19:20" x14ac:dyDescent="0.25">
      <c r="S9264" s="78">
        <v>36651</v>
      </c>
      <c r="T9264" s="29">
        <v>6</v>
      </c>
    </row>
    <row r="9265" spans="19:20" x14ac:dyDescent="0.25">
      <c r="S9265" s="78">
        <v>36652</v>
      </c>
      <c r="T9265" s="29">
        <v>6</v>
      </c>
    </row>
    <row r="9266" spans="19:20" x14ac:dyDescent="0.25">
      <c r="S9266" s="78">
        <v>36653</v>
      </c>
      <c r="T9266" s="29">
        <v>6</v>
      </c>
    </row>
    <row r="9267" spans="19:20" x14ac:dyDescent="0.25">
      <c r="S9267" s="78">
        <v>36654</v>
      </c>
      <c r="T9267" s="29">
        <v>6</v>
      </c>
    </row>
    <row r="9268" spans="19:20" x14ac:dyDescent="0.25">
      <c r="S9268" s="78">
        <v>36655</v>
      </c>
      <c r="T9268" s="29">
        <v>6</v>
      </c>
    </row>
    <row r="9269" spans="19:20" x14ac:dyDescent="0.25">
      <c r="S9269" s="78">
        <v>36656</v>
      </c>
      <c r="T9269" s="29">
        <v>6</v>
      </c>
    </row>
    <row r="9270" spans="19:20" x14ac:dyDescent="0.25">
      <c r="S9270" s="78">
        <v>36657</v>
      </c>
      <c r="T9270" s="29">
        <v>6</v>
      </c>
    </row>
    <row r="9271" spans="19:20" x14ac:dyDescent="0.25">
      <c r="S9271" s="78">
        <v>36658</v>
      </c>
      <c r="T9271" s="29">
        <v>6</v>
      </c>
    </row>
    <row r="9272" spans="19:20" x14ac:dyDescent="0.25">
      <c r="S9272" s="78">
        <v>36659</v>
      </c>
      <c r="T9272" s="29">
        <v>6</v>
      </c>
    </row>
    <row r="9273" spans="19:20" x14ac:dyDescent="0.25">
      <c r="S9273" s="78">
        <v>36660</v>
      </c>
      <c r="T9273" s="29">
        <v>6</v>
      </c>
    </row>
    <row r="9274" spans="19:20" x14ac:dyDescent="0.25">
      <c r="S9274" s="78">
        <v>36661</v>
      </c>
      <c r="T9274" s="29">
        <v>6</v>
      </c>
    </row>
    <row r="9275" spans="19:20" x14ac:dyDescent="0.25">
      <c r="S9275" s="78">
        <v>36662</v>
      </c>
      <c r="T9275" s="29">
        <v>6</v>
      </c>
    </row>
    <row r="9276" spans="19:20" x14ac:dyDescent="0.25">
      <c r="S9276" s="78">
        <v>36663</v>
      </c>
      <c r="T9276" s="29">
        <v>6</v>
      </c>
    </row>
    <row r="9277" spans="19:20" x14ac:dyDescent="0.25">
      <c r="S9277" s="78">
        <v>36664</v>
      </c>
      <c r="T9277" s="29">
        <v>6</v>
      </c>
    </row>
    <row r="9278" spans="19:20" x14ac:dyDescent="0.25">
      <c r="S9278" s="78">
        <v>36665</v>
      </c>
      <c r="T9278" s="29">
        <v>6</v>
      </c>
    </row>
    <row r="9279" spans="19:20" x14ac:dyDescent="0.25">
      <c r="S9279" s="78">
        <v>36666</v>
      </c>
      <c r="T9279" s="29">
        <v>6</v>
      </c>
    </row>
    <row r="9280" spans="19:20" x14ac:dyDescent="0.25">
      <c r="S9280" s="78">
        <v>36667</v>
      </c>
      <c r="T9280" s="29">
        <v>6</v>
      </c>
    </row>
    <row r="9281" spans="19:20" x14ac:dyDescent="0.25">
      <c r="S9281" s="78">
        <v>36668</v>
      </c>
      <c r="T9281" s="29">
        <v>6</v>
      </c>
    </row>
    <row r="9282" spans="19:20" x14ac:dyDescent="0.25">
      <c r="S9282" s="78">
        <v>36669</v>
      </c>
      <c r="T9282" s="29">
        <v>6</v>
      </c>
    </row>
    <row r="9283" spans="19:20" x14ac:dyDescent="0.25">
      <c r="S9283" s="78">
        <v>36670</v>
      </c>
      <c r="T9283" s="29">
        <v>6</v>
      </c>
    </row>
    <row r="9284" spans="19:20" x14ac:dyDescent="0.25">
      <c r="S9284" s="78">
        <v>36671</v>
      </c>
      <c r="T9284" s="29">
        <v>6</v>
      </c>
    </row>
    <row r="9285" spans="19:20" x14ac:dyDescent="0.25">
      <c r="S9285" s="78">
        <v>36672</v>
      </c>
      <c r="T9285" s="29">
        <v>6</v>
      </c>
    </row>
    <row r="9286" spans="19:20" x14ac:dyDescent="0.25">
      <c r="S9286" s="78">
        <v>36673</v>
      </c>
      <c r="T9286" s="29">
        <v>6</v>
      </c>
    </row>
    <row r="9287" spans="19:20" x14ac:dyDescent="0.25">
      <c r="S9287" s="78">
        <v>36674</v>
      </c>
      <c r="T9287" s="29">
        <v>6</v>
      </c>
    </row>
    <row r="9288" spans="19:20" x14ac:dyDescent="0.25">
      <c r="S9288" s="78">
        <v>36675</v>
      </c>
      <c r="T9288" s="29">
        <v>6</v>
      </c>
    </row>
    <row r="9289" spans="19:20" x14ac:dyDescent="0.25">
      <c r="S9289" s="78">
        <v>36676</v>
      </c>
      <c r="T9289" s="29">
        <v>6</v>
      </c>
    </row>
    <row r="9290" spans="19:20" x14ac:dyDescent="0.25">
      <c r="S9290" s="78">
        <v>36677</v>
      </c>
      <c r="T9290" s="29">
        <v>6</v>
      </c>
    </row>
    <row r="9291" spans="19:20" x14ac:dyDescent="0.25">
      <c r="S9291" s="78">
        <v>36678</v>
      </c>
      <c r="T9291" s="29">
        <v>6</v>
      </c>
    </row>
    <row r="9292" spans="19:20" x14ac:dyDescent="0.25">
      <c r="S9292" s="78">
        <v>36679</v>
      </c>
      <c r="T9292" s="29">
        <v>6</v>
      </c>
    </row>
    <row r="9293" spans="19:20" x14ac:dyDescent="0.25">
      <c r="S9293" s="78">
        <v>36680</v>
      </c>
      <c r="T9293" s="29">
        <v>6</v>
      </c>
    </row>
    <row r="9294" spans="19:20" x14ac:dyDescent="0.25">
      <c r="S9294" s="78">
        <v>36681</v>
      </c>
      <c r="T9294" s="29">
        <v>6</v>
      </c>
    </row>
    <row r="9295" spans="19:20" x14ac:dyDescent="0.25">
      <c r="S9295" s="78">
        <v>36682</v>
      </c>
      <c r="T9295" s="29">
        <v>6</v>
      </c>
    </row>
    <row r="9296" spans="19:20" x14ac:dyDescent="0.25">
      <c r="S9296" s="78">
        <v>36683</v>
      </c>
      <c r="T9296" s="29">
        <v>6</v>
      </c>
    </row>
    <row r="9297" spans="19:20" x14ac:dyDescent="0.25">
      <c r="S9297" s="78">
        <v>36684</v>
      </c>
      <c r="T9297" s="29">
        <v>6</v>
      </c>
    </row>
    <row r="9298" spans="19:20" x14ac:dyDescent="0.25">
      <c r="S9298" s="78">
        <v>36685</v>
      </c>
      <c r="T9298" s="29">
        <v>6</v>
      </c>
    </row>
    <row r="9299" spans="19:20" x14ac:dyDescent="0.25">
      <c r="S9299" s="78">
        <v>36686</v>
      </c>
      <c r="T9299" s="29">
        <v>6</v>
      </c>
    </row>
    <row r="9300" spans="19:20" x14ac:dyDescent="0.25">
      <c r="S9300" s="78">
        <v>36687</v>
      </c>
      <c r="T9300" s="29">
        <v>6</v>
      </c>
    </row>
    <row r="9301" spans="19:20" x14ac:dyDescent="0.25">
      <c r="S9301" s="78">
        <v>36688</v>
      </c>
      <c r="T9301" s="29">
        <v>6</v>
      </c>
    </row>
    <row r="9302" spans="19:20" x14ac:dyDescent="0.25">
      <c r="S9302" s="78">
        <v>36689</v>
      </c>
      <c r="T9302" s="29">
        <v>6</v>
      </c>
    </row>
    <row r="9303" spans="19:20" x14ac:dyDescent="0.25">
      <c r="S9303" s="78">
        <v>36690</v>
      </c>
      <c r="T9303" s="29">
        <v>6</v>
      </c>
    </row>
    <row r="9304" spans="19:20" x14ac:dyDescent="0.25">
      <c r="S9304" s="78">
        <v>36691</v>
      </c>
      <c r="T9304" s="29">
        <v>6</v>
      </c>
    </row>
    <row r="9305" spans="19:20" x14ac:dyDescent="0.25">
      <c r="S9305" s="78">
        <v>36692</v>
      </c>
      <c r="T9305" s="29">
        <v>6</v>
      </c>
    </row>
    <row r="9306" spans="19:20" x14ac:dyDescent="0.25">
      <c r="S9306" s="78">
        <v>36693</v>
      </c>
      <c r="T9306" s="29">
        <v>6</v>
      </c>
    </row>
    <row r="9307" spans="19:20" x14ac:dyDescent="0.25">
      <c r="S9307" s="78">
        <v>36694</v>
      </c>
      <c r="T9307" s="29">
        <v>6</v>
      </c>
    </row>
    <row r="9308" spans="19:20" x14ac:dyDescent="0.25">
      <c r="S9308" s="78">
        <v>36695</v>
      </c>
      <c r="T9308" s="29">
        <v>6</v>
      </c>
    </row>
    <row r="9309" spans="19:20" x14ac:dyDescent="0.25">
      <c r="S9309" s="78">
        <v>36696</v>
      </c>
      <c r="T9309" s="29">
        <v>6</v>
      </c>
    </row>
    <row r="9310" spans="19:20" x14ac:dyDescent="0.25">
      <c r="S9310" s="78">
        <v>36697</v>
      </c>
      <c r="T9310" s="29">
        <v>6</v>
      </c>
    </row>
    <row r="9311" spans="19:20" x14ac:dyDescent="0.25">
      <c r="S9311" s="78">
        <v>36698</v>
      </c>
      <c r="T9311" s="29">
        <v>6</v>
      </c>
    </row>
    <row r="9312" spans="19:20" x14ac:dyDescent="0.25">
      <c r="S9312" s="78">
        <v>36699</v>
      </c>
      <c r="T9312" s="29">
        <v>6</v>
      </c>
    </row>
    <row r="9313" spans="19:21" x14ac:dyDescent="0.25">
      <c r="S9313" s="78">
        <v>36700</v>
      </c>
      <c r="T9313" s="29">
        <v>6</v>
      </c>
    </row>
    <row r="9314" spans="19:21" x14ac:dyDescent="0.25">
      <c r="S9314" s="78">
        <v>36701</v>
      </c>
      <c r="T9314" s="29">
        <v>6</v>
      </c>
    </row>
    <row r="9315" spans="19:21" x14ac:dyDescent="0.25">
      <c r="S9315" s="78">
        <v>36702</v>
      </c>
      <c r="T9315" s="29">
        <v>6</v>
      </c>
    </row>
    <row r="9316" spans="19:21" x14ac:dyDescent="0.25">
      <c r="S9316" s="78">
        <v>36703</v>
      </c>
      <c r="T9316" s="29">
        <v>6</v>
      </c>
    </row>
    <row r="9317" spans="19:21" x14ac:dyDescent="0.25">
      <c r="S9317" s="78">
        <v>36704</v>
      </c>
      <c r="T9317" s="29">
        <v>6</v>
      </c>
    </row>
    <row r="9318" spans="19:21" x14ac:dyDescent="0.25">
      <c r="S9318" s="78">
        <v>36705</v>
      </c>
      <c r="T9318" s="29">
        <v>6</v>
      </c>
    </row>
    <row r="9319" spans="19:21" x14ac:dyDescent="0.25">
      <c r="S9319" s="78">
        <v>36706</v>
      </c>
      <c r="T9319" s="29">
        <v>6</v>
      </c>
      <c r="U9319" s="40"/>
    </row>
    <row r="9320" spans="19:21" x14ac:dyDescent="0.25">
      <c r="S9320" s="78">
        <v>36707</v>
      </c>
      <c r="T9320" s="29">
        <v>6</v>
      </c>
      <c r="U9320" s="40">
        <f>AVERAGE(T9230:T9320)</f>
        <v>6</v>
      </c>
    </row>
    <row r="9321" spans="19:21" x14ac:dyDescent="0.25">
      <c r="S9321" s="78">
        <v>36708</v>
      </c>
      <c r="T9321" s="29">
        <v>6</v>
      </c>
    </row>
    <row r="9322" spans="19:21" x14ac:dyDescent="0.25">
      <c r="S9322" s="78">
        <v>36709</v>
      </c>
      <c r="T9322" s="29">
        <v>6</v>
      </c>
    </row>
    <row r="9323" spans="19:21" x14ac:dyDescent="0.25">
      <c r="S9323" s="78">
        <v>36710</v>
      </c>
      <c r="T9323" s="29">
        <v>6</v>
      </c>
    </row>
    <row r="9324" spans="19:21" x14ac:dyDescent="0.25">
      <c r="S9324" s="78">
        <v>36711</v>
      </c>
      <c r="T9324" s="29">
        <v>6</v>
      </c>
    </row>
    <row r="9325" spans="19:21" x14ac:dyDescent="0.25">
      <c r="S9325" s="78">
        <v>36712</v>
      </c>
      <c r="T9325" s="29">
        <v>6</v>
      </c>
    </row>
    <row r="9326" spans="19:21" x14ac:dyDescent="0.25">
      <c r="S9326" s="78">
        <v>36713</v>
      </c>
      <c r="T9326" s="29">
        <v>6</v>
      </c>
    </row>
    <row r="9327" spans="19:21" x14ac:dyDescent="0.25">
      <c r="S9327" s="78">
        <v>36714</v>
      </c>
      <c r="T9327" s="29">
        <v>6</v>
      </c>
    </row>
    <row r="9328" spans="19:21" x14ac:dyDescent="0.25">
      <c r="S9328" s="78">
        <v>36715</v>
      </c>
      <c r="T9328" s="29">
        <v>6</v>
      </c>
    </row>
    <row r="9329" spans="19:20" x14ac:dyDescent="0.25">
      <c r="S9329" s="78">
        <v>36716</v>
      </c>
      <c r="T9329" s="29">
        <v>6</v>
      </c>
    </row>
    <row r="9330" spans="19:20" x14ac:dyDescent="0.25">
      <c r="S9330" s="78">
        <v>36717</v>
      </c>
      <c r="T9330" s="29">
        <v>6</v>
      </c>
    </row>
    <row r="9331" spans="19:20" x14ac:dyDescent="0.25">
      <c r="S9331" s="78">
        <v>36718</v>
      </c>
      <c r="T9331" s="29">
        <v>6</v>
      </c>
    </row>
    <row r="9332" spans="19:20" x14ac:dyDescent="0.25">
      <c r="S9332" s="78">
        <v>36719</v>
      </c>
      <c r="T9332" s="29">
        <v>6</v>
      </c>
    </row>
    <row r="9333" spans="19:20" x14ac:dyDescent="0.25">
      <c r="S9333" s="78">
        <v>36720</v>
      </c>
      <c r="T9333" s="29">
        <v>6</v>
      </c>
    </row>
    <row r="9334" spans="19:20" x14ac:dyDescent="0.25">
      <c r="S9334" s="78">
        <v>36721</v>
      </c>
      <c r="T9334" s="29">
        <v>6</v>
      </c>
    </row>
    <row r="9335" spans="19:20" x14ac:dyDescent="0.25">
      <c r="S9335" s="78">
        <v>36722</v>
      </c>
      <c r="T9335" s="29">
        <v>6</v>
      </c>
    </row>
    <row r="9336" spans="19:20" x14ac:dyDescent="0.25">
      <c r="S9336" s="78">
        <v>36723</v>
      </c>
      <c r="T9336" s="29">
        <v>6</v>
      </c>
    </row>
    <row r="9337" spans="19:20" x14ac:dyDescent="0.25">
      <c r="S9337" s="78">
        <v>36724</v>
      </c>
      <c r="T9337" s="29">
        <v>6</v>
      </c>
    </row>
    <row r="9338" spans="19:20" x14ac:dyDescent="0.25">
      <c r="S9338" s="78">
        <v>36725</v>
      </c>
      <c r="T9338" s="29">
        <v>6</v>
      </c>
    </row>
    <row r="9339" spans="19:20" x14ac:dyDescent="0.25">
      <c r="S9339" s="78">
        <v>36726</v>
      </c>
      <c r="T9339" s="29">
        <v>6</v>
      </c>
    </row>
    <row r="9340" spans="19:20" x14ac:dyDescent="0.25">
      <c r="S9340" s="78">
        <v>36727</v>
      </c>
      <c r="T9340" s="29">
        <v>6</v>
      </c>
    </row>
    <row r="9341" spans="19:20" x14ac:dyDescent="0.25">
      <c r="S9341" s="78">
        <v>36728</v>
      </c>
      <c r="T9341" s="29">
        <v>6</v>
      </c>
    </row>
    <row r="9342" spans="19:20" x14ac:dyDescent="0.25">
      <c r="S9342" s="78">
        <v>36729</v>
      </c>
      <c r="T9342" s="29">
        <v>6</v>
      </c>
    </row>
    <row r="9343" spans="19:20" x14ac:dyDescent="0.25">
      <c r="S9343" s="78">
        <v>36730</v>
      </c>
      <c r="T9343" s="29">
        <v>6</v>
      </c>
    </row>
    <row r="9344" spans="19:20" x14ac:dyDescent="0.25">
      <c r="S9344" s="78">
        <v>36731</v>
      </c>
      <c r="T9344" s="29">
        <v>6</v>
      </c>
    </row>
    <row r="9345" spans="19:20" x14ac:dyDescent="0.25">
      <c r="S9345" s="78">
        <v>36732</v>
      </c>
      <c r="T9345" s="29">
        <v>6</v>
      </c>
    </row>
    <row r="9346" spans="19:20" x14ac:dyDescent="0.25">
      <c r="S9346" s="78">
        <v>36733</v>
      </c>
      <c r="T9346" s="29">
        <v>6</v>
      </c>
    </row>
    <row r="9347" spans="19:20" x14ac:dyDescent="0.25">
      <c r="S9347" s="78">
        <v>36734</v>
      </c>
      <c r="T9347" s="29">
        <v>6</v>
      </c>
    </row>
    <row r="9348" spans="19:20" x14ac:dyDescent="0.25">
      <c r="S9348" s="78">
        <v>36735</v>
      </c>
      <c r="T9348" s="29">
        <v>6</v>
      </c>
    </row>
    <row r="9349" spans="19:20" x14ac:dyDescent="0.25">
      <c r="S9349" s="78">
        <v>36736</v>
      </c>
      <c r="T9349" s="29">
        <v>6</v>
      </c>
    </row>
    <row r="9350" spans="19:20" x14ac:dyDescent="0.25">
      <c r="S9350" s="78">
        <v>36737</v>
      </c>
      <c r="T9350" s="29">
        <v>6</v>
      </c>
    </row>
    <row r="9351" spans="19:20" x14ac:dyDescent="0.25">
      <c r="S9351" s="78">
        <v>36738</v>
      </c>
      <c r="T9351" s="29">
        <v>6</v>
      </c>
    </row>
    <row r="9352" spans="19:20" x14ac:dyDescent="0.25">
      <c r="S9352" s="78">
        <v>36739</v>
      </c>
      <c r="T9352" s="29">
        <v>6</v>
      </c>
    </row>
    <row r="9353" spans="19:20" x14ac:dyDescent="0.25">
      <c r="S9353" s="78">
        <v>36740</v>
      </c>
      <c r="T9353" s="29">
        <v>6</v>
      </c>
    </row>
    <row r="9354" spans="19:20" x14ac:dyDescent="0.25">
      <c r="S9354" s="78">
        <v>36741</v>
      </c>
      <c r="T9354" s="29">
        <v>6</v>
      </c>
    </row>
    <row r="9355" spans="19:20" x14ac:dyDescent="0.25">
      <c r="S9355" s="78">
        <v>36742</v>
      </c>
      <c r="T9355" s="29">
        <v>6</v>
      </c>
    </row>
    <row r="9356" spans="19:20" x14ac:dyDescent="0.25">
      <c r="S9356" s="78">
        <v>36743</v>
      </c>
      <c r="T9356" s="29">
        <v>6</v>
      </c>
    </row>
    <row r="9357" spans="19:20" x14ac:dyDescent="0.25">
      <c r="S9357" s="78">
        <v>36744</v>
      </c>
      <c r="T9357" s="29">
        <v>6</v>
      </c>
    </row>
    <row r="9358" spans="19:20" x14ac:dyDescent="0.25">
      <c r="S9358" s="78">
        <v>36745</v>
      </c>
      <c r="T9358" s="29">
        <v>6</v>
      </c>
    </row>
    <row r="9359" spans="19:20" x14ac:dyDescent="0.25">
      <c r="S9359" s="78">
        <v>36746</v>
      </c>
      <c r="T9359" s="29">
        <v>6</v>
      </c>
    </row>
    <row r="9360" spans="19:20" x14ac:dyDescent="0.25">
      <c r="S9360" s="78">
        <v>36747</v>
      </c>
      <c r="T9360" s="29">
        <v>6</v>
      </c>
    </row>
    <row r="9361" spans="19:20" x14ac:dyDescent="0.25">
      <c r="S9361" s="78">
        <v>36748</v>
      </c>
      <c r="T9361" s="29">
        <v>6</v>
      </c>
    </row>
    <row r="9362" spans="19:20" x14ac:dyDescent="0.25">
      <c r="S9362" s="78">
        <v>36749</v>
      </c>
      <c r="T9362" s="29">
        <v>6</v>
      </c>
    </row>
    <row r="9363" spans="19:20" x14ac:dyDescent="0.25">
      <c r="S9363" s="78">
        <v>36750</v>
      </c>
      <c r="T9363" s="29">
        <v>6</v>
      </c>
    </row>
    <row r="9364" spans="19:20" x14ac:dyDescent="0.25">
      <c r="S9364" s="78">
        <v>36751</v>
      </c>
      <c r="T9364" s="29">
        <v>6</v>
      </c>
    </row>
    <row r="9365" spans="19:20" x14ac:dyDescent="0.25">
      <c r="S9365" s="78">
        <v>36752</v>
      </c>
      <c r="T9365" s="29">
        <v>6</v>
      </c>
    </row>
    <row r="9366" spans="19:20" x14ac:dyDescent="0.25">
      <c r="S9366" s="78">
        <v>36753</v>
      </c>
      <c r="T9366" s="29">
        <v>6</v>
      </c>
    </row>
    <row r="9367" spans="19:20" x14ac:dyDescent="0.25">
      <c r="S9367" s="78">
        <v>36754</v>
      </c>
      <c r="T9367" s="29">
        <v>6</v>
      </c>
    </row>
    <row r="9368" spans="19:20" x14ac:dyDescent="0.25">
      <c r="S9368" s="78">
        <v>36755</v>
      </c>
      <c r="T9368" s="29">
        <v>6</v>
      </c>
    </row>
    <row r="9369" spans="19:20" x14ac:dyDescent="0.25">
      <c r="S9369" s="78">
        <v>36756</v>
      </c>
      <c r="T9369" s="29">
        <v>6</v>
      </c>
    </row>
    <row r="9370" spans="19:20" x14ac:dyDescent="0.25">
      <c r="S9370" s="78">
        <v>36757</v>
      </c>
      <c r="T9370" s="29">
        <v>6</v>
      </c>
    </row>
    <row r="9371" spans="19:20" x14ac:dyDescent="0.25">
      <c r="S9371" s="78">
        <v>36758</v>
      </c>
      <c r="T9371" s="29">
        <v>6</v>
      </c>
    </row>
    <row r="9372" spans="19:20" x14ac:dyDescent="0.25">
      <c r="S9372" s="78">
        <v>36759</v>
      </c>
      <c r="T9372" s="29">
        <v>6</v>
      </c>
    </row>
    <row r="9373" spans="19:20" x14ac:dyDescent="0.25">
      <c r="S9373" s="78">
        <v>36760</v>
      </c>
      <c r="T9373" s="29">
        <v>6</v>
      </c>
    </row>
    <row r="9374" spans="19:20" x14ac:dyDescent="0.25">
      <c r="S9374" s="78">
        <v>36761</v>
      </c>
      <c r="T9374" s="29">
        <v>6</v>
      </c>
    </row>
    <row r="9375" spans="19:20" x14ac:dyDescent="0.25">
      <c r="S9375" s="78">
        <v>36762</v>
      </c>
      <c r="T9375" s="29">
        <v>6</v>
      </c>
    </row>
    <row r="9376" spans="19:20" x14ac:dyDescent="0.25">
      <c r="S9376" s="78">
        <v>36763</v>
      </c>
      <c r="T9376" s="29">
        <v>6</v>
      </c>
    </row>
    <row r="9377" spans="19:20" x14ac:dyDescent="0.25">
      <c r="S9377" s="78">
        <v>36764</v>
      </c>
      <c r="T9377" s="29">
        <v>6</v>
      </c>
    </row>
    <row r="9378" spans="19:20" x14ac:dyDescent="0.25">
      <c r="S9378" s="78">
        <v>36765</v>
      </c>
      <c r="T9378" s="29">
        <v>6</v>
      </c>
    </row>
    <row r="9379" spans="19:20" x14ac:dyDescent="0.25">
      <c r="S9379" s="78">
        <v>36766</v>
      </c>
      <c r="T9379" s="29">
        <v>6</v>
      </c>
    </row>
    <row r="9380" spans="19:20" x14ac:dyDescent="0.25">
      <c r="S9380" s="78">
        <v>36767</v>
      </c>
      <c r="T9380" s="29">
        <v>6</v>
      </c>
    </row>
    <row r="9381" spans="19:20" x14ac:dyDescent="0.25">
      <c r="S9381" s="78">
        <v>36768</v>
      </c>
      <c r="T9381" s="29">
        <v>6</v>
      </c>
    </row>
    <row r="9382" spans="19:20" x14ac:dyDescent="0.25">
      <c r="S9382" s="78">
        <v>36769</v>
      </c>
      <c r="T9382" s="29">
        <v>6</v>
      </c>
    </row>
    <row r="9383" spans="19:20" x14ac:dyDescent="0.25">
      <c r="S9383" s="78">
        <v>36770</v>
      </c>
      <c r="T9383" s="29">
        <v>6</v>
      </c>
    </row>
    <row r="9384" spans="19:20" x14ac:dyDescent="0.25">
      <c r="S9384" s="78">
        <v>36771</v>
      </c>
      <c r="T9384" s="29">
        <v>6</v>
      </c>
    </row>
    <row r="9385" spans="19:20" x14ac:dyDescent="0.25">
      <c r="S9385" s="78">
        <v>36772</v>
      </c>
      <c r="T9385" s="29">
        <v>6</v>
      </c>
    </row>
    <row r="9386" spans="19:20" x14ac:dyDescent="0.25">
      <c r="S9386" s="78">
        <v>36773</v>
      </c>
      <c r="T9386" s="29">
        <v>6</v>
      </c>
    </row>
    <row r="9387" spans="19:20" x14ac:dyDescent="0.25">
      <c r="S9387" s="78">
        <v>36774</v>
      </c>
      <c r="T9387" s="29">
        <v>6</v>
      </c>
    </row>
    <row r="9388" spans="19:20" x14ac:dyDescent="0.25">
      <c r="S9388" s="78">
        <v>36775</v>
      </c>
      <c r="T9388" s="29">
        <v>6</v>
      </c>
    </row>
    <row r="9389" spans="19:20" x14ac:dyDescent="0.25">
      <c r="S9389" s="78">
        <v>36776</v>
      </c>
      <c r="T9389" s="29">
        <v>6</v>
      </c>
    </row>
    <row r="9390" spans="19:20" x14ac:dyDescent="0.25">
      <c r="S9390" s="78">
        <v>36777</v>
      </c>
      <c r="T9390" s="29">
        <v>6</v>
      </c>
    </row>
    <row r="9391" spans="19:20" x14ac:dyDescent="0.25">
      <c r="S9391" s="78">
        <v>36778</v>
      </c>
      <c r="T9391" s="29">
        <v>6</v>
      </c>
    </row>
    <row r="9392" spans="19:20" x14ac:dyDescent="0.25">
      <c r="S9392" s="78">
        <v>36779</v>
      </c>
      <c r="T9392" s="29">
        <v>6</v>
      </c>
    </row>
    <row r="9393" spans="19:20" x14ac:dyDescent="0.25">
      <c r="S9393" s="78">
        <v>36780</v>
      </c>
      <c r="T9393" s="29">
        <v>6</v>
      </c>
    </row>
    <row r="9394" spans="19:20" x14ac:dyDescent="0.25">
      <c r="S9394" s="78">
        <v>36781</v>
      </c>
      <c r="T9394" s="29">
        <v>6</v>
      </c>
    </row>
    <row r="9395" spans="19:20" x14ac:dyDescent="0.25">
      <c r="S9395" s="78">
        <v>36782</v>
      </c>
      <c r="T9395" s="29">
        <v>6</v>
      </c>
    </row>
    <row r="9396" spans="19:20" x14ac:dyDescent="0.25">
      <c r="S9396" s="78">
        <v>36783</v>
      </c>
      <c r="T9396" s="29">
        <v>6</v>
      </c>
    </row>
    <row r="9397" spans="19:20" x14ac:dyDescent="0.25">
      <c r="S9397" s="78">
        <v>36784</v>
      </c>
      <c r="T9397" s="29">
        <v>6</v>
      </c>
    </row>
    <row r="9398" spans="19:20" x14ac:dyDescent="0.25">
      <c r="S9398" s="78">
        <v>36785</v>
      </c>
      <c r="T9398" s="29">
        <v>6</v>
      </c>
    </row>
    <row r="9399" spans="19:20" x14ac:dyDescent="0.25">
      <c r="S9399" s="78">
        <v>36786</v>
      </c>
      <c r="T9399" s="29">
        <v>6</v>
      </c>
    </row>
    <row r="9400" spans="19:20" x14ac:dyDescent="0.25">
      <c r="S9400" s="78">
        <v>36787</v>
      </c>
      <c r="T9400" s="29">
        <v>6</v>
      </c>
    </row>
    <row r="9401" spans="19:20" x14ac:dyDescent="0.25">
      <c r="S9401" s="78">
        <v>36788</v>
      </c>
      <c r="T9401" s="29">
        <v>6</v>
      </c>
    </row>
    <row r="9402" spans="19:20" x14ac:dyDescent="0.25">
      <c r="S9402" s="78">
        <v>36789</v>
      </c>
      <c r="T9402" s="29">
        <v>6</v>
      </c>
    </row>
    <row r="9403" spans="19:20" x14ac:dyDescent="0.25">
      <c r="S9403" s="78">
        <v>36790</v>
      </c>
      <c r="T9403" s="29">
        <v>6</v>
      </c>
    </row>
    <row r="9404" spans="19:20" x14ac:dyDescent="0.25">
      <c r="S9404" s="78">
        <v>36791</v>
      </c>
      <c r="T9404" s="29">
        <v>6</v>
      </c>
    </row>
    <row r="9405" spans="19:20" x14ac:dyDescent="0.25">
      <c r="S9405" s="78">
        <v>36792</v>
      </c>
      <c r="T9405" s="29">
        <v>6</v>
      </c>
    </row>
    <row r="9406" spans="19:20" x14ac:dyDescent="0.25">
      <c r="S9406" s="78">
        <v>36793</v>
      </c>
      <c r="T9406" s="29">
        <v>6</v>
      </c>
    </row>
    <row r="9407" spans="19:20" x14ac:dyDescent="0.25">
      <c r="S9407" s="78">
        <v>36794</v>
      </c>
      <c r="T9407" s="29">
        <v>6</v>
      </c>
    </row>
    <row r="9408" spans="19:20" x14ac:dyDescent="0.25">
      <c r="S9408" s="78">
        <v>36795</v>
      </c>
      <c r="T9408" s="29">
        <v>6</v>
      </c>
    </row>
    <row r="9409" spans="19:21" x14ac:dyDescent="0.25">
      <c r="S9409" s="78">
        <v>36796</v>
      </c>
      <c r="T9409" s="29">
        <v>6</v>
      </c>
    </row>
    <row r="9410" spans="19:21" x14ac:dyDescent="0.25">
      <c r="S9410" s="78">
        <v>36797</v>
      </c>
      <c r="T9410" s="29">
        <v>6</v>
      </c>
    </row>
    <row r="9411" spans="19:21" x14ac:dyDescent="0.25">
      <c r="S9411" s="78">
        <v>36798</v>
      </c>
      <c r="T9411" s="29">
        <v>6</v>
      </c>
      <c r="U9411" s="40"/>
    </row>
    <row r="9412" spans="19:21" x14ac:dyDescent="0.25">
      <c r="S9412" s="78">
        <v>36799</v>
      </c>
      <c r="T9412" s="29">
        <v>6</v>
      </c>
      <c r="U9412" s="40">
        <f>AVERAGE(T9321:T9412)</f>
        <v>6</v>
      </c>
    </row>
    <row r="9413" spans="19:21" x14ac:dyDescent="0.25">
      <c r="S9413" s="78">
        <v>36800</v>
      </c>
      <c r="T9413" s="29">
        <v>6</v>
      </c>
    </row>
    <row r="9414" spans="19:21" x14ac:dyDescent="0.25">
      <c r="S9414" s="78">
        <v>36801</v>
      </c>
      <c r="T9414" s="29">
        <v>6</v>
      </c>
    </row>
    <row r="9415" spans="19:21" x14ac:dyDescent="0.25">
      <c r="S9415" s="78">
        <v>36802</v>
      </c>
      <c r="T9415" s="29">
        <v>6</v>
      </c>
    </row>
    <row r="9416" spans="19:21" x14ac:dyDescent="0.25">
      <c r="S9416" s="78">
        <v>36803</v>
      </c>
      <c r="T9416" s="29">
        <v>6</v>
      </c>
    </row>
    <row r="9417" spans="19:21" x14ac:dyDescent="0.25">
      <c r="S9417" s="78">
        <v>36804</v>
      </c>
      <c r="T9417" s="29">
        <v>6</v>
      </c>
    </row>
    <row r="9418" spans="19:21" x14ac:dyDescent="0.25">
      <c r="S9418" s="78">
        <v>36805</v>
      </c>
      <c r="T9418" s="29">
        <v>6</v>
      </c>
    </row>
    <row r="9419" spans="19:21" x14ac:dyDescent="0.25">
      <c r="S9419" s="78">
        <v>36806</v>
      </c>
      <c r="T9419" s="29">
        <v>6</v>
      </c>
    </row>
    <row r="9420" spans="19:21" x14ac:dyDescent="0.25">
      <c r="S9420" s="78">
        <v>36807</v>
      </c>
      <c r="T9420" s="29">
        <v>6</v>
      </c>
    </row>
    <row r="9421" spans="19:21" x14ac:dyDescent="0.25">
      <c r="S9421" s="78">
        <v>36808</v>
      </c>
      <c r="T9421" s="29">
        <v>6</v>
      </c>
    </row>
    <row r="9422" spans="19:21" x14ac:dyDescent="0.25">
      <c r="S9422" s="78">
        <v>36809</v>
      </c>
      <c r="T9422" s="29">
        <v>6</v>
      </c>
    </row>
    <row r="9423" spans="19:21" x14ac:dyDescent="0.25">
      <c r="S9423" s="78">
        <v>36810</v>
      </c>
      <c r="T9423" s="29">
        <v>6</v>
      </c>
    </row>
    <row r="9424" spans="19:21" x14ac:dyDescent="0.25">
      <c r="S9424" s="78">
        <v>36811</v>
      </c>
      <c r="T9424" s="29">
        <v>6</v>
      </c>
    </row>
    <row r="9425" spans="19:20" x14ac:dyDescent="0.25">
      <c r="S9425" s="78">
        <v>36812</v>
      </c>
      <c r="T9425" s="29">
        <v>6</v>
      </c>
    </row>
    <row r="9426" spans="19:20" x14ac:dyDescent="0.25">
      <c r="S9426" s="78">
        <v>36813</v>
      </c>
      <c r="T9426" s="29">
        <v>6</v>
      </c>
    </row>
    <row r="9427" spans="19:20" x14ac:dyDescent="0.25">
      <c r="S9427" s="78">
        <v>36814</v>
      </c>
      <c r="T9427" s="29">
        <v>6</v>
      </c>
    </row>
    <row r="9428" spans="19:20" x14ac:dyDescent="0.25">
      <c r="S9428" s="78">
        <v>36815</v>
      </c>
      <c r="T9428" s="29">
        <v>6</v>
      </c>
    </row>
    <row r="9429" spans="19:20" x14ac:dyDescent="0.25">
      <c r="S9429" s="78">
        <v>36816</v>
      </c>
      <c r="T9429" s="29">
        <v>6</v>
      </c>
    </row>
    <row r="9430" spans="19:20" x14ac:dyDescent="0.25">
      <c r="S9430" s="78">
        <v>36817</v>
      </c>
      <c r="T9430" s="29">
        <v>6</v>
      </c>
    </row>
    <row r="9431" spans="19:20" x14ac:dyDescent="0.25">
      <c r="S9431" s="78">
        <v>36818</v>
      </c>
      <c r="T9431" s="29">
        <v>6</v>
      </c>
    </row>
    <row r="9432" spans="19:20" x14ac:dyDescent="0.25">
      <c r="S9432" s="78">
        <v>36819</v>
      </c>
      <c r="T9432" s="29">
        <v>6</v>
      </c>
    </row>
    <row r="9433" spans="19:20" x14ac:dyDescent="0.25">
      <c r="S9433" s="78">
        <v>36820</v>
      </c>
      <c r="T9433" s="29">
        <v>6</v>
      </c>
    </row>
    <row r="9434" spans="19:20" x14ac:dyDescent="0.25">
      <c r="S9434" s="78">
        <v>36821</v>
      </c>
      <c r="T9434" s="29">
        <v>6</v>
      </c>
    </row>
    <row r="9435" spans="19:20" x14ac:dyDescent="0.25">
      <c r="S9435" s="78">
        <v>36822</v>
      </c>
      <c r="T9435" s="29">
        <v>6</v>
      </c>
    </row>
    <row r="9436" spans="19:20" x14ac:dyDescent="0.25">
      <c r="S9436" s="78">
        <v>36823</v>
      </c>
      <c r="T9436" s="29">
        <v>6</v>
      </c>
    </row>
    <row r="9437" spans="19:20" x14ac:dyDescent="0.25">
      <c r="S9437" s="78">
        <v>36824</v>
      </c>
      <c r="T9437" s="29">
        <v>6</v>
      </c>
    </row>
    <row r="9438" spans="19:20" x14ac:dyDescent="0.25">
      <c r="S9438" s="78">
        <v>36825</v>
      </c>
      <c r="T9438" s="29">
        <v>6</v>
      </c>
    </row>
    <row r="9439" spans="19:20" x14ac:dyDescent="0.25">
      <c r="S9439" s="78">
        <v>36826</v>
      </c>
      <c r="T9439" s="29">
        <v>6</v>
      </c>
    </row>
    <row r="9440" spans="19:20" x14ac:dyDescent="0.25">
      <c r="S9440" s="78">
        <v>36827</v>
      </c>
      <c r="T9440" s="29">
        <v>6</v>
      </c>
    </row>
    <row r="9441" spans="19:20" x14ac:dyDescent="0.25">
      <c r="S9441" s="78">
        <v>36828</v>
      </c>
      <c r="T9441" s="29">
        <v>6</v>
      </c>
    </row>
    <row r="9442" spans="19:20" x14ac:dyDescent="0.25">
      <c r="S9442" s="78">
        <v>36829</v>
      </c>
      <c r="T9442" s="29">
        <v>6</v>
      </c>
    </row>
    <row r="9443" spans="19:20" x14ac:dyDescent="0.25">
      <c r="S9443" s="78">
        <v>36830</v>
      </c>
      <c r="T9443" s="29">
        <v>6</v>
      </c>
    </row>
    <row r="9444" spans="19:20" x14ac:dyDescent="0.25">
      <c r="S9444" s="78">
        <v>36831</v>
      </c>
      <c r="T9444" s="29">
        <v>6</v>
      </c>
    </row>
    <row r="9445" spans="19:20" x14ac:dyDescent="0.25">
      <c r="S9445" s="78">
        <v>36832</v>
      </c>
      <c r="T9445" s="29">
        <v>6</v>
      </c>
    </row>
    <row r="9446" spans="19:20" x14ac:dyDescent="0.25">
      <c r="S9446" s="78">
        <v>36833</v>
      </c>
      <c r="T9446" s="29">
        <v>6</v>
      </c>
    </row>
    <row r="9447" spans="19:20" x14ac:dyDescent="0.25">
      <c r="S9447" s="78">
        <v>36834</v>
      </c>
      <c r="T9447" s="29">
        <v>6</v>
      </c>
    </row>
    <row r="9448" spans="19:20" x14ac:dyDescent="0.25">
      <c r="S9448" s="78">
        <v>36835</v>
      </c>
      <c r="T9448" s="29">
        <v>6</v>
      </c>
    </row>
    <row r="9449" spans="19:20" x14ac:dyDescent="0.25">
      <c r="S9449" s="78">
        <v>36836</v>
      </c>
      <c r="T9449" s="29">
        <v>6</v>
      </c>
    </row>
    <row r="9450" spans="19:20" x14ac:dyDescent="0.25">
      <c r="S9450" s="78">
        <v>36837</v>
      </c>
      <c r="T9450" s="29">
        <v>6</v>
      </c>
    </row>
    <row r="9451" spans="19:20" x14ac:dyDescent="0.25">
      <c r="S9451" s="78">
        <v>36838</v>
      </c>
      <c r="T9451" s="29">
        <v>6</v>
      </c>
    </row>
    <row r="9452" spans="19:20" x14ac:dyDescent="0.25">
      <c r="S9452" s="78">
        <v>36839</v>
      </c>
      <c r="T9452" s="29">
        <v>6</v>
      </c>
    </row>
    <row r="9453" spans="19:20" x14ac:dyDescent="0.25">
      <c r="S9453" s="78">
        <v>36840</v>
      </c>
      <c r="T9453" s="29">
        <v>6</v>
      </c>
    </row>
    <row r="9454" spans="19:20" x14ac:dyDescent="0.25">
      <c r="S9454" s="78">
        <v>36841</v>
      </c>
      <c r="T9454" s="29">
        <v>6</v>
      </c>
    </row>
    <row r="9455" spans="19:20" x14ac:dyDescent="0.25">
      <c r="S9455" s="78">
        <v>36842</v>
      </c>
      <c r="T9455" s="29">
        <v>6</v>
      </c>
    </row>
    <row r="9456" spans="19:20" x14ac:dyDescent="0.25">
      <c r="S9456" s="78">
        <v>36843</v>
      </c>
      <c r="T9456" s="29">
        <v>6</v>
      </c>
    </row>
    <row r="9457" spans="19:20" x14ac:dyDescent="0.25">
      <c r="S9457" s="78">
        <v>36844</v>
      </c>
      <c r="T9457" s="29">
        <v>6</v>
      </c>
    </row>
    <row r="9458" spans="19:20" x14ac:dyDescent="0.25">
      <c r="S9458" s="78">
        <v>36845</v>
      </c>
      <c r="T9458" s="29">
        <v>6</v>
      </c>
    </row>
    <row r="9459" spans="19:20" x14ac:dyDescent="0.25">
      <c r="S9459" s="78">
        <v>36846</v>
      </c>
      <c r="T9459" s="29">
        <v>6</v>
      </c>
    </row>
    <row r="9460" spans="19:20" x14ac:dyDescent="0.25">
      <c r="S9460" s="78">
        <v>36847</v>
      </c>
      <c r="T9460" s="29">
        <v>6</v>
      </c>
    </row>
    <row r="9461" spans="19:20" x14ac:dyDescent="0.25">
      <c r="S9461" s="78">
        <v>36848</v>
      </c>
      <c r="T9461" s="29">
        <v>6</v>
      </c>
    </row>
    <row r="9462" spans="19:20" x14ac:dyDescent="0.25">
      <c r="S9462" s="78">
        <v>36849</v>
      </c>
      <c r="T9462" s="29">
        <v>6</v>
      </c>
    </row>
    <row r="9463" spans="19:20" x14ac:dyDescent="0.25">
      <c r="S9463" s="78">
        <v>36850</v>
      </c>
      <c r="T9463" s="29">
        <v>6</v>
      </c>
    </row>
    <row r="9464" spans="19:20" x14ac:dyDescent="0.25">
      <c r="S9464" s="78">
        <v>36851</v>
      </c>
      <c r="T9464" s="29">
        <v>6</v>
      </c>
    </row>
    <row r="9465" spans="19:20" x14ac:dyDescent="0.25">
      <c r="S9465" s="78">
        <v>36852</v>
      </c>
      <c r="T9465" s="29">
        <v>6</v>
      </c>
    </row>
    <row r="9466" spans="19:20" x14ac:dyDescent="0.25">
      <c r="S9466" s="78">
        <v>36853</v>
      </c>
      <c r="T9466" s="29">
        <v>6</v>
      </c>
    </row>
    <row r="9467" spans="19:20" x14ac:dyDescent="0.25">
      <c r="S9467" s="78">
        <v>36854</v>
      </c>
      <c r="T9467" s="29">
        <v>6</v>
      </c>
    </row>
    <row r="9468" spans="19:20" x14ac:dyDescent="0.25">
      <c r="S9468" s="78">
        <v>36855</v>
      </c>
      <c r="T9468" s="29">
        <v>6</v>
      </c>
    </row>
    <row r="9469" spans="19:20" x14ac:dyDescent="0.25">
      <c r="S9469" s="78">
        <v>36856</v>
      </c>
      <c r="T9469" s="29">
        <v>6</v>
      </c>
    </row>
    <row r="9470" spans="19:20" x14ac:dyDescent="0.25">
      <c r="S9470" s="78">
        <v>36857</v>
      </c>
      <c r="T9470" s="29">
        <v>6</v>
      </c>
    </row>
    <row r="9471" spans="19:20" x14ac:dyDescent="0.25">
      <c r="S9471" s="78">
        <v>36858</v>
      </c>
      <c r="T9471" s="29">
        <v>6</v>
      </c>
    </row>
    <row r="9472" spans="19:20" x14ac:dyDescent="0.25">
      <c r="S9472" s="78">
        <v>36859</v>
      </c>
      <c r="T9472" s="29">
        <v>6</v>
      </c>
    </row>
    <row r="9473" spans="19:20" x14ac:dyDescent="0.25">
      <c r="S9473" s="78">
        <v>36860</v>
      </c>
      <c r="T9473" s="29">
        <v>6</v>
      </c>
    </row>
    <row r="9474" spans="19:20" x14ac:dyDescent="0.25">
      <c r="S9474" s="78">
        <v>36861</v>
      </c>
      <c r="T9474" s="29">
        <v>6</v>
      </c>
    </row>
    <row r="9475" spans="19:20" x14ac:dyDescent="0.25">
      <c r="S9475" s="78">
        <v>36862</v>
      </c>
      <c r="T9475" s="29">
        <v>6</v>
      </c>
    </row>
    <row r="9476" spans="19:20" x14ac:dyDescent="0.25">
      <c r="S9476" s="78">
        <v>36863</v>
      </c>
      <c r="T9476" s="29">
        <v>6</v>
      </c>
    </row>
    <row r="9477" spans="19:20" x14ac:dyDescent="0.25">
      <c r="S9477" s="78">
        <v>36864</v>
      </c>
      <c r="T9477" s="29">
        <v>6</v>
      </c>
    </row>
    <row r="9478" spans="19:20" x14ac:dyDescent="0.25">
      <c r="S9478" s="78">
        <v>36865</v>
      </c>
      <c r="T9478" s="29">
        <v>6</v>
      </c>
    </row>
    <row r="9479" spans="19:20" x14ac:dyDescent="0.25">
      <c r="S9479" s="78">
        <v>36866</v>
      </c>
      <c r="T9479" s="29">
        <v>6</v>
      </c>
    </row>
    <row r="9480" spans="19:20" x14ac:dyDescent="0.25">
      <c r="S9480" s="78">
        <v>36867</v>
      </c>
      <c r="T9480" s="29">
        <v>6</v>
      </c>
    </row>
    <row r="9481" spans="19:20" x14ac:dyDescent="0.25">
      <c r="S9481" s="78">
        <v>36868</v>
      </c>
      <c r="T9481" s="29">
        <v>6</v>
      </c>
    </row>
    <row r="9482" spans="19:20" x14ac:dyDescent="0.25">
      <c r="S9482" s="78">
        <v>36869</v>
      </c>
      <c r="T9482" s="29">
        <v>6</v>
      </c>
    </row>
    <row r="9483" spans="19:20" x14ac:dyDescent="0.25">
      <c r="S9483" s="78">
        <v>36870</v>
      </c>
      <c r="T9483" s="29">
        <v>6</v>
      </c>
    </row>
    <row r="9484" spans="19:20" x14ac:dyDescent="0.25">
      <c r="S9484" s="78">
        <v>36871</v>
      </c>
      <c r="T9484" s="29">
        <v>6</v>
      </c>
    </row>
    <row r="9485" spans="19:20" x14ac:dyDescent="0.25">
      <c r="S9485" s="78">
        <v>36872</v>
      </c>
      <c r="T9485" s="29">
        <v>6</v>
      </c>
    </row>
    <row r="9486" spans="19:20" x14ac:dyDescent="0.25">
      <c r="S9486" s="78">
        <v>36873</v>
      </c>
      <c r="T9486" s="29">
        <v>6</v>
      </c>
    </row>
    <row r="9487" spans="19:20" x14ac:dyDescent="0.25">
      <c r="S9487" s="78">
        <v>36874</v>
      </c>
      <c r="T9487" s="29">
        <v>6</v>
      </c>
    </row>
    <row r="9488" spans="19:20" x14ac:dyDescent="0.25">
      <c r="S9488" s="78">
        <v>36875</v>
      </c>
      <c r="T9488" s="29">
        <v>6</v>
      </c>
    </row>
    <row r="9489" spans="19:21" x14ac:dyDescent="0.25">
      <c r="S9489" s="78">
        <v>36876</v>
      </c>
      <c r="T9489" s="29">
        <v>6</v>
      </c>
    </row>
    <row r="9490" spans="19:21" x14ac:dyDescent="0.25">
      <c r="S9490" s="78">
        <v>36877</v>
      </c>
      <c r="T9490" s="29">
        <v>6</v>
      </c>
    </row>
    <row r="9491" spans="19:21" x14ac:dyDescent="0.25">
      <c r="S9491" s="78">
        <v>36878</v>
      </c>
      <c r="T9491" s="29">
        <v>6</v>
      </c>
    </row>
    <row r="9492" spans="19:21" x14ac:dyDescent="0.25">
      <c r="S9492" s="78">
        <v>36879</v>
      </c>
      <c r="T9492" s="29">
        <v>6</v>
      </c>
    </row>
    <row r="9493" spans="19:21" x14ac:dyDescent="0.25">
      <c r="S9493" s="78">
        <v>36880</v>
      </c>
      <c r="T9493" s="29">
        <v>6</v>
      </c>
    </row>
    <row r="9494" spans="19:21" x14ac:dyDescent="0.25">
      <c r="S9494" s="78">
        <v>36881</v>
      </c>
      <c r="T9494" s="29">
        <v>6</v>
      </c>
    </row>
    <row r="9495" spans="19:21" x14ac:dyDescent="0.25">
      <c r="S9495" s="78">
        <v>36882</v>
      </c>
      <c r="T9495" s="29">
        <v>6</v>
      </c>
    </row>
    <row r="9496" spans="19:21" x14ac:dyDescent="0.25">
      <c r="S9496" s="78">
        <v>36883</v>
      </c>
      <c r="T9496" s="29">
        <v>6</v>
      </c>
    </row>
    <row r="9497" spans="19:21" x14ac:dyDescent="0.25">
      <c r="S9497" s="78">
        <v>36884</v>
      </c>
      <c r="T9497" s="29">
        <v>6</v>
      </c>
    </row>
    <row r="9498" spans="19:21" x14ac:dyDescent="0.25">
      <c r="S9498" s="78">
        <v>36885</v>
      </c>
      <c r="T9498" s="29">
        <v>6</v>
      </c>
    </row>
    <row r="9499" spans="19:21" x14ac:dyDescent="0.25">
      <c r="S9499" s="78">
        <v>36886</v>
      </c>
      <c r="T9499" s="29">
        <v>6</v>
      </c>
    </row>
    <row r="9500" spans="19:21" x14ac:dyDescent="0.25">
      <c r="S9500" s="78">
        <v>36887</v>
      </c>
      <c r="T9500" s="29">
        <v>6</v>
      </c>
    </row>
    <row r="9501" spans="19:21" x14ac:dyDescent="0.25">
      <c r="S9501" s="78">
        <v>36888</v>
      </c>
      <c r="T9501" s="29">
        <v>6</v>
      </c>
    </row>
    <row r="9502" spans="19:21" x14ac:dyDescent="0.25">
      <c r="S9502" s="78">
        <v>36889</v>
      </c>
      <c r="T9502" s="29">
        <v>6</v>
      </c>
    </row>
    <row r="9503" spans="19:21" x14ac:dyDescent="0.25">
      <c r="S9503" s="78">
        <v>36890</v>
      </c>
      <c r="T9503" s="29">
        <v>6</v>
      </c>
      <c r="U9503" s="40"/>
    </row>
    <row r="9504" spans="19:21" x14ac:dyDescent="0.25">
      <c r="S9504" s="78">
        <v>36891</v>
      </c>
      <c r="T9504" s="29">
        <v>6</v>
      </c>
      <c r="U9504" s="40">
        <f>AVERAGE(T9413:T9504)</f>
        <v>6</v>
      </c>
    </row>
    <row r="9505" spans="19:20" x14ac:dyDescent="0.25">
      <c r="S9505" s="78">
        <v>36892</v>
      </c>
      <c r="T9505" s="29">
        <v>6</v>
      </c>
    </row>
    <row r="9506" spans="19:20" x14ac:dyDescent="0.25">
      <c r="S9506" s="78">
        <v>36893</v>
      </c>
      <c r="T9506" s="29">
        <v>6</v>
      </c>
    </row>
    <row r="9507" spans="19:20" x14ac:dyDescent="0.25">
      <c r="S9507" s="78">
        <v>36894</v>
      </c>
      <c r="T9507" s="29">
        <v>6</v>
      </c>
    </row>
    <row r="9508" spans="19:20" x14ac:dyDescent="0.25">
      <c r="S9508" s="78">
        <v>36895</v>
      </c>
      <c r="T9508" s="29">
        <v>6</v>
      </c>
    </row>
    <row r="9509" spans="19:20" x14ac:dyDescent="0.25">
      <c r="S9509" s="78">
        <v>36896</v>
      </c>
      <c r="T9509" s="29">
        <v>6</v>
      </c>
    </row>
    <row r="9510" spans="19:20" x14ac:dyDescent="0.25">
      <c r="S9510" s="78">
        <v>36897</v>
      </c>
      <c r="T9510" s="29">
        <v>6</v>
      </c>
    </row>
    <row r="9511" spans="19:20" x14ac:dyDescent="0.25">
      <c r="S9511" s="78">
        <v>36898</v>
      </c>
      <c r="T9511" s="29">
        <v>6</v>
      </c>
    </row>
    <row r="9512" spans="19:20" x14ac:dyDescent="0.25">
      <c r="S9512" s="78">
        <v>36899</v>
      </c>
      <c r="T9512" s="29">
        <v>6</v>
      </c>
    </row>
    <row r="9513" spans="19:20" x14ac:dyDescent="0.25">
      <c r="S9513" s="78">
        <v>36900</v>
      </c>
      <c r="T9513" s="29">
        <v>6</v>
      </c>
    </row>
    <row r="9514" spans="19:20" x14ac:dyDescent="0.25">
      <c r="S9514" s="78">
        <v>36901</v>
      </c>
      <c r="T9514" s="29">
        <v>6</v>
      </c>
    </row>
    <row r="9515" spans="19:20" x14ac:dyDescent="0.25">
      <c r="S9515" s="78">
        <v>36902</v>
      </c>
      <c r="T9515" s="29">
        <v>6</v>
      </c>
    </row>
    <row r="9516" spans="19:20" x14ac:dyDescent="0.25">
      <c r="S9516" s="78">
        <v>36903</v>
      </c>
      <c r="T9516" s="29">
        <v>6</v>
      </c>
    </row>
    <row r="9517" spans="19:20" x14ac:dyDescent="0.25">
      <c r="S9517" s="78">
        <v>36904</v>
      </c>
      <c r="T9517" s="29">
        <v>6</v>
      </c>
    </row>
    <row r="9518" spans="19:20" x14ac:dyDescent="0.25">
      <c r="S9518" s="78">
        <v>36905</v>
      </c>
      <c r="T9518" s="29">
        <v>6</v>
      </c>
    </row>
    <row r="9519" spans="19:20" x14ac:dyDescent="0.25">
      <c r="S9519" s="78">
        <v>36906</v>
      </c>
      <c r="T9519" s="29">
        <v>6</v>
      </c>
    </row>
    <row r="9520" spans="19:20" x14ac:dyDescent="0.25">
      <c r="S9520" s="78">
        <v>36907</v>
      </c>
      <c r="T9520" s="29">
        <v>6</v>
      </c>
    </row>
    <row r="9521" spans="19:20" x14ac:dyDescent="0.25">
      <c r="S9521" s="78">
        <v>36908</v>
      </c>
      <c r="T9521" s="29">
        <v>6</v>
      </c>
    </row>
    <row r="9522" spans="19:20" x14ac:dyDescent="0.25">
      <c r="S9522" s="78">
        <v>36909</v>
      </c>
      <c r="T9522" s="29">
        <v>6</v>
      </c>
    </row>
    <row r="9523" spans="19:20" x14ac:dyDescent="0.25">
      <c r="S9523" s="78">
        <v>36910</v>
      </c>
      <c r="T9523" s="29">
        <v>6</v>
      </c>
    </row>
    <row r="9524" spans="19:20" x14ac:dyDescent="0.25">
      <c r="S9524" s="78">
        <v>36911</v>
      </c>
      <c r="T9524" s="29">
        <v>6</v>
      </c>
    </row>
    <row r="9525" spans="19:20" x14ac:dyDescent="0.25">
      <c r="S9525" s="78">
        <v>36912</v>
      </c>
      <c r="T9525" s="29">
        <v>6</v>
      </c>
    </row>
    <row r="9526" spans="19:20" x14ac:dyDescent="0.25">
      <c r="S9526" s="78">
        <v>36913</v>
      </c>
      <c r="T9526" s="29">
        <v>6</v>
      </c>
    </row>
    <row r="9527" spans="19:20" x14ac:dyDescent="0.25">
      <c r="S9527" s="78">
        <v>36914</v>
      </c>
      <c r="T9527" s="29">
        <v>6</v>
      </c>
    </row>
    <row r="9528" spans="19:20" x14ac:dyDescent="0.25">
      <c r="S9528" s="78">
        <v>36915</v>
      </c>
      <c r="T9528" s="29">
        <v>6</v>
      </c>
    </row>
    <row r="9529" spans="19:20" x14ac:dyDescent="0.25">
      <c r="S9529" s="78">
        <v>36916</v>
      </c>
      <c r="T9529" s="29">
        <v>6</v>
      </c>
    </row>
    <row r="9530" spans="19:20" x14ac:dyDescent="0.25">
      <c r="S9530" s="78">
        <v>36917</v>
      </c>
      <c r="T9530" s="29">
        <v>6</v>
      </c>
    </row>
    <row r="9531" spans="19:20" x14ac:dyDescent="0.25">
      <c r="S9531" s="78">
        <v>36918</v>
      </c>
      <c r="T9531" s="29">
        <v>6</v>
      </c>
    </row>
    <row r="9532" spans="19:20" x14ac:dyDescent="0.25">
      <c r="S9532" s="78">
        <v>36919</v>
      </c>
      <c r="T9532" s="29">
        <v>6</v>
      </c>
    </row>
    <row r="9533" spans="19:20" x14ac:dyDescent="0.25">
      <c r="S9533" s="78">
        <v>36920</v>
      </c>
      <c r="T9533" s="29">
        <v>6</v>
      </c>
    </row>
    <row r="9534" spans="19:20" x14ac:dyDescent="0.25">
      <c r="S9534" s="78">
        <v>36921</v>
      </c>
      <c r="T9534" s="29">
        <v>6</v>
      </c>
    </row>
    <row r="9535" spans="19:20" x14ac:dyDescent="0.25">
      <c r="S9535" s="78">
        <v>36922</v>
      </c>
      <c r="T9535" s="29">
        <v>6</v>
      </c>
    </row>
    <row r="9536" spans="19:20" x14ac:dyDescent="0.25">
      <c r="S9536" s="78">
        <v>36923</v>
      </c>
      <c r="T9536" s="29">
        <v>6</v>
      </c>
    </row>
    <row r="9537" spans="19:20" x14ac:dyDescent="0.25">
      <c r="S9537" s="78">
        <v>36924</v>
      </c>
      <c r="T9537" s="29">
        <v>6</v>
      </c>
    </row>
    <row r="9538" spans="19:20" x14ac:dyDescent="0.25">
      <c r="S9538" s="78">
        <v>36925</v>
      </c>
      <c r="T9538" s="29">
        <v>6</v>
      </c>
    </row>
    <row r="9539" spans="19:20" x14ac:dyDescent="0.25">
      <c r="S9539" s="78">
        <v>36926</v>
      </c>
      <c r="T9539" s="29">
        <v>6</v>
      </c>
    </row>
    <row r="9540" spans="19:20" x14ac:dyDescent="0.25">
      <c r="S9540" s="78">
        <v>36927</v>
      </c>
      <c r="T9540" s="29">
        <v>6</v>
      </c>
    </row>
    <row r="9541" spans="19:20" x14ac:dyDescent="0.25">
      <c r="S9541" s="78">
        <v>36928</v>
      </c>
      <c r="T9541" s="29">
        <v>6</v>
      </c>
    </row>
    <row r="9542" spans="19:20" x14ac:dyDescent="0.25">
      <c r="S9542" s="78">
        <v>36929</v>
      </c>
      <c r="T9542" s="29">
        <v>6</v>
      </c>
    </row>
    <row r="9543" spans="19:20" x14ac:dyDescent="0.25">
      <c r="S9543" s="78">
        <v>36930</v>
      </c>
      <c r="T9543" s="29">
        <v>5.75</v>
      </c>
    </row>
    <row r="9544" spans="19:20" x14ac:dyDescent="0.25">
      <c r="S9544" s="78">
        <v>36931</v>
      </c>
      <c r="T9544" s="29">
        <v>5.75</v>
      </c>
    </row>
    <row r="9545" spans="19:20" x14ac:dyDescent="0.25">
      <c r="S9545" s="78">
        <v>36932</v>
      </c>
      <c r="T9545" s="29">
        <v>5.75</v>
      </c>
    </row>
    <row r="9546" spans="19:20" x14ac:dyDescent="0.25">
      <c r="S9546" s="78">
        <v>36933</v>
      </c>
      <c r="T9546" s="29">
        <v>5.75</v>
      </c>
    </row>
    <row r="9547" spans="19:20" x14ac:dyDescent="0.25">
      <c r="S9547" s="78">
        <v>36934</v>
      </c>
      <c r="T9547" s="29">
        <v>5.75</v>
      </c>
    </row>
    <row r="9548" spans="19:20" x14ac:dyDescent="0.25">
      <c r="S9548" s="78">
        <v>36935</v>
      </c>
      <c r="T9548" s="29">
        <v>5.75</v>
      </c>
    </row>
    <row r="9549" spans="19:20" x14ac:dyDescent="0.25">
      <c r="S9549" s="78">
        <v>36936</v>
      </c>
      <c r="T9549" s="29">
        <v>5.75</v>
      </c>
    </row>
    <row r="9550" spans="19:20" x14ac:dyDescent="0.25">
      <c r="S9550" s="78">
        <v>36937</v>
      </c>
      <c r="T9550" s="29">
        <v>5.75</v>
      </c>
    </row>
    <row r="9551" spans="19:20" x14ac:dyDescent="0.25">
      <c r="S9551" s="78">
        <v>36938</v>
      </c>
      <c r="T9551" s="29">
        <v>5.75</v>
      </c>
    </row>
    <row r="9552" spans="19:20" x14ac:dyDescent="0.25">
      <c r="S9552" s="78">
        <v>36939</v>
      </c>
      <c r="T9552" s="29">
        <v>5.75</v>
      </c>
    </row>
    <row r="9553" spans="19:20" x14ac:dyDescent="0.25">
      <c r="S9553" s="78">
        <v>36940</v>
      </c>
      <c r="T9553" s="29">
        <v>5.75</v>
      </c>
    </row>
    <row r="9554" spans="19:20" x14ac:dyDescent="0.25">
      <c r="S9554" s="78">
        <v>36941</v>
      </c>
      <c r="T9554" s="29">
        <v>5.75</v>
      </c>
    </row>
    <row r="9555" spans="19:20" x14ac:dyDescent="0.25">
      <c r="S9555" s="78">
        <v>36942</v>
      </c>
      <c r="T9555" s="29">
        <v>5.75</v>
      </c>
    </row>
    <row r="9556" spans="19:20" x14ac:dyDescent="0.25">
      <c r="S9556" s="78">
        <v>36943</v>
      </c>
      <c r="T9556" s="29">
        <v>5.75</v>
      </c>
    </row>
    <row r="9557" spans="19:20" x14ac:dyDescent="0.25">
      <c r="S9557" s="78">
        <v>36944</v>
      </c>
      <c r="T9557" s="29">
        <v>5.75</v>
      </c>
    </row>
    <row r="9558" spans="19:20" x14ac:dyDescent="0.25">
      <c r="S9558" s="78">
        <v>36945</v>
      </c>
      <c r="T9558" s="29">
        <v>5.75</v>
      </c>
    </row>
    <row r="9559" spans="19:20" x14ac:dyDescent="0.25">
      <c r="S9559" s="78">
        <v>36946</v>
      </c>
      <c r="T9559" s="29">
        <v>5.75</v>
      </c>
    </row>
    <row r="9560" spans="19:20" x14ac:dyDescent="0.25">
      <c r="S9560" s="78">
        <v>36947</v>
      </c>
      <c r="T9560" s="29">
        <v>5.75</v>
      </c>
    </row>
    <row r="9561" spans="19:20" x14ac:dyDescent="0.25">
      <c r="S9561" s="78">
        <v>36948</v>
      </c>
      <c r="T9561" s="29">
        <v>5.75</v>
      </c>
    </row>
    <row r="9562" spans="19:20" x14ac:dyDescent="0.25">
      <c r="S9562" s="78">
        <v>36949</v>
      </c>
      <c r="T9562" s="29">
        <v>5.75</v>
      </c>
    </row>
    <row r="9563" spans="19:20" x14ac:dyDescent="0.25">
      <c r="S9563" s="78">
        <v>36950</v>
      </c>
      <c r="T9563" s="29">
        <v>5.75</v>
      </c>
    </row>
    <row r="9564" spans="19:20" x14ac:dyDescent="0.25">
      <c r="S9564" s="78">
        <v>36951</v>
      </c>
      <c r="T9564" s="29">
        <v>5.75</v>
      </c>
    </row>
    <row r="9565" spans="19:20" x14ac:dyDescent="0.25">
      <c r="S9565" s="78">
        <v>36952</v>
      </c>
      <c r="T9565" s="29">
        <v>5.75</v>
      </c>
    </row>
    <row r="9566" spans="19:20" x14ac:dyDescent="0.25">
      <c r="S9566" s="78">
        <v>36953</v>
      </c>
      <c r="T9566" s="29">
        <v>5.75</v>
      </c>
    </row>
    <row r="9567" spans="19:20" x14ac:dyDescent="0.25">
      <c r="S9567" s="78">
        <v>36954</v>
      </c>
      <c r="T9567" s="29">
        <v>5.75</v>
      </c>
    </row>
    <row r="9568" spans="19:20" x14ac:dyDescent="0.25">
      <c r="S9568" s="78">
        <v>36955</v>
      </c>
      <c r="T9568" s="29">
        <v>5.75</v>
      </c>
    </row>
    <row r="9569" spans="19:20" x14ac:dyDescent="0.25">
      <c r="S9569" s="78">
        <v>36956</v>
      </c>
      <c r="T9569" s="29">
        <v>5.75</v>
      </c>
    </row>
    <row r="9570" spans="19:20" x14ac:dyDescent="0.25">
      <c r="S9570" s="78">
        <v>36957</v>
      </c>
      <c r="T9570" s="29">
        <v>5.75</v>
      </c>
    </row>
    <row r="9571" spans="19:20" x14ac:dyDescent="0.25">
      <c r="S9571" s="78">
        <v>36958</v>
      </c>
      <c r="T9571" s="29">
        <v>5.75</v>
      </c>
    </row>
    <row r="9572" spans="19:20" x14ac:dyDescent="0.25">
      <c r="S9572" s="78">
        <v>36959</v>
      </c>
      <c r="T9572" s="29">
        <v>5.75</v>
      </c>
    </row>
    <row r="9573" spans="19:20" x14ac:dyDescent="0.25">
      <c r="S9573" s="78">
        <v>36960</v>
      </c>
      <c r="T9573" s="29">
        <v>5.75</v>
      </c>
    </row>
    <row r="9574" spans="19:20" x14ac:dyDescent="0.25">
      <c r="S9574" s="78">
        <v>36961</v>
      </c>
      <c r="T9574" s="29">
        <v>5.75</v>
      </c>
    </row>
    <row r="9575" spans="19:20" x14ac:dyDescent="0.25">
      <c r="S9575" s="78">
        <v>36962</v>
      </c>
      <c r="T9575" s="29">
        <v>5.75</v>
      </c>
    </row>
    <row r="9576" spans="19:20" x14ac:dyDescent="0.25">
      <c r="S9576" s="78">
        <v>36963</v>
      </c>
      <c r="T9576" s="29">
        <v>5.75</v>
      </c>
    </row>
    <row r="9577" spans="19:20" x14ac:dyDescent="0.25">
      <c r="S9577" s="78">
        <v>36964</v>
      </c>
      <c r="T9577" s="29">
        <v>5.75</v>
      </c>
    </row>
    <row r="9578" spans="19:20" x14ac:dyDescent="0.25">
      <c r="S9578" s="78">
        <v>36965</v>
      </c>
      <c r="T9578" s="29">
        <v>5.75</v>
      </c>
    </row>
    <row r="9579" spans="19:20" x14ac:dyDescent="0.25">
      <c r="S9579" s="78">
        <v>36966</v>
      </c>
      <c r="T9579" s="29">
        <v>5.75</v>
      </c>
    </row>
    <row r="9580" spans="19:20" x14ac:dyDescent="0.25">
      <c r="S9580" s="78">
        <v>36967</v>
      </c>
      <c r="T9580" s="29">
        <v>5.75</v>
      </c>
    </row>
    <row r="9581" spans="19:20" x14ac:dyDescent="0.25">
      <c r="S9581" s="78">
        <v>36968</v>
      </c>
      <c r="T9581" s="29">
        <v>5.75</v>
      </c>
    </row>
    <row r="9582" spans="19:20" x14ac:dyDescent="0.25">
      <c r="S9582" s="78">
        <v>36969</v>
      </c>
      <c r="T9582" s="29">
        <v>5.75</v>
      </c>
    </row>
    <row r="9583" spans="19:20" x14ac:dyDescent="0.25">
      <c r="S9583" s="78">
        <v>36970</v>
      </c>
      <c r="T9583" s="29">
        <v>5.75</v>
      </c>
    </row>
    <row r="9584" spans="19:20" x14ac:dyDescent="0.25">
      <c r="S9584" s="78">
        <v>36971</v>
      </c>
      <c r="T9584" s="29">
        <v>5.75</v>
      </c>
    </row>
    <row r="9585" spans="19:21" x14ac:dyDescent="0.25">
      <c r="S9585" s="78">
        <v>36972</v>
      </c>
      <c r="T9585" s="29">
        <v>5.75</v>
      </c>
    </row>
    <row r="9586" spans="19:21" x14ac:dyDescent="0.25">
      <c r="S9586" s="78">
        <v>36973</v>
      </c>
      <c r="T9586" s="29">
        <v>5.75</v>
      </c>
    </row>
    <row r="9587" spans="19:21" x14ac:dyDescent="0.25">
      <c r="S9587" s="78">
        <v>36974</v>
      </c>
      <c r="T9587" s="29">
        <v>5.75</v>
      </c>
    </row>
    <row r="9588" spans="19:21" x14ac:dyDescent="0.25">
      <c r="S9588" s="78">
        <v>36975</v>
      </c>
      <c r="T9588" s="29">
        <v>5.75</v>
      </c>
    </row>
    <row r="9589" spans="19:21" x14ac:dyDescent="0.25">
      <c r="S9589" s="78">
        <v>36976</v>
      </c>
      <c r="T9589" s="29">
        <v>5.75</v>
      </c>
    </row>
    <row r="9590" spans="19:21" x14ac:dyDescent="0.25">
      <c r="S9590" s="78">
        <v>36977</v>
      </c>
      <c r="T9590" s="29">
        <v>5.75</v>
      </c>
    </row>
    <row r="9591" spans="19:21" x14ac:dyDescent="0.25">
      <c r="S9591" s="78">
        <v>36978</v>
      </c>
      <c r="T9591" s="29">
        <v>5.75</v>
      </c>
    </row>
    <row r="9592" spans="19:21" x14ac:dyDescent="0.25">
      <c r="S9592" s="78">
        <v>36979</v>
      </c>
      <c r="T9592" s="29">
        <v>5.75</v>
      </c>
    </row>
    <row r="9593" spans="19:21" x14ac:dyDescent="0.25">
      <c r="S9593" s="78">
        <v>36980</v>
      </c>
      <c r="T9593" s="29">
        <v>5.75</v>
      </c>
    </row>
    <row r="9594" spans="19:21" x14ac:dyDescent="0.25">
      <c r="S9594" s="78">
        <v>36981</v>
      </c>
      <c r="T9594" s="29">
        <v>5.75</v>
      </c>
      <c r="U9594" s="39">
        <f>AVERAGE(T9505:T9594)</f>
        <v>5.8555555555555552</v>
      </c>
    </row>
    <row r="9595" spans="19:21" x14ac:dyDescent="0.25">
      <c r="S9595" s="78">
        <v>36982</v>
      </c>
      <c r="T9595" s="29">
        <v>5.75</v>
      </c>
    </row>
    <row r="9596" spans="19:21" x14ac:dyDescent="0.25">
      <c r="S9596" s="78">
        <v>36983</v>
      </c>
      <c r="T9596" s="29">
        <v>5.75</v>
      </c>
    </row>
    <row r="9597" spans="19:21" x14ac:dyDescent="0.25">
      <c r="S9597" s="78">
        <v>36984</v>
      </c>
      <c r="T9597" s="29">
        <v>5.75</v>
      </c>
    </row>
    <row r="9598" spans="19:21" x14ac:dyDescent="0.25">
      <c r="S9598" s="78">
        <v>36985</v>
      </c>
      <c r="T9598" s="29">
        <v>5.75</v>
      </c>
    </row>
    <row r="9599" spans="19:21" x14ac:dyDescent="0.25">
      <c r="S9599" s="78">
        <v>36986</v>
      </c>
      <c r="T9599" s="29">
        <v>5.5</v>
      </c>
    </row>
    <row r="9600" spans="19:21" x14ac:dyDescent="0.25">
      <c r="S9600" s="78">
        <v>36987</v>
      </c>
      <c r="T9600" s="29">
        <v>5.5</v>
      </c>
    </row>
    <row r="9601" spans="19:20" x14ac:dyDescent="0.25">
      <c r="S9601" s="78">
        <v>36988</v>
      </c>
      <c r="T9601" s="29">
        <v>5.5</v>
      </c>
    </row>
    <row r="9602" spans="19:20" x14ac:dyDescent="0.25">
      <c r="S9602" s="78">
        <v>36989</v>
      </c>
      <c r="T9602" s="29">
        <v>5.5</v>
      </c>
    </row>
    <row r="9603" spans="19:20" x14ac:dyDescent="0.25">
      <c r="S9603" s="78">
        <v>36990</v>
      </c>
      <c r="T9603" s="29">
        <v>5.5</v>
      </c>
    </row>
    <row r="9604" spans="19:20" x14ac:dyDescent="0.25">
      <c r="S9604" s="78">
        <v>36991</v>
      </c>
      <c r="T9604" s="29">
        <v>5.5</v>
      </c>
    </row>
    <row r="9605" spans="19:20" x14ac:dyDescent="0.25">
      <c r="S9605" s="78">
        <v>36992</v>
      </c>
      <c r="T9605" s="29">
        <v>5.5</v>
      </c>
    </row>
    <row r="9606" spans="19:20" x14ac:dyDescent="0.25">
      <c r="S9606" s="78">
        <v>36993</v>
      </c>
      <c r="T9606" s="29">
        <v>5.5</v>
      </c>
    </row>
    <row r="9607" spans="19:20" x14ac:dyDescent="0.25">
      <c r="S9607" s="78">
        <v>36994</v>
      </c>
      <c r="T9607" s="29">
        <v>5.5</v>
      </c>
    </row>
    <row r="9608" spans="19:20" x14ac:dyDescent="0.25">
      <c r="S9608" s="78">
        <v>36995</v>
      </c>
      <c r="T9608" s="29">
        <v>5.5</v>
      </c>
    </row>
    <row r="9609" spans="19:20" x14ac:dyDescent="0.25">
      <c r="S9609" s="78">
        <v>36996</v>
      </c>
      <c r="T9609" s="29">
        <v>5.5</v>
      </c>
    </row>
    <row r="9610" spans="19:20" x14ac:dyDescent="0.25">
      <c r="S9610" s="78">
        <v>36997</v>
      </c>
      <c r="T9610" s="29">
        <v>5.5</v>
      </c>
    </row>
    <row r="9611" spans="19:20" x14ac:dyDescent="0.25">
      <c r="S9611" s="78">
        <v>36998</v>
      </c>
      <c r="T9611" s="29">
        <v>5.5</v>
      </c>
    </row>
    <row r="9612" spans="19:20" x14ac:dyDescent="0.25">
      <c r="S9612" s="78">
        <v>36999</v>
      </c>
      <c r="T9612" s="29">
        <v>5.5</v>
      </c>
    </row>
    <row r="9613" spans="19:20" x14ac:dyDescent="0.25">
      <c r="S9613" s="78">
        <v>37000</v>
      </c>
      <c r="T9613" s="29">
        <v>5.5</v>
      </c>
    </row>
    <row r="9614" spans="19:20" x14ac:dyDescent="0.25">
      <c r="S9614" s="78">
        <v>37001</v>
      </c>
      <c r="T9614" s="29">
        <v>5.5</v>
      </c>
    </row>
    <row r="9615" spans="19:20" x14ac:dyDescent="0.25">
      <c r="S9615" s="78">
        <v>37002</v>
      </c>
      <c r="T9615" s="29">
        <v>5.5</v>
      </c>
    </row>
    <row r="9616" spans="19:20" x14ac:dyDescent="0.25">
      <c r="S9616" s="78">
        <v>37003</v>
      </c>
      <c r="T9616" s="29">
        <v>5.5</v>
      </c>
    </row>
    <row r="9617" spans="19:20" x14ac:dyDescent="0.25">
      <c r="S9617" s="78">
        <v>37004</v>
      </c>
      <c r="T9617" s="29">
        <v>5.5</v>
      </c>
    </row>
    <row r="9618" spans="19:20" x14ac:dyDescent="0.25">
      <c r="S9618" s="78">
        <v>37005</v>
      </c>
      <c r="T9618" s="29">
        <v>5.5</v>
      </c>
    </row>
    <row r="9619" spans="19:20" x14ac:dyDescent="0.25">
      <c r="S9619" s="78">
        <v>37006</v>
      </c>
      <c r="T9619" s="29">
        <v>5.5</v>
      </c>
    </row>
    <row r="9620" spans="19:20" x14ac:dyDescent="0.25">
      <c r="S9620" s="78">
        <v>37007</v>
      </c>
      <c r="T9620" s="29">
        <v>5.5</v>
      </c>
    </row>
    <row r="9621" spans="19:20" x14ac:dyDescent="0.25">
      <c r="S9621" s="78">
        <v>37008</v>
      </c>
      <c r="T9621" s="29">
        <v>5.5</v>
      </c>
    </row>
    <row r="9622" spans="19:20" x14ac:dyDescent="0.25">
      <c r="S9622" s="78">
        <v>37009</v>
      </c>
      <c r="T9622" s="29">
        <v>5.5</v>
      </c>
    </row>
    <row r="9623" spans="19:20" x14ac:dyDescent="0.25">
      <c r="S9623" s="78">
        <v>37010</v>
      </c>
      <c r="T9623" s="29">
        <v>5.5</v>
      </c>
    </row>
    <row r="9624" spans="19:20" x14ac:dyDescent="0.25">
      <c r="S9624" s="78">
        <v>37011</v>
      </c>
      <c r="T9624" s="29">
        <v>5.5</v>
      </c>
    </row>
    <row r="9625" spans="19:20" x14ac:dyDescent="0.25">
      <c r="S9625" s="78">
        <v>37012</v>
      </c>
      <c r="T9625" s="29">
        <v>5.5</v>
      </c>
    </row>
    <row r="9626" spans="19:20" x14ac:dyDescent="0.25">
      <c r="S9626" s="78">
        <v>37013</v>
      </c>
      <c r="T9626" s="29">
        <v>5.5</v>
      </c>
    </row>
    <row r="9627" spans="19:20" x14ac:dyDescent="0.25">
      <c r="S9627" s="78">
        <v>37014</v>
      </c>
      <c r="T9627" s="29">
        <v>5.5</v>
      </c>
    </row>
    <row r="9628" spans="19:20" x14ac:dyDescent="0.25">
      <c r="S9628" s="78">
        <v>37015</v>
      </c>
      <c r="T9628" s="29">
        <v>5.5</v>
      </c>
    </row>
    <row r="9629" spans="19:20" x14ac:dyDescent="0.25">
      <c r="S9629" s="78">
        <v>37016</v>
      </c>
      <c r="T9629" s="29">
        <v>5.5</v>
      </c>
    </row>
    <row r="9630" spans="19:20" x14ac:dyDescent="0.25">
      <c r="S9630" s="78">
        <v>37017</v>
      </c>
      <c r="T9630" s="29">
        <v>5.5</v>
      </c>
    </row>
    <row r="9631" spans="19:20" x14ac:dyDescent="0.25">
      <c r="S9631" s="78">
        <v>37018</v>
      </c>
      <c r="T9631" s="29">
        <v>5.5</v>
      </c>
    </row>
    <row r="9632" spans="19:20" x14ac:dyDescent="0.25">
      <c r="S9632" s="78">
        <v>37019</v>
      </c>
      <c r="T9632" s="29">
        <v>5.5</v>
      </c>
    </row>
    <row r="9633" spans="19:20" x14ac:dyDescent="0.25">
      <c r="S9633" s="78">
        <v>37020</v>
      </c>
      <c r="T9633" s="29">
        <v>5.5</v>
      </c>
    </row>
    <row r="9634" spans="19:20" x14ac:dyDescent="0.25">
      <c r="S9634" s="78">
        <v>37021</v>
      </c>
      <c r="T9634" s="29">
        <v>5.25</v>
      </c>
    </row>
    <row r="9635" spans="19:20" x14ac:dyDescent="0.25">
      <c r="S9635" s="78">
        <v>37022</v>
      </c>
      <c r="T9635" s="29">
        <v>5.25</v>
      </c>
    </row>
    <row r="9636" spans="19:20" x14ac:dyDescent="0.25">
      <c r="S9636" s="78">
        <v>37023</v>
      </c>
      <c r="T9636" s="29">
        <v>5.25</v>
      </c>
    </row>
    <row r="9637" spans="19:20" x14ac:dyDescent="0.25">
      <c r="S9637" s="78">
        <v>37024</v>
      </c>
      <c r="T9637" s="29">
        <v>5.25</v>
      </c>
    </row>
    <row r="9638" spans="19:20" x14ac:dyDescent="0.25">
      <c r="S9638" s="78">
        <v>37025</v>
      </c>
      <c r="T9638" s="29">
        <v>5.25</v>
      </c>
    </row>
    <row r="9639" spans="19:20" x14ac:dyDescent="0.25">
      <c r="S9639" s="78">
        <v>37026</v>
      </c>
      <c r="T9639" s="29">
        <v>5.25</v>
      </c>
    </row>
    <row r="9640" spans="19:20" x14ac:dyDescent="0.25">
      <c r="S9640" s="78">
        <v>37027</v>
      </c>
      <c r="T9640" s="29">
        <v>5.25</v>
      </c>
    </row>
    <row r="9641" spans="19:20" x14ac:dyDescent="0.25">
      <c r="S9641" s="78">
        <v>37028</v>
      </c>
      <c r="T9641" s="29">
        <v>5.25</v>
      </c>
    </row>
    <row r="9642" spans="19:20" x14ac:dyDescent="0.25">
      <c r="S9642" s="78">
        <v>37029</v>
      </c>
      <c r="T9642" s="29">
        <v>5.25</v>
      </c>
    </row>
    <row r="9643" spans="19:20" x14ac:dyDescent="0.25">
      <c r="S9643" s="78">
        <v>37030</v>
      </c>
      <c r="T9643" s="29">
        <v>5.25</v>
      </c>
    </row>
    <row r="9644" spans="19:20" x14ac:dyDescent="0.25">
      <c r="S9644" s="78">
        <v>37031</v>
      </c>
      <c r="T9644" s="29">
        <v>5.25</v>
      </c>
    </row>
    <row r="9645" spans="19:20" x14ac:dyDescent="0.25">
      <c r="S9645" s="78">
        <v>37032</v>
      </c>
      <c r="T9645" s="29">
        <v>5.25</v>
      </c>
    </row>
    <row r="9646" spans="19:20" x14ac:dyDescent="0.25">
      <c r="S9646" s="78">
        <v>37033</v>
      </c>
      <c r="T9646" s="29">
        <v>5.25</v>
      </c>
    </row>
    <row r="9647" spans="19:20" x14ac:dyDescent="0.25">
      <c r="S9647" s="78">
        <v>37034</v>
      </c>
      <c r="T9647" s="29">
        <v>5.25</v>
      </c>
    </row>
    <row r="9648" spans="19:20" x14ac:dyDescent="0.25">
      <c r="S9648" s="78">
        <v>37035</v>
      </c>
      <c r="T9648" s="29">
        <v>5.25</v>
      </c>
    </row>
    <row r="9649" spans="19:20" x14ac:dyDescent="0.25">
      <c r="S9649" s="78">
        <v>37036</v>
      </c>
      <c r="T9649" s="29">
        <v>5.25</v>
      </c>
    </row>
    <row r="9650" spans="19:20" x14ac:dyDescent="0.25">
      <c r="S9650" s="78">
        <v>37037</v>
      </c>
      <c r="T9650" s="29">
        <v>5.25</v>
      </c>
    </row>
    <row r="9651" spans="19:20" x14ac:dyDescent="0.25">
      <c r="S9651" s="78">
        <v>37038</v>
      </c>
      <c r="T9651" s="29">
        <v>5.25</v>
      </c>
    </row>
    <row r="9652" spans="19:20" x14ac:dyDescent="0.25">
      <c r="S9652" s="78">
        <v>37039</v>
      </c>
      <c r="T9652" s="29">
        <v>5.25</v>
      </c>
    </row>
    <row r="9653" spans="19:20" x14ac:dyDescent="0.25">
      <c r="S9653" s="78">
        <v>37040</v>
      </c>
      <c r="T9653" s="29">
        <v>5.25</v>
      </c>
    </row>
    <row r="9654" spans="19:20" x14ac:dyDescent="0.25">
      <c r="S9654" s="78">
        <v>37041</v>
      </c>
      <c r="T9654" s="29">
        <v>5.25</v>
      </c>
    </row>
    <row r="9655" spans="19:20" x14ac:dyDescent="0.25">
      <c r="S9655" s="78">
        <v>37042</v>
      </c>
      <c r="T9655" s="29">
        <v>5.25</v>
      </c>
    </row>
    <row r="9656" spans="19:20" x14ac:dyDescent="0.25">
      <c r="S9656" s="78">
        <v>37043</v>
      </c>
      <c r="T9656" s="29">
        <v>5.25</v>
      </c>
    </row>
    <row r="9657" spans="19:20" x14ac:dyDescent="0.25">
      <c r="S9657" s="78">
        <v>37044</v>
      </c>
      <c r="T9657" s="29">
        <v>5.25</v>
      </c>
    </row>
    <row r="9658" spans="19:20" x14ac:dyDescent="0.25">
      <c r="S9658" s="78">
        <v>37045</v>
      </c>
      <c r="T9658" s="29">
        <v>5.25</v>
      </c>
    </row>
    <row r="9659" spans="19:20" x14ac:dyDescent="0.25">
      <c r="S9659" s="78">
        <v>37046</v>
      </c>
      <c r="T9659" s="29">
        <v>5.25</v>
      </c>
    </row>
    <row r="9660" spans="19:20" x14ac:dyDescent="0.25">
      <c r="S9660" s="78">
        <v>37047</v>
      </c>
      <c r="T9660" s="29">
        <v>5.25</v>
      </c>
    </row>
    <row r="9661" spans="19:20" x14ac:dyDescent="0.25">
      <c r="S9661" s="78">
        <v>37048</v>
      </c>
      <c r="T9661" s="29">
        <v>5.25</v>
      </c>
    </row>
    <row r="9662" spans="19:20" x14ac:dyDescent="0.25">
      <c r="S9662" s="78">
        <v>37049</v>
      </c>
      <c r="T9662" s="29">
        <v>5.25</v>
      </c>
    </row>
    <row r="9663" spans="19:20" x14ac:dyDescent="0.25">
      <c r="S9663" s="78">
        <v>37050</v>
      </c>
      <c r="T9663" s="29">
        <v>5.25</v>
      </c>
    </row>
    <row r="9664" spans="19:20" x14ac:dyDescent="0.25">
      <c r="S9664" s="78">
        <v>37051</v>
      </c>
      <c r="T9664" s="29">
        <v>5.25</v>
      </c>
    </row>
    <row r="9665" spans="19:20" x14ac:dyDescent="0.25">
      <c r="S9665" s="78">
        <v>37052</v>
      </c>
      <c r="T9665" s="29">
        <v>5.25</v>
      </c>
    </row>
    <row r="9666" spans="19:20" x14ac:dyDescent="0.25">
      <c r="S9666" s="78">
        <v>37053</v>
      </c>
      <c r="T9666" s="29">
        <v>5.25</v>
      </c>
    </row>
    <row r="9667" spans="19:20" x14ac:dyDescent="0.25">
      <c r="S9667" s="78">
        <v>37054</v>
      </c>
      <c r="T9667" s="29">
        <v>5.25</v>
      </c>
    </row>
    <row r="9668" spans="19:20" x14ac:dyDescent="0.25">
      <c r="S9668" s="78">
        <v>37055</v>
      </c>
      <c r="T9668" s="29">
        <v>5.25</v>
      </c>
    </row>
    <row r="9669" spans="19:20" x14ac:dyDescent="0.25">
      <c r="S9669" s="78">
        <v>37056</v>
      </c>
      <c r="T9669" s="29">
        <v>5.25</v>
      </c>
    </row>
    <row r="9670" spans="19:20" x14ac:dyDescent="0.25">
      <c r="S9670" s="78">
        <v>37057</v>
      </c>
      <c r="T9670" s="29">
        <v>5.25</v>
      </c>
    </row>
    <row r="9671" spans="19:20" x14ac:dyDescent="0.25">
      <c r="S9671" s="78">
        <v>37058</v>
      </c>
      <c r="T9671" s="29">
        <v>5.25</v>
      </c>
    </row>
    <row r="9672" spans="19:20" x14ac:dyDescent="0.25">
      <c r="S9672" s="78">
        <v>37059</v>
      </c>
      <c r="T9672" s="29">
        <v>5.25</v>
      </c>
    </row>
    <row r="9673" spans="19:20" x14ac:dyDescent="0.25">
      <c r="S9673" s="78">
        <v>37060</v>
      </c>
      <c r="T9673" s="29">
        <v>5.25</v>
      </c>
    </row>
    <row r="9674" spans="19:20" x14ac:dyDescent="0.25">
      <c r="S9674" s="78">
        <v>37061</v>
      </c>
      <c r="T9674" s="29">
        <v>5.25</v>
      </c>
    </row>
    <row r="9675" spans="19:20" x14ac:dyDescent="0.25">
      <c r="S9675" s="78">
        <v>37062</v>
      </c>
      <c r="T9675" s="29">
        <v>5.25</v>
      </c>
    </row>
    <row r="9676" spans="19:20" x14ac:dyDescent="0.25">
      <c r="S9676" s="78">
        <v>37063</v>
      </c>
      <c r="T9676" s="29">
        <v>5.25</v>
      </c>
    </row>
    <row r="9677" spans="19:20" x14ac:dyDescent="0.25">
      <c r="S9677" s="78">
        <v>37064</v>
      </c>
      <c r="T9677" s="29">
        <v>5.25</v>
      </c>
    </row>
    <row r="9678" spans="19:20" x14ac:dyDescent="0.25">
      <c r="S9678" s="78">
        <v>37065</v>
      </c>
      <c r="T9678" s="29">
        <v>5.25</v>
      </c>
    </row>
    <row r="9679" spans="19:20" x14ac:dyDescent="0.25">
      <c r="S9679" s="78">
        <v>37066</v>
      </c>
      <c r="T9679" s="29">
        <v>5.25</v>
      </c>
    </row>
    <row r="9680" spans="19:20" x14ac:dyDescent="0.25">
      <c r="S9680" s="78">
        <v>37067</v>
      </c>
      <c r="T9680" s="29">
        <v>5.25</v>
      </c>
    </row>
    <row r="9681" spans="19:21" x14ac:dyDescent="0.25">
      <c r="S9681" s="78">
        <v>37068</v>
      </c>
      <c r="T9681" s="29">
        <v>5.25</v>
      </c>
    </row>
    <row r="9682" spans="19:21" x14ac:dyDescent="0.25">
      <c r="S9682" s="78">
        <v>37069</v>
      </c>
      <c r="T9682" s="29">
        <v>5.25</v>
      </c>
    </row>
    <row r="9683" spans="19:21" x14ac:dyDescent="0.25">
      <c r="S9683" s="78">
        <v>37070</v>
      </c>
      <c r="T9683" s="29">
        <v>5.25</v>
      </c>
    </row>
    <row r="9684" spans="19:21" x14ac:dyDescent="0.25">
      <c r="S9684" s="78">
        <v>37071</v>
      </c>
      <c r="T9684" s="29">
        <v>5.25</v>
      </c>
    </row>
    <row r="9685" spans="19:21" x14ac:dyDescent="0.25">
      <c r="S9685" s="78">
        <v>37072</v>
      </c>
      <c r="T9685" s="29">
        <v>5.25</v>
      </c>
      <c r="U9685" s="40">
        <f>AVERAGE(T9595:T9685)</f>
        <v>5.3681318681318677</v>
      </c>
    </row>
    <row r="9686" spans="19:21" x14ac:dyDescent="0.25">
      <c r="S9686" s="78">
        <v>37073</v>
      </c>
      <c r="T9686" s="29">
        <v>5.25</v>
      </c>
    </row>
    <row r="9687" spans="19:21" x14ac:dyDescent="0.25">
      <c r="S9687" s="78">
        <v>37074</v>
      </c>
      <c r="T9687" s="29">
        <v>5.25</v>
      </c>
    </row>
    <row r="9688" spans="19:21" x14ac:dyDescent="0.25">
      <c r="S9688" s="78">
        <v>37075</v>
      </c>
      <c r="T9688" s="29">
        <v>5.25</v>
      </c>
    </row>
    <row r="9689" spans="19:21" x14ac:dyDescent="0.25">
      <c r="S9689" s="78">
        <v>37076</v>
      </c>
      <c r="T9689" s="29">
        <v>5.25</v>
      </c>
    </row>
    <row r="9690" spans="19:21" x14ac:dyDescent="0.25">
      <c r="S9690" s="78">
        <v>37077</v>
      </c>
      <c r="T9690" s="29">
        <v>5.25</v>
      </c>
    </row>
    <row r="9691" spans="19:21" x14ac:dyDescent="0.25">
      <c r="S9691" s="78">
        <v>37078</v>
      </c>
      <c r="T9691" s="29">
        <v>5.25</v>
      </c>
    </row>
    <row r="9692" spans="19:21" x14ac:dyDescent="0.25">
      <c r="S9692" s="78">
        <v>37079</v>
      </c>
      <c r="T9692" s="29">
        <v>5.25</v>
      </c>
    </row>
    <row r="9693" spans="19:21" x14ac:dyDescent="0.25">
      <c r="S9693" s="78">
        <v>37080</v>
      </c>
      <c r="T9693" s="29">
        <v>5.25</v>
      </c>
    </row>
    <row r="9694" spans="19:21" x14ac:dyDescent="0.25">
      <c r="S9694" s="78">
        <v>37081</v>
      </c>
      <c r="T9694" s="29">
        <v>5.25</v>
      </c>
    </row>
    <row r="9695" spans="19:21" x14ac:dyDescent="0.25">
      <c r="S9695" s="78">
        <v>37082</v>
      </c>
      <c r="T9695" s="29">
        <v>5.25</v>
      </c>
    </row>
    <row r="9696" spans="19:21" x14ac:dyDescent="0.25">
      <c r="S9696" s="78">
        <v>37083</v>
      </c>
      <c r="T9696" s="29">
        <v>5.25</v>
      </c>
    </row>
    <row r="9697" spans="19:20" x14ac:dyDescent="0.25">
      <c r="S9697" s="78">
        <v>37084</v>
      </c>
      <c r="T9697" s="29">
        <v>5.25</v>
      </c>
    </row>
    <row r="9698" spans="19:20" x14ac:dyDescent="0.25">
      <c r="S9698" s="78">
        <v>37085</v>
      </c>
      <c r="T9698" s="29">
        <v>5.25</v>
      </c>
    </row>
    <row r="9699" spans="19:20" x14ac:dyDescent="0.25">
      <c r="S9699" s="78">
        <v>37086</v>
      </c>
      <c r="T9699" s="29">
        <v>5.25</v>
      </c>
    </row>
    <row r="9700" spans="19:20" x14ac:dyDescent="0.25">
      <c r="S9700" s="78">
        <v>37087</v>
      </c>
      <c r="T9700" s="29">
        <v>5.25</v>
      </c>
    </row>
    <row r="9701" spans="19:20" x14ac:dyDescent="0.25">
      <c r="S9701" s="78">
        <v>37088</v>
      </c>
      <c r="T9701" s="29">
        <v>5.25</v>
      </c>
    </row>
    <row r="9702" spans="19:20" x14ac:dyDescent="0.25">
      <c r="S9702" s="78">
        <v>37089</v>
      </c>
      <c r="T9702" s="29">
        <v>5.25</v>
      </c>
    </row>
    <row r="9703" spans="19:20" x14ac:dyDescent="0.25">
      <c r="S9703" s="78">
        <v>37090</v>
      </c>
      <c r="T9703" s="29">
        <v>5.25</v>
      </c>
    </row>
    <row r="9704" spans="19:20" x14ac:dyDescent="0.25">
      <c r="S9704" s="78">
        <v>37091</v>
      </c>
      <c r="T9704" s="29">
        <v>5.25</v>
      </c>
    </row>
    <row r="9705" spans="19:20" x14ac:dyDescent="0.25">
      <c r="S9705" s="78">
        <v>37092</v>
      </c>
      <c r="T9705" s="29">
        <v>5.25</v>
      </c>
    </row>
    <row r="9706" spans="19:20" x14ac:dyDescent="0.25">
      <c r="S9706" s="78">
        <v>37093</v>
      </c>
      <c r="T9706" s="29">
        <v>5.25</v>
      </c>
    </row>
    <row r="9707" spans="19:20" x14ac:dyDescent="0.25">
      <c r="S9707" s="78">
        <v>37094</v>
      </c>
      <c r="T9707" s="29">
        <v>5.25</v>
      </c>
    </row>
    <row r="9708" spans="19:20" x14ac:dyDescent="0.25">
      <c r="S9708" s="78">
        <v>37095</v>
      </c>
      <c r="T9708" s="29">
        <v>5.25</v>
      </c>
    </row>
    <row r="9709" spans="19:20" x14ac:dyDescent="0.25">
      <c r="S9709" s="78">
        <v>37096</v>
      </c>
      <c r="T9709" s="29">
        <v>5.25</v>
      </c>
    </row>
    <row r="9710" spans="19:20" x14ac:dyDescent="0.25">
      <c r="S9710" s="78">
        <v>37097</v>
      </c>
      <c r="T9710" s="29">
        <v>5.25</v>
      </c>
    </row>
    <row r="9711" spans="19:20" x14ac:dyDescent="0.25">
      <c r="S9711" s="78">
        <v>37098</v>
      </c>
      <c r="T9711" s="29">
        <v>5.25</v>
      </c>
    </row>
    <row r="9712" spans="19:20" x14ac:dyDescent="0.25">
      <c r="S9712" s="78">
        <v>37099</v>
      </c>
      <c r="T9712" s="29">
        <v>5.25</v>
      </c>
    </row>
    <row r="9713" spans="19:20" x14ac:dyDescent="0.25">
      <c r="S9713" s="78">
        <v>37100</v>
      </c>
      <c r="T9713" s="29">
        <v>5.25</v>
      </c>
    </row>
    <row r="9714" spans="19:20" x14ac:dyDescent="0.25">
      <c r="S9714" s="78">
        <v>37101</v>
      </c>
      <c r="T9714" s="29">
        <v>5.25</v>
      </c>
    </row>
    <row r="9715" spans="19:20" x14ac:dyDescent="0.25">
      <c r="S9715" s="78">
        <v>37102</v>
      </c>
      <c r="T9715" s="29">
        <v>5.25</v>
      </c>
    </row>
    <row r="9716" spans="19:20" x14ac:dyDescent="0.25">
      <c r="S9716" s="78">
        <v>37103</v>
      </c>
      <c r="T9716" s="29">
        <v>5.25</v>
      </c>
    </row>
    <row r="9717" spans="19:20" x14ac:dyDescent="0.25">
      <c r="S9717" s="78">
        <v>37104</v>
      </c>
      <c r="T9717" s="29">
        <v>5.25</v>
      </c>
    </row>
    <row r="9718" spans="19:20" x14ac:dyDescent="0.25">
      <c r="S9718" s="78">
        <v>37105</v>
      </c>
      <c r="T9718" s="29">
        <v>5</v>
      </c>
    </row>
    <row r="9719" spans="19:20" x14ac:dyDescent="0.25">
      <c r="S9719" s="78">
        <v>37106</v>
      </c>
      <c r="T9719" s="29">
        <v>5</v>
      </c>
    </row>
    <row r="9720" spans="19:20" x14ac:dyDescent="0.25">
      <c r="S9720" s="78">
        <v>37107</v>
      </c>
      <c r="T9720" s="29">
        <v>5</v>
      </c>
    </row>
    <row r="9721" spans="19:20" x14ac:dyDescent="0.25">
      <c r="S9721" s="78">
        <v>37108</v>
      </c>
      <c r="T9721" s="29">
        <v>5</v>
      </c>
    </row>
    <row r="9722" spans="19:20" x14ac:dyDescent="0.25">
      <c r="S9722" s="78">
        <v>37109</v>
      </c>
      <c r="T9722" s="29">
        <v>5</v>
      </c>
    </row>
    <row r="9723" spans="19:20" x14ac:dyDescent="0.25">
      <c r="S9723" s="78">
        <v>37110</v>
      </c>
      <c r="T9723" s="29">
        <v>5</v>
      </c>
    </row>
    <row r="9724" spans="19:20" x14ac:dyDescent="0.25">
      <c r="S9724" s="78">
        <v>37111</v>
      </c>
      <c r="T9724" s="29">
        <v>5</v>
      </c>
    </row>
    <row r="9725" spans="19:20" x14ac:dyDescent="0.25">
      <c r="S9725" s="78">
        <v>37112</v>
      </c>
      <c r="T9725" s="29">
        <v>5</v>
      </c>
    </row>
    <row r="9726" spans="19:20" x14ac:dyDescent="0.25">
      <c r="S9726" s="78">
        <v>37113</v>
      </c>
      <c r="T9726" s="29">
        <v>5</v>
      </c>
    </row>
    <row r="9727" spans="19:20" x14ac:dyDescent="0.25">
      <c r="S9727" s="78">
        <v>37114</v>
      </c>
      <c r="T9727" s="29">
        <v>5</v>
      </c>
    </row>
    <row r="9728" spans="19:20" x14ac:dyDescent="0.25">
      <c r="S9728" s="78">
        <v>37115</v>
      </c>
      <c r="T9728" s="29">
        <v>5</v>
      </c>
    </row>
    <row r="9729" spans="19:20" x14ac:dyDescent="0.25">
      <c r="S9729" s="78">
        <v>37116</v>
      </c>
      <c r="T9729" s="29">
        <v>5</v>
      </c>
    </row>
    <row r="9730" spans="19:20" x14ac:dyDescent="0.25">
      <c r="S9730" s="78">
        <v>37117</v>
      </c>
      <c r="T9730" s="29">
        <v>5</v>
      </c>
    </row>
    <row r="9731" spans="19:20" x14ac:dyDescent="0.25">
      <c r="S9731" s="78">
        <v>37118</v>
      </c>
      <c r="T9731" s="29">
        <v>5</v>
      </c>
    </row>
    <row r="9732" spans="19:20" x14ac:dyDescent="0.25">
      <c r="S9732" s="78">
        <v>37119</v>
      </c>
      <c r="T9732" s="29">
        <v>5</v>
      </c>
    </row>
    <row r="9733" spans="19:20" x14ac:dyDescent="0.25">
      <c r="S9733" s="78">
        <v>37120</v>
      </c>
      <c r="T9733" s="29">
        <v>5</v>
      </c>
    </row>
    <row r="9734" spans="19:20" x14ac:dyDescent="0.25">
      <c r="S9734" s="78">
        <v>37121</v>
      </c>
      <c r="T9734" s="29">
        <v>5</v>
      </c>
    </row>
    <row r="9735" spans="19:20" x14ac:dyDescent="0.25">
      <c r="S9735" s="78">
        <v>37122</v>
      </c>
      <c r="T9735" s="29">
        <v>5</v>
      </c>
    </row>
    <row r="9736" spans="19:20" x14ac:dyDescent="0.25">
      <c r="S9736" s="78">
        <v>37123</v>
      </c>
      <c r="T9736" s="29">
        <v>5</v>
      </c>
    </row>
    <row r="9737" spans="19:20" x14ac:dyDescent="0.25">
      <c r="S9737" s="78">
        <v>37124</v>
      </c>
      <c r="T9737" s="29">
        <v>5</v>
      </c>
    </row>
    <row r="9738" spans="19:20" x14ac:dyDescent="0.25">
      <c r="S9738" s="78">
        <v>37125</v>
      </c>
      <c r="T9738" s="29">
        <v>5</v>
      </c>
    </row>
    <row r="9739" spans="19:20" x14ac:dyDescent="0.25">
      <c r="S9739" s="78">
        <v>37126</v>
      </c>
      <c r="T9739" s="29">
        <v>5</v>
      </c>
    </row>
    <row r="9740" spans="19:20" x14ac:dyDescent="0.25">
      <c r="S9740" s="78">
        <v>37127</v>
      </c>
      <c r="T9740" s="29">
        <v>5</v>
      </c>
    </row>
    <row r="9741" spans="19:20" x14ac:dyDescent="0.25">
      <c r="S9741" s="78">
        <v>37128</v>
      </c>
      <c r="T9741" s="29">
        <v>5</v>
      </c>
    </row>
    <row r="9742" spans="19:20" x14ac:dyDescent="0.25">
      <c r="S9742" s="78">
        <v>37129</v>
      </c>
      <c r="T9742" s="29">
        <v>5</v>
      </c>
    </row>
    <row r="9743" spans="19:20" x14ac:dyDescent="0.25">
      <c r="S9743" s="78">
        <v>37130</v>
      </c>
      <c r="T9743" s="29">
        <v>5</v>
      </c>
    </row>
    <row r="9744" spans="19:20" x14ac:dyDescent="0.25">
      <c r="S9744" s="78">
        <v>37131</v>
      </c>
      <c r="T9744" s="29">
        <v>5</v>
      </c>
    </row>
    <row r="9745" spans="19:20" x14ac:dyDescent="0.25">
      <c r="S9745" s="78">
        <v>37132</v>
      </c>
      <c r="T9745" s="29">
        <v>5</v>
      </c>
    </row>
    <row r="9746" spans="19:20" x14ac:dyDescent="0.25">
      <c r="S9746" s="78">
        <v>37133</v>
      </c>
      <c r="T9746" s="29">
        <v>5</v>
      </c>
    </row>
    <row r="9747" spans="19:20" x14ac:dyDescent="0.25">
      <c r="S9747" s="78">
        <v>37134</v>
      </c>
      <c r="T9747" s="29">
        <v>5</v>
      </c>
    </row>
    <row r="9748" spans="19:20" x14ac:dyDescent="0.25">
      <c r="S9748" s="78">
        <v>37135</v>
      </c>
      <c r="T9748" s="29">
        <v>5</v>
      </c>
    </row>
    <row r="9749" spans="19:20" x14ac:dyDescent="0.25">
      <c r="S9749" s="78">
        <v>37136</v>
      </c>
      <c r="T9749" s="29">
        <v>5</v>
      </c>
    </row>
    <row r="9750" spans="19:20" x14ac:dyDescent="0.25">
      <c r="S9750" s="78">
        <v>37137</v>
      </c>
      <c r="T9750" s="29">
        <v>5</v>
      </c>
    </row>
    <row r="9751" spans="19:20" x14ac:dyDescent="0.25">
      <c r="S9751" s="78">
        <v>37138</v>
      </c>
      <c r="T9751" s="29">
        <v>5</v>
      </c>
    </row>
    <row r="9752" spans="19:20" x14ac:dyDescent="0.25">
      <c r="S9752" s="78">
        <v>37139</v>
      </c>
      <c r="T9752" s="29">
        <v>5</v>
      </c>
    </row>
    <row r="9753" spans="19:20" x14ac:dyDescent="0.25">
      <c r="S9753" s="78">
        <v>37140</v>
      </c>
      <c r="T9753" s="29">
        <v>5</v>
      </c>
    </row>
    <row r="9754" spans="19:20" x14ac:dyDescent="0.25">
      <c r="S9754" s="78">
        <v>37141</v>
      </c>
      <c r="T9754" s="29">
        <v>5</v>
      </c>
    </row>
    <row r="9755" spans="19:20" x14ac:dyDescent="0.25">
      <c r="S9755" s="78">
        <v>37142</v>
      </c>
      <c r="T9755" s="29">
        <v>5</v>
      </c>
    </row>
    <row r="9756" spans="19:20" x14ac:dyDescent="0.25">
      <c r="S9756" s="78">
        <v>37143</v>
      </c>
      <c r="T9756" s="29">
        <v>5</v>
      </c>
    </row>
    <row r="9757" spans="19:20" x14ac:dyDescent="0.25">
      <c r="S9757" s="78">
        <v>37144</v>
      </c>
      <c r="T9757" s="29">
        <v>5</v>
      </c>
    </row>
    <row r="9758" spans="19:20" x14ac:dyDescent="0.25">
      <c r="S9758" s="78">
        <v>37145</v>
      </c>
      <c r="T9758" s="29">
        <v>5</v>
      </c>
    </row>
    <row r="9759" spans="19:20" x14ac:dyDescent="0.25">
      <c r="S9759" s="78">
        <v>37146</v>
      </c>
      <c r="T9759" s="29">
        <v>5</v>
      </c>
    </row>
    <row r="9760" spans="19:20" x14ac:dyDescent="0.25">
      <c r="S9760" s="78">
        <v>37147</v>
      </c>
      <c r="T9760" s="29">
        <v>5</v>
      </c>
    </row>
    <row r="9761" spans="19:20" x14ac:dyDescent="0.25">
      <c r="S9761" s="78">
        <v>37148</v>
      </c>
      <c r="T9761" s="29">
        <v>5</v>
      </c>
    </row>
    <row r="9762" spans="19:20" x14ac:dyDescent="0.25">
      <c r="S9762" s="78">
        <v>37149</v>
      </c>
      <c r="T9762" s="29">
        <v>5</v>
      </c>
    </row>
    <row r="9763" spans="19:20" x14ac:dyDescent="0.25">
      <c r="S9763" s="78">
        <v>37150</v>
      </c>
      <c r="T9763" s="29">
        <v>5</v>
      </c>
    </row>
    <row r="9764" spans="19:20" x14ac:dyDescent="0.25">
      <c r="S9764" s="78">
        <v>37151</v>
      </c>
      <c r="T9764" s="29">
        <v>5</v>
      </c>
    </row>
    <row r="9765" spans="19:20" x14ac:dyDescent="0.25">
      <c r="S9765" s="78">
        <v>37152</v>
      </c>
      <c r="T9765" s="29">
        <v>4.75</v>
      </c>
    </row>
    <row r="9766" spans="19:20" x14ac:dyDescent="0.25">
      <c r="S9766" s="78">
        <v>37153</v>
      </c>
      <c r="T9766" s="29">
        <v>4.75</v>
      </c>
    </row>
    <row r="9767" spans="19:20" x14ac:dyDescent="0.25">
      <c r="S9767" s="78">
        <v>37154</v>
      </c>
      <c r="T9767" s="29">
        <v>4.75</v>
      </c>
    </row>
    <row r="9768" spans="19:20" x14ac:dyDescent="0.25">
      <c r="S9768" s="78">
        <v>37155</v>
      </c>
      <c r="T9768" s="29">
        <v>4.75</v>
      </c>
    </row>
    <row r="9769" spans="19:20" x14ac:dyDescent="0.25">
      <c r="S9769" s="78">
        <v>37156</v>
      </c>
      <c r="T9769" s="29">
        <v>4.75</v>
      </c>
    </row>
    <row r="9770" spans="19:20" x14ac:dyDescent="0.25">
      <c r="S9770" s="78">
        <v>37157</v>
      </c>
      <c r="T9770" s="29">
        <v>4.75</v>
      </c>
    </row>
    <row r="9771" spans="19:20" x14ac:dyDescent="0.25">
      <c r="S9771" s="78">
        <v>37158</v>
      </c>
      <c r="T9771" s="29">
        <v>4.75</v>
      </c>
    </row>
    <row r="9772" spans="19:20" x14ac:dyDescent="0.25">
      <c r="S9772" s="78">
        <v>37159</v>
      </c>
      <c r="T9772" s="29">
        <v>4.75</v>
      </c>
    </row>
    <row r="9773" spans="19:20" x14ac:dyDescent="0.25">
      <c r="S9773" s="78">
        <v>37160</v>
      </c>
      <c r="T9773" s="29">
        <v>4.75</v>
      </c>
    </row>
    <row r="9774" spans="19:20" x14ac:dyDescent="0.25">
      <c r="S9774" s="78">
        <v>37161</v>
      </c>
      <c r="T9774" s="29">
        <v>4.75</v>
      </c>
    </row>
    <row r="9775" spans="19:20" x14ac:dyDescent="0.25">
      <c r="S9775" s="78">
        <v>37162</v>
      </c>
      <c r="T9775" s="29">
        <v>4.75</v>
      </c>
    </row>
    <row r="9776" spans="19:20" x14ac:dyDescent="0.25">
      <c r="S9776" s="78">
        <v>37163</v>
      </c>
      <c r="T9776" s="29">
        <v>4.75</v>
      </c>
    </row>
    <row r="9777" spans="19:21" x14ac:dyDescent="0.25">
      <c r="S9777" s="78">
        <v>37164</v>
      </c>
      <c r="T9777" s="29">
        <v>4.75</v>
      </c>
      <c r="U9777" s="40">
        <f>AVERAGE(T9686:T9777)</f>
        <v>5.0516304347826084</v>
      </c>
    </row>
    <row r="9778" spans="19:21" x14ac:dyDescent="0.25">
      <c r="S9778" s="78">
        <v>37165</v>
      </c>
      <c r="T9778" s="29">
        <v>4.75</v>
      </c>
    </row>
    <row r="9779" spans="19:21" x14ac:dyDescent="0.25">
      <c r="S9779" s="78">
        <v>37166</v>
      </c>
      <c r="T9779" s="29">
        <v>4.75</v>
      </c>
    </row>
    <row r="9780" spans="19:21" x14ac:dyDescent="0.25">
      <c r="S9780" s="78">
        <v>37167</v>
      </c>
      <c r="T9780" s="29">
        <v>4.75</v>
      </c>
    </row>
    <row r="9781" spans="19:21" x14ac:dyDescent="0.25">
      <c r="S9781" s="78">
        <v>37168</v>
      </c>
      <c r="T9781" s="29">
        <v>4.5</v>
      </c>
    </row>
    <row r="9782" spans="19:21" x14ac:dyDescent="0.25">
      <c r="S9782" s="78">
        <v>37169</v>
      </c>
      <c r="T9782" s="29">
        <v>4.5</v>
      </c>
    </row>
    <row r="9783" spans="19:21" x14ac:dyDescent="0.25">
      <c r="S9783" s="78">
        <v>37170</v>
      </c>
      <c r="T9783" s="29">
        <v>4.5</v>
      </c>
    </row>
    <row r="9784" spans="19:21" x14ac:dyDescent="0.25">
      <c r="S9784" s="78">
        <v>37171</v>
      </c>
      <c r="T9784" s="29">
        <v>4.5</v>
      </c>
    </row>
    <row r="9785" spans="19:21" x14ac:dyDescent="0.25">
      <c r="S9785" s="78">
        <v>37172</v>
      </c>
      <c r="T9785" s="29">
        <v>4.5</v>
      </c>
    </row>
    <row r="9786" spans="19:21" x14ac:dyDescent="0.25">
      <c r="S9786" s="78">
        <v>37173</v>
      </c>
      <c r="T9786" s="29">
        <v>4.5</v>
      </c>
    </row>
    <row r="9787" spans="19:21" x14ac:dyDescent="0.25">
      <c r="S9787" s="78">
        <v>37174</v>
      </c>
      <c r="T9787" s="29">
        <v>4.5</v>
      </c>
    </row>
    <row r="9788" spans="19:21" x14ac:dyDescent="0.25">
      <c r="S9788" s="78">
        <v>37175</v>
      </c>
      <c r="T9788" s="29">
        <v>4.5</v>
      </c>
    </row>
    <row r="9789" spans="19:21" x14ac:dyDescent="0.25">
      <c r="S9789" s="78">
        <v>37176</v>
      </c>
      <c r="T9789" s="29">
        <v>4.5</v>
      </c>
    </row>
    <row r="9790" spans="19:21" x14ac:dyDescent="0.25">
      <c r="S9790" s="78">
        <v>37177</v>
      </c>
      <c r="T9790" s="29">
        <v>4.5</v>
      </c>
    </row>
    <row r="9791" spans="19:21" x14ac:dyDescent="0.25">
      <c r="S9791" s="78">
        <v>37178</v>
      </c>
      <c r="T9791" s="29">
        <v>4.5</v>
      </c>
    </row>
    <row r="9792" spans="19:21" x14ac:dyDescent="0.25">
      <c r="S9792" s="78">
        <v>37179</v>
      </c>
      <c r="T9792" s="29">
        <v>4.5</v>
      </c>
    </row>
    <row r="9793" spans="19:20" x14ac:dyDescent="0.25">
      <c r="S9793" s="78">
        <v>37180</v>
      </c>
      <c r="T9793" s="29">
        <v>4.5</v>
      </c>
    </row>
    <row r="9794" spans="19:20" x14ac:dyDescent="0.25">
      <c r="S9794" s="78">
        <v>37181</v>
      </c>
      <c r="T9794" s="29">
        <v>4.5</v>
      </c>
    </row>
    <row r="9795" spans="19:20" x14ac:dyDescent="0.25">
      <c r="S9795" s="78">
        <v>37182</v>
      </c>
      <c r="T9795" s="29">
        <v>4.5</v>
      </c>
    </row>
    <row r="9796" spans="19:20" x14ac:dyDescent="0.25">
      <c r="S9796" s="78">
        <v>37183</v>
      </c>
      <c r="T9796" s="29">
        <v>4.5</v>
      </c>
    </row>
    <row r="9797" spans="19:20" x14ac:dyDescent="0.25">
      <c r="S9797" s="78">
        <v>37184</v>
      </c>
      <c r="T9797" s="29">
        <v>4.5</v>
      </c>
    </row>
    <row r="9798" spans="19:20" x14ac:dyDescent="0.25">
      <c r="S9798" s="78">
        <v>37185</v>
      </c>
      <c r="T9798" s="29">
        <v>4.5</v>
      </c>
    </row>
    <row r="9799" spans="19:20" x14ac:dyDescent="0.25">
      <c r="S9799" s="78">
        <v>37186</v>
      </c>
      <c r="T9799" s="29">
        <v>4.5</v>
      </c>
    </row>
    <row r="9800" spans="19:20" x14ac:dyDescent="0.25">
      <c r="S9800" s="78">
        <v>37187</v>
      </c>
      <c r="T9800" s="29">
        <v>4.5</v>
      </c>
    </row>
    <row r="9801" spans="19:20" x14ac:dyDescent="0.25">
      <c r="S9801" s="78">
        <v>37188</v>
      </c>
      <c r="T9801" s="29">
        <v>4.5</v>
      </c>
    </row>
    <row r="9802" spans="19:20" x14ac:dyDescent="0.25">
      <c r="S9802" s="78">
        <v>37189</v>
      </c>
      <c r="T9802" s="29">
        <v>4.5</v>
      </c>
    </row>
    <row r="9803" spans="19:20" x14ac:dyDescent="0.25">
      <c r="S9803" s="78">
        <v>37190</v>
      </c>
      <c r="T9803" s="29">
        <v>4.5</v>
      </c>
    </row>
    <row r="9804" spans="19:20" x14ac:dyDescent="0.25">
      <c r="S9804" s="78">
        <v>37191</v>
      </c>
      <c r="T9804" s="29">
        <v>4.5</v>
      </c>
    </row>
    <row r="9805" spans="19:20" x14ac:dyDescent="0.25">
      <c r="S9805" s="78">
        <v>37192</v>
      </c>
      <c r="T9805" s="29">
        <v>4.5</v>
      </c>
    </row>
    <row r="9806" spans="19:20" x14ac:dyDescent="0.25">
      <c r="S9806" s="78">
        <v>37193</v>
      </c>
      <c r="T9806" s="29">
        <v>4.5</v>
      </c>
    </row>
    <row r="9807" spans="19:20" x14ac:dyDescent="0.25">
      <c r="S9807" s="78">
        <v>37194</v>
      </c>
      <c r="T9807" s="29">
        <v>4.5</v>
      </c>
    </row>
    <row r="9808" spans="19:20" x14ac:dyDescent="0.25">
      <c r="S9808" s="78">
        <v>37195</v>
      </c>
      <c r="T9808" s="29">
        <v>4.5</v>
      </c>
    </row>
    <row r="9809" spans="19:20" x14ac:dyDescent="0.25">
      <c r="S9809" s="78">
        <v>37196</v>
      </c>
      <c r="T9809" s="29">
        <v>4.5</v>
      </c>
    </row>
    <row r="9810" spans="19:20" x14ac:dyDescent="0.25">
      <c r="S9810" s="78">
        <v>37197</v>
      </c>
      <c r="T9810" s="29">
        <v>4.5</v>
      </c>
    </row>
    <row r="9811" spans="19:20" x14ac:dyDescent="0.25">
      <c r="S9811" s="78">
        <v>37198</v>
      </c>
      <c r="T9811" s="29">
        <v>4.5</v>
      </c>
    </row>
    <row r="9812" spans="19:20" x14ac:dyDescent="0.25">
      <c r="S9812" s="78">
        <v>37199</v>
      </c>
      <c r="T9812" s="29">
        <v>4.5</v>
      </c>
    </row>
    <row r="9813" spans="19:20" x14ac:dyDescent="0.25">
      <c r="S9813" s="78">
        <v>37200</v>
      </c>
      <c r="T9813" s="29">
        <v>4.5</v>
      </c>
    </row>
    <row r="9814" spans="19:20" x14ac:dyDescent="0.25">
      <c r="S9814" s="78">
        <v>37201</v>
      </c>
      <c r="T9814" s="29">
        <v>4.5</v>
      </c>
    </row>
    <row r="9815" spans="19:20" x14ac:dyDescent="0.25">
      <c r="S9815" s="78">
        <v>37202</v>
      </c>
      <c r="T9815" s="29">
        <v>4.5</v>
      </c>
    </row>
    <row r="9816" spans="19:20" x14ac:dyDescent="0.25">
      <c r="S9816" s="78">
        <v>37203</v>
      </c>
      <c r="T9816" s="29">
        <v>4</v>
      </c>
    </row>
    <row r="9817" spans="19:20" x14ac:dyDescent="0.25">
      <c r="S9817" s="78">
        <v>37204</v>
      </c>
      <c r="T9817" s="29">
        <v>4</v>
      </c>
    </row>
    <row r="9818" spans="19:20" x14ac:dyDescent="0.25">
      <c r="S9818" s="78">
        <v>37205</v>
      </c>
      <c r="T9818" s="29">
        <v>4</v>
      </c>
    </row>
    <row r="9819" spans="19:20" x14ac:dyDescent="0.25">
      <c r="S9819" s="78">
        <v>37206</v>
      </c>
      <c r="T9819" s="29">
        <v>4</v>
      </c>
    </row>
    <row r="9820" spans="19:20" x14ac:dyDescent="0.25">
      <c r="S9820" s="78">
        <v>37207</v>
      </c>
      <c r="T9820" s="29">
        <v>4</v>
      </c>
    </row>
    <row r="9821" spans="19:20" x14ac:dyDescent="0.25">
      <c r="S9821" s="78">
        <v>37208</v>
      </c>
      <c r="T9821" s="29">
        <v>4</v>
      </c>
    </row>
    <row r="9822" spans="19:20" x14ac:dyDescent="0.25">
      <c r="S9822" s="78">
        <v>37209</v>
      </c>
      <c r="T9822" s="29">
        <v>4</v>
      </c>
    </row>
    <row r="9823" spans="19:20" x14ac:dyDescent="0.25">
      <c r="S9823" s="78">
        <v>37210</v>
      </c>
      <c r="T9823" s="29">
        <v>4</v>
      </c>
    </row>
    <row r="9824" spans="19:20" x14ac:dyDescent="0.25">
      <c r="S9824" s="78">
        <v>37211</v>
      </c>
      <c r="T9824" s="29">
        <v>4</v>
      </c>
    </row>
    <row r="9825" spans="19:20" x14ac:dyDescent="0.25">
      <c r="S9825" s="78">
        <v>37212</v>
      </c>
      <c r="T9825" s="29">
        <v>4</v>
      </c>
    </row>
    <row r="9826" spans="19:20" x14ac:dyDescent="0.25">
      <c r="S9826" s="78">
        <v>37213</v>
      </c>
      <c r="T9826" s="29">
        <v>4</v>
      </c>
    </row>
    <row r="9827" spans="19:20" x14ac:dyDescent="0.25">
      <c r="S9827" s="78">
        <v>37214</v>
      </c>
      <c r="T9827" s="29">
        <v>4</v>
      </c>
    </row>
    <row r="9828" spans="19:20" x14ac:dyDescent="0.25">
      <c r="S9828" s="78">
        <v>37215</v>
      </c>
      <c r="T9828" s="29">
        <v>4</v>
      </c>
    </row>
    <row r="9829" spans="19:20" x14ac:dyDescent="0.25">
      <c r="S9829" s="78">
        <v>37216</v>
      </c>
      <c r="T9829" s="29">
        <v>4</v>
      </c>
    </row>
    <row r="9830" spans="19:20" x14ac:dyDescent="0.25">
      <c r="S9830" s="78">
        <v>37217</v>
      </c>
      <c r="T9830" s="29">
        <v>4</v>
      </c>
    </row>
    <row r="9831" spans="19:20" x14ac:dyDescent="0.25">
      <c r="S9831" s="78">
        <v>37218</v>
      </c>
      <c r="T9831" s="29">
        <v>4</v>
      </c>
    </row>
    <row r="9832" spans="19:20" x14ac:dyDescent="0.25">
      <c r="S9832" s="78">
        <v>37219</v>
      </c>
      <c r="T9832" s="29">
        <v>4</v>
      </c>
    </row>
    <row r="9833" spans="19:20" x14ac:dyDescent="0.25">
      <c r="S9833" s="78">
        <v>37220</v>
      </c>
      <c r="T9833" s="29">
        <v>4</v>
      </c>
    </row>
    <row r="9834" spans="19:20" x14ac:dyDescent="0.25">
      <c r="S9834" s="78">
        <v>37221</v>
      </c>
      <c r="T9834" s="29">
        <v>4</v>
      </c>
    </row>
    <row r="9835" spans="19:20" x14ac:dyDescent="0.25">
      <c r="S9835" s="78">
        <v>37222</v>
      </c>
      <c r="T9835" s="29">
        <v>4</v>
      </c>
    </row>
    <row r="9836" spans="19:20" x14ac:dyDescent="0.25">
      <c r="S9836" s="78">
        <v>37223</v>
      </c>
      <c r="T9836" s="29">
        <v>4</v>
      </c>
    </row>
    <row r="9837" spans="19:20" x14ac:dyDescent="0.25">
      <c r="S9837" s="78">
        <v>37224</v>
      </c>
      <c r="T9837" s="29">
        <v>4</v>
      </c>
    </row>
    <row r="9838" spans="19:20" x14ac:dyDescent="0.25">
      <c r="S9838" s="78">
        <v>37225</v>
      </c>
      <c r="T9838" s="29">
        <v>4</v>
      </c>
    </row>
    <row r="9839" spans="19:20" x14ac:dyDescent="0.25">
      <c r="S9839" s="78">
        <v>37226</v>
      </c>
      <c r="T9839" s="29">
        <v>4</v>
      </c>
    </row>
    <row r="9840" spans="19:20" x14ac:dyDescent="0.25">
      <c r="S9840" s="78">
        <v>37227</v>
      </c>
      <c r="T9840" s="29">
        <v>4</v>
      </c>
    </row>
    <row r="9841" spans="19:20" x14ac:dyDescent="0.25">
      <c r="S9841" s="78">
        <v>37228</v>
      </c>
      <c r="T9841" s="29">
        <v>4</v>
      </c>
    </row>
    <row r="9842" spans="19:20" x14ac:dyDescent="0.25">
      <c r="S9842" s="78">
        <v>37229</v>
      </c>
      <c r="T9842" s="29">
        <v>4</v>
      </c>
    </row>
    <row r="9843" spans="19:20" x14ac:dyDescent="0.25">
      <c r="S9843" s="78">
        <v>37230</v>
      </c>
      <c r="T9843" s="29">
        <v>4</v>
      </c>
    </row>
    <row r="9844" spans="19:20" x14ac:dyDescent="0.25">
      <c r="S9844" s="78">
        <v>37231</v>
      </c>
      <c r="T9844" s="29">
        <v>4</v>
      </c>
    </row>
    <row r="9845" spans="19:20" x14ac:dyDescent="0.25">
      <c r="S9845" s="78">
        <v>37232</v>
      </c>
      <c r="T9845" s="29">
        <v>4</v>
      </c>
    </row>
    <row r="9846" spans="19:20" x14ac:dyDescent="0.25">
      <c r="S9846" s="78">
        <v>37233</v>
      </c>
      <c r="T9846" s="29">
        <v>4</v>
      </c>
    </row>
    <row r="9847" spans="19:20" x14ac:dyDescent="0.25">
      <c r="S9847" s="78">
        <v>37234</v>
      </c>
      <c r="T9847" s="29">
        <v>4</v>
      </c>
    </row>
    <row r="9848" spans="19:20" x14ac:dyDescent="0.25">
      <c r="S9848" s="78">
        <v>37235</v>
      </c>
      <c r="T9848" s="29">
        <v>4</v>
      </c>
    </row>
    <row r="9849" spans="19:20" x14ac:dyDescent="0.25">
      <c r="S9849" s="78">
        <v>37236</v>
      </c>
      <c r="T9849" s="29">
        <v>4</v>
      </c>
    </row>
    <row r="9850" spans="19:20" x14ac:dyDescent="0.25">
      <c r="S9850" s="78">
        <v>37237</v>
      </c>
      <c r="T9850" s="29">
        <v>4</v>
      </c>
    </row>
    <row r="9851" spans="19:20" x14ac:dyDescent="0.25">
      <c r="S9851" s="78">
        <v>37238</v>
      </c>
      <c r="T9851" s="29">
        <v>4</v>
      </c>
    </row>
    <row r="9852" spans="19:20" x14ac:dyDescent="0.25">
      <c r="S9852" s="78">
        <v>37239</v>
      </c>
      <c r="T9852" s="29">
        <v>4</v>
      </c>
    </row>
    <row r="9853" spans="19:20" x14ac:dyDescent="0.25">
      <c r="S9853" s="78">
        <v>37240</v>
      </c>
      <c r="T9853" s="29">
        <v>4</v>
      </c>
    </row>
    <row r="9854" spans="19:20" x14ac:dyDescent="0.25">
      <c r="S9854" s="78">
        <v>37241</v>
      </c>
      <c r="T9854" s="29">
        <v>4</v>
      </c>
    </row>
    <row r="9855" spans="19:20" x14ac:dyDescent="0.25">
      <c r="S9855" s="78">
        <v>37242</v>
      </c>
      <c r="T9855" s="29">
        <v>4</v>
      </c>
    </row>
    <row r="9856" spans="19:20" x14ac:dyDescent="0.25">
      <c r="S9856" s="78">
        <v>37243</v>
      </c>
      <c r="T9856" s="29">
        <v>4</v>
      </c>
    </row>
    <row r="9857" spans="19:21" x14ac:dyDescent="0.25">
      <c r="S9857" s="78">
        <v>37244</v>
      </c>
      <c r="T9857" s="29">
        <v>4</v>
      </c>
    </row>
    <row r="9858" spans="19:21" x14ac:dyDescent="0.25">
      <c r="S9858" s="78">
        <v>37245</v>
      </c>
      <c r="T9858" s="29">
        <v>4</v>
      </c>
    </row>
    <row r="9859" spans="19:21" x14ac:dyDescent="0.25">
      <c r="S9859" s="78">
        <v>37246</v>
      </c>
      <c r="T9859" s="29">
        <v>4</v>
      </c>
    </row>
    <row r="9860" spans="19:21" x14ac:dyDescent="0.25">
      <c r="S9860" s="78">
        <v>37247</v>
      </c>
      <c r="T9860" s="29">
        <v>4</v>
      </c>
    </row>
    <row r="9861" spans="19:21" x14ac:dyDescent="0.25">
      <c r="S9861" s="78">
        <v>37248</v>
      </c>
      <c r="T9861" s="29">
        <v>4</v>
      </c>
    </row>
    <row r="9862" spans="19:21" x14ac:dyDescent="0.25">
      <c r="S9862" s="78">
        <v>37249</v>
      </c>
      <c r="T9862" s="29">
        <v>4</v>
      </c>
    </row>
    <row r="9863" spans="19:21" x14ac:dyDescent="0.25">
      <c r="S9863" s="78">
        <v>37250</v>
      </c>
      <c r="T9863" s="29">
        <v>4</v>
      </c>
    </row>
    <row r="9864" spans="19:21" x14ac:dyDescent="0.25">
      <c r="S9864" s="78">
        <v>37251</v>
      </c>
      <c r="T9864" s="29">
        <v>4</v>
      </c>
    </row>
    <row r="9865" spans="19:21" x14ac:dyDescent="0.25">
      <c r="S9865" s="78">
        <v>37252</v>
      </c>
      <c r="T9865" s="29">
        <v>4</v>
      </c>
    </row>
    <row r="9866" spans="19:21" x14ac:dyDescent="0.25">
      <c r="S9866" s="78">
        <v>37253</v>
      </c>
      <c r="T9866" s="29">
        <v>4</v>
      </c>
    </row>
    <row r="9867" spans="19:21" x14ac:dyDescent="0.25">
      <c r="S9867" s="78">
        <v>37254</v>
      </c>
      <c r="T9867" s="29">
        <v>4</v>
      </c>
    </row>
    <row r="9868" spans="19:21" x14ac:dyDescent="0.25">
      <c r="S9868" s="78">
        <v>37255</v>
      </c>
      <c r="T9868" s="29">
        <v>4</v>
      </c>
    </row>
    <row r="9869" spans="19:21" x14ac:dyDescent="0.25">
      <c r="S9869" s="78">
        <v>37256</v>
      </c>
      <c r="T9869" s="29">
        <v>4</v>
      </c>
      <c r="U9869" s="40">
        <f>AVERAGE(T9778:T9869)</f>
        <v>4.2146739130434785</v>
      </c>
    </row>
    <row r="9870" spans="19:21" x14ac:dyDescent="0.25">
      <c r="S9870" s="78">
        <v>37257</v>
      </c>
      <c r="T9870" s="29">
        <v>4</v>
      </c>
    </row>
    <row r="9871" spans="19:21" x14ac:dyDescent="0.25">
      <c r="S9871" s="78">
        <v>37258</v>
      </c>
      <c r="T9871" s="29">
        <v>4</v>
      </c>
    </row>
    <row r="9872" spans="19:21" x14ac:dyDescent="0.25">
      <c r="S9872" s="78">
        <v>37259</v>
      </c>
      <c r="T9872" s="29">
        <v>4</v>
      </c>
    </row>
    <row r="9873" spans="19:20" x14ac:dyDescent="0.25">
      <c r="S9873" s="78">
        <v>37260</v>
      </c>
      <c r="T9873" s="29">
        <v>4</v>
      </c>
    </row>
    <row r="9874" spans="19:20" x14ac:dyDescent="0.25">
      <c r="S9874" s="78">
        <v>37261</v>
      </c>
      <c r="T9874" s="29">
        <v>4</v>
      </c>
    </row>
    <row r="9875" spans="19:20" x14ac:dyDescent="0.25">
      <c r="S9875" s="78">
        <v>37262</v>
      </c>
      <c r="T9875" s="29">
        <v>4</v>
      </c>
    </row>
    <row r="9876" spans="19:20" x14ac:dyDescent="0.25">
      <c r="S9876" s="78">
        <v>37263</v>
      </c>
      <c r="T9876" s="29">
        <v>4</v>
      </c>
    </row>
    <row r="9877" spans="19:20" x14ac:dyDescent="0.25">
      <c r="S9877" s="78">
        <v>37264</v>
      </c>
      <c r="T9877" s="29">
        <v>4</v>
      </c>
    </row>
    <row r="9878" spans="19:20" x14ac:dyDescent="0.25">
      <c r="S9878" s="78">
        <v>37265</v>
      </c>
      <c r="T9878" s="29">
        <v>4</v>
      </c>
    </row>
    <row r="9879" spans="19:20" x14ac:dyDescent="0.25">
      <c r="S9879" s="78">
        <v>37266</v>
      </c>
      <c r="T9879" s="29">
        <v>4</v>
      </c>
    </row>
    <row r="9880" spans="19:20" x14ac:dyDescent="0.25">
      <c r="S9880" s="78">
        <v>37267</v>
      </c>
      <c r="T9880" s="29">
        <v>4</v>
      </c>
    </row>
    <row r="9881" spans="19:20" x14ac:dyDescent="0.25">
      <c r="S9881" s="78">
        <v>37268</v>
      </c>
      <c r="T9881" s="29">
        <v>4</v>
      </c>
    </row>
    <row r="9882" spans="19:20" x14ac:dyDescent="0.25">
      <c r="S9882" s="78">
        <v>37269</v>
      </c>
      <c r="T9882" s="29">
        <v>4</v>
      </c>
    </row>
    <row r="9883" spans="19:20" x14ac:dyDescent="0.25">
      <c r="S9883" s="78">
        <v>37270</v>
      </c>
      <c r="T9883" s="29">
        <v>4</v>
      </c>
    </row>
    <row r="9884" spans="19:20" x14ac:dyDescent="0.25">
      <c r="S9884" s="78">
        <v>37271</v>
      </c>
      <c r="T9884" s="29">
        <v>4</v>
      </c>
    </row>
    <row r="9885" spans="19:20" x14ac:dyDescent="0.25">
      <c r="S9885" s="78">
        <v>37272</v>
      </c>
      <c r="T9885" s="29">
        <v>4</v>
      </c>
    </row>
    <row r="9886" spans="19:20" x14ac:dyDescent="0.25">
      <c r="S9886" s="78">
        <v>37273</v>
      </c>
      <c r="T9886" s="29">
        <v>4</v>
      </c>
    </row>
    <row r="9887" spans="19:20" x14ac:dyDescent="0.25">
      <c r="S9887" s="78">
        <v>37274</v>
      </c>
      <c r="T9887" s="29">
        <v>4</v>
      </c>
    </row>
    <row r="9888" spans="19:20" x14ac:dyDescent="0.25">
      <c r="S9888" s="78">
        <v>37275</v>
      </c>
      <c r="T9888" s="29">
        <v>4</v>
      </c>
    </row>
    <row r="9889" spans="19:20" x14ac:dyDescent="0.25">
      <c r="S9889" s="78">
        <v>37276</v>
      </c>
      <c r="T9889" s="29">
        <v>4</v>
      </c>
    </row>
    <row r="9890" spans="19:20" x14ac:dyDescent="0.25">
      <c r="S9890" s="78">
        <v>37277</v>
      </c>
      <c r="T9890" s="29">
        <v>4</v>
      </c>
    </row>
    <row r="9891" spans="19:20" x14ac:dyDescent="0.25">
      <c r="S9891" s="78">
        <v>37278</v>
      </c>
      <c r="T9891" s="29">
        <v>4</v>
      </c>
    </row>
    <row r="9892" spans="19:20" x14ac:dyDescent="0.25">
      <c r="S9892" s="78">
        <v>37279</v>
      </c>
      <c r="T9892" s="29">
        <v>4</v>
      </c>
    </row>
    <row r="9893" spans="19:20" x14ac:dyDescent="0.25">
      <c r="S9893" s="78">
        <v>37280</v>
      </c>
      <c r="T9893" s="29">
        <v>4</v>
      </c>
    </row>
    <row r="9894" spans="19:20" x14ac:dyDescent="0.25">
      <c r="S9894" s="78">
        <v>37281</v>
      </c>
      <c r="T9894" s="29">
        <v>4</v>
      </c>
    </row>
    <row r="9895" spans="19:20" x14ac:dyDescent="0.25">
      <c r="S9895" s="78">
        <v>37282</v>
      </c>
      <c r="T9895" s="29">
        <v>4</v>
      </c>
    </row>
    <row r="9896" spans="19:20" x14ac:dyDescent="0.25">
      <c r="S9896" s="78">
        <v>37283</v>
      </c>
      <c r="T9896" s="29">
        <v>4</v>
      </c>
    </row>
    <row r="9897" spans="19:20" x14ac:dyDescent="0.25">
      <c r="S9897" s="78">
        <v>37284</v>
      </c>
      <c r="T9897" s="29">
        <v>4</v>
      </c>
    </row>
    <row r="9898" spans="19:20" x14ac:dyDescent="0.25">
      <c r="S9898" s="78">
        <v>37285</v>
      </c>
      <c r="T9898" s="29">
        <v>4</v>
      </c>
    </row>
    <row r="9899" spans="19:20" x14ac:dyDescent="0.25">
      <c r="S9899" s="78">
        <v>37286</v>
      </c>
      <c r="T9899" s="29">
        <v>4</v>
      </c>
    </row>
    <row r="9900" spans="19:20" x14ac:dyDescent="0.25">
      <c r="S9900" s="78">
        <v>37287</v>
      </c>
      <c r="T9900" s="29">
        <v>4</v>
      </c>
    </row>
    <row r="9901" spans="19:20" x14ac:dyDescent="0.25">
      <c r="S9901" s="78">
        <v>37288</v>
      </c>
      <c r="T9901" s="29">
        <v>4</v>
      </c>
    </row>
    <row r="9902" spans="19:20" x14ac:dyDescent="0.25">
      <c r="S9902" s="78">
        <v>37289</v>
      </c>
      <c r="T9902" s="29">
        <v>4</v>
      </c>
    </row>
    <row r="9903" spans="19:20" x14ac:dyDescent="0.25">
      <c r="S9903" s="78">
        <v>37290</v>
      </c>
      <c r="T9903" s="29">
        <v>4</v>
      </c>
    </row>
    <row r="9904" spans="19:20" x14ac:dyDescent="0.25">
      <c r="S9904" s="78">
        <v>37291</v>
      </c>
      <c r="T9904" s="29">
        <v>4</v>
      </c>
    </row>
    <row r="9905" spans="19:20" x14ac:dyDescent="0.25">
      <c r="S9905" s="78">
        <v>37292</v>
      </c>
      <c r="T9905" s="29">
        <v>4</v>
      </c>
    </row>
    <row r="9906" spans="19:20" x14ac:dyDescent="0.25">
      <c r="S9906" s="78">
        <v>37293</v>
      </c>
      <c r="T9906" s="29">
        <v>4</v>
      </c>
    </row>
    <row r="9907" spans="19:20" x14ac:dyDescent="0.25">
      <c r="S9907" s="78">
        <v>37294</v>
      </c>
      <c r="T9907" s="29">
        <v>4</v>
      </c>
    </row>
    <row r="9908" spans="19:20" x14ac:dyDescent="0.25">
      <c r="S9908" s="78">
        <v>37295</v>
      </c>
      <c r="T9908" s="29">
        <v>4</v>
      </c>
    </row>
    <row r="9909" spans="19:20" x14ac:dyDescent="0.25">
      <c r="S9909" s="78">
        <v>37296</v>
      </c>
      <c r="T9909" s="29">
        <v>4</v>
      </c>
    </row>
    <row r="9910" spans="19:20" x14ac:dyDescent="0.25">
      <c r="S9910" s="78">
        <v>37297</v>
      </c>
      <c r="T9910" s="29">
        <v>4</v>
      </c>
    </row>
    <row r="9911" spans="19:20" x14ac:dyDescent="0.25">
      <c r="S9911" s="78">
        <v>37298</v>
      </c>
      <c r="T9911" s="29">
        <v>4</v>
      </c>
    </row>
    <row r="9912" spans="19:20" x14ac:dyDescent="0.25">
      <c r="S9912" s="78">
        <v>37299</v>
      </c>
      <c r="T9912" s="29">
        <v>4</v>
      </c>
    </row>
    <row r="9913" spans="19:20" x14ac:dyDescent="0.25">
      <c r="S9913" s="78">
        <v>37300</v>
      </c>
      <c r="T9913" s="29">
        <v>4</v>
      </c>
    </row>
    <row r="9914" spans="19:20" x14ac:dyDescent="0.25">
      <c r="S9914" s="78">
        <v>37301</v>
      </c>
      <c r="T9914" s="29">
        <v>4</v>
      </c>
    </row>
    <row r="9915" spans="19:20" x14ac:dyDescent="0.25">
      <c r="S9915" s="78">
        <v>37302</v>
      </c>
      <c r="T9915" s="29">
        <v>4</v>
      </c>
    </row>
    <row r="9916" spans="19:20" x14ac:dyDescent="0.25">
      <c r="S9916" s="78">
        <v>37303</v>
      </c>
      <c r="T9916" s="29">
        <v>4</v>
      </c>
    </row>
    <row r="9917" spans="19:20" x14ac:dyDescent="0.25">
      <c r="S9917" s="78">
        <v>37304</v>
      </c>
      <c r="T9917" s="29">
        <v>4</v>
      </c>
    </row>
    <row r="9918" spans="19:20" x14ac:dyDescent="0.25">
      <c r="S9918" s="78">
        <v>37305</v>
      </c>
      <c r="T9918" s="29">
        <v>4</v>
      </c>
    </row>
    <row r="9919" spans="19:20" x14ac:dyDescent="0.25">
      <c r="S9919" s="78">
        <v>37306</v>
      </c>
      <c r="T9919" s="29">
        <v>4</v>
      </c>
    </row>
    <row r="9920" spans="19:20" x14ac:dyDescent="0.25">
      <c r="S9920" s="78">
        <v>37307</v>
      </c>
      <c r="T9920" s="29">
        <v>4</v>
      </c>
    </row>
    <row r="9921" spans="19:20" x14ac:dyDescent="0.25">
      <c r="S9921" s="78">
        <v>37308</v>
      </c>
      <c r="T9921" s="29">
        <v>4</v>
      </c>
    </row>
    <row r="9922" spans="19:20" x14ac:dyDescent="0.25">
      <c r="S9922" s="78">
        <v>37309</v>
      </c>
      <c r="T9922" s="29">
        <v>4</v>
      </c>
    </row>
    <row r="9923" spans="19:20" x14ac:dyDescent="0.25">
      <c r="S9923" s="78">
        <v>37310</v>
      </c>
      <c r="T9923" s="29">
        <v>4</v>
      </c>
    </row>
    <row r="9924" spans="19:20" x14ac:dyDescent="0.25">
      <c r="S9924" s="78">
        <v>37311</v>
      </c>
      <c r="T9924" s="29">
        <v>4</v>
      </c>
    </row>
    <row r="9925" spans="19:20" x14ac:dyDescent="0.25">
      <c r="S9925" s="78">
        <v>37312</v>
      </c>
      <c r="T9925" s="29">
        <v>4</v>
      </c>
    </row>
    <row r="9926" spans="19:20" x14ac:dyDescent="0.25">
      <c r="S9926" s="78">
        <v>37313</v>
      </c>
      <c r="T9926" s="29">
        <v>4</v>
      </c>
    </row>
    <row r="9927" spans="19:20" x14ac:dyDescent="0.25">
      <c r="S9927" s="78">
        <v>37314</v>
      </c>
      <c r="T9927" s="29">
        <v>4</v>
      </c>
    </row>
    <row r="9928" spans="19:20" x14ac:dyDescent="0.25">
      <c r="S9928" s="78">
        <v>37315</v>
      </c>
      <c r="T9928" s="29">
        <v>4</v>
      </c>
    </row>
    <row r="9929" spans="19:20" x14ac:dyDescent="0.25">
      <c r="S9929" s="78">
        <v>37316</v>
      </c>
      <c r="T9929" s="29">
        <v>4</v>
      </c>
    </row>
    <row r="9930" spans="19:20" x14ac:dyDescent="0.25">
      <c r="S9930" s="78">
        <v>37317</v>
      </c>
      <c r="T9930" s="29">
        <v>4</v>
      </c>
    </row>
    <row r="9931" spans="19:20" x14ac:dyDescent="0.25">
      <c r="S9931" s="78">
        <v>37318</v>
      </c>
      <c r="T9931" s="29">
        <v>4</v>
      </c>
    </row>
    <row r="9932" spans="19:20" x14ac:dyDescent="0.25">
      <c r="S9932" s="78">
        <v>37319</v>
      </c>
      <c r="T9932" s="29">
        <v>4</v>
      </c>
    </row>
    <row r="9933" spans="19:20" x14ac:dyDescent="0.25">
      <c r="S9933" s="78">
        <v>37320</v>
      </c>
      <c r="T9933" s="29">
        <v>4</v>
      </c>
    </row>
    <row r="9934" spans="19:20" x14ac:dyDescent="0.25">
      <c r="S9934" s="78">
        <v>37321</v>
      </c>
      <c r="T9934" s="29">
        <v>4</v>
      </c>
    </row>
    <row r="9935" spans="19:20" x14ac:dyDescent="0.25">
      <c r="S9935" s="78">
        <v>37322</v>
      </c>
      <c r="T9935" s="29">
        <v>4</v>
      </c>
    </row>
    <row r="9936" spans="19:20" x14ac:dyDescent="0.25">
      <c r="S9936" s="78">
        <v>37323</v>
      </c>
      <c r="T9936" s="29">
        <v>4</v>
      </c>
    </row>
    <row r="9937" spans="19:20" x14ac:dyDescent="0.25">
      <c r="S9937" s="78">
        <v>37324</v>
      </c>
      <c r="T9937" s="29">
        <v>4</v>
      </c>
    </row>
    <row r="9938" spans="19:20" x14ac:dyDescent="0.25">
      <c r="S9938" s="78">
        <v>37325</v>
      </c>
      <c r="T9938" s="29">
        <v>4</v>
      </c>
    </row>
    <row r="9939" spans="19:20" x14ac:dyDescent="0.25">
      <c r="S9939" s="78">
        <v>37326</v>
      </c>
      <c r="T9939" s="29">
        <v>4</v>
      </c>
    </row>
    <row r="9940" spans="19:20" x14ac:dyDescent="0.25">
      <c r="S9940" s="78">
        <v>37327</v>
      </c>
      <c r="T9940" s="29">
        <v>4</v>
      </c>
    </row>
    <row r="9941" spans="19:20" x14ac:dyDescent="0.25">
      <c r="S9941" s="78">
        <v>37328</v>
      </c>
      <c r="T9941" s="29">
        <v>4</v>
      </c>
    </row>
    <row r="9942" spans="19:20" x14ac:dyDescent="0.25">
      <c r="S9942" s="78">
        <v>37329</v>
      </c>
      <c r="T9942" s="29">
        <v>4</v>
      </c>
    </row>
    <row r="9943" spans="19:20" x14ac:dyDescent="0.25">
      <c r="S9943" s="78">
        <v>37330</v>
      </c>
      <c r="T9943" s="29">
        <v>4</v>
      </c>
    </row>
    <row r="9944" spans="19:20" x14ac:dyDescent="0.25">
      <c r="S9944" s="78">
        <v>37331</v>
      </c>
      <c r="T9944" s="29">
        <v>4</v>
      </c>
    </row>
    <row r="9945" spans="19:20" x14ac:dyDescent="0.25">
      <c r="S9945" s="78">
        <v>37332</v>
      </c>
      <c r="T9945" s="29">
        <v>4</v>
      </c>
    </row>
    <row r="9946" spans="19:20" x14ac:dyDescent="0.25">
      <c r="S9946" s="78">
        <v>37333</v>
      </c>
      <c r="T9946" s="29">
        <v>4</v>
      </c>
    </row>
    <row r="9947" spans="19:20" x14ac:dyDescent="0.25">
      <c r="S9947" s="78">
        <v>37334</v>
      </c>
      <c r="T9947" s="29">
        <v>4</v>
      </c>
    </row>
    <row r="9948" spans="19:20" x14ac:dyDescent="0.25">
      <c r="S9948" s="78">
        <v>37335</v>
      </c>
      <c r="T9948" s="29">
        <v>4</v>
      </c>
    </row>
    <row r="9949" spans="19:20" x14ac:dyDescent="0.25">
      <c r="S9949" s="78">
        <v>37336</v>
      </c>
      <c r="T9949" s="29">
        <v>4</v>
      </c>
    </row>
    <row r="9950" spans="19:20" x14ac:dyDescent="0.25">
      <c r="S9950" s="78">
        <v>37337</v>
      </c>
      <c r="T9950" s="29">
        <v>4</v>
      </c>
    </row>
    <row r="9951" spans="19:20" x14ac:dyDescent="0.25">
      <c r="S9951" s="78">
        <v>37338</v>
      </c>
      <c r="T9951" s="29">
        <v>4</v>
      </c>
    </row>
    <row r="9952" spans="19:20" x14ac:dyDescent="0.25">
      <c r="S9952" s="78">
        <v>37339</v>
      </c>
      <c r="T9952" s="29">
        <v>4</v>
      </c>
    </row>
    <row r="9953" spans="19:21" x14ac:dyDescent="0.25">
      <c r="S9953" s="78">
        <v>37340</v>
      </c>
      <c r="T9953" s="29">
        <v>4</v>
      </c>
    </row>
    <row r="9954" spans="19:21" x14ac:dyDescent="0.25">
      <c r="S9954" s="78">
        <v>37341</v>
      </c>
      <c r="T9954" s="29">
        <v>4</v>
      </c>
    </row>
    <row r="9955" spans="19:21" x14ac:dyDescent="0.25">
      <c r="S9955" s="78">
        <v>37342</v>
      </c>
      <c r="T9955" s="29">
        <v>4</v>
      </c>
    </row>
    <row r="9956" spans="19:21" x14ac:dyDescent="0.25">
      <c r="S9956" s="78">
        <v>37343</v>
      </c>
      <c r="T9956" s="29">
        <v>4</v>
      </c>
    </row>
    <row r="9957" spans="19:21" x14ac:dyDescent="0.25">
      <c r="S9957" s="78">
        <v>37344</v>
      </c>
      <c r="T9957" s="29">
        <v>4</v>
      </c>
    </row>
    <row r="9958" spans="19:21" x14ac:dyDescent="0.25">
      <c r="S9958" s="78">
        <v>37345</v>
      </c>
      <c r="T9958" s="29">
        <v>4</v>
      </c>
    </row>
    <row r="9959" spans="19:21" x14ac:dyDescent="0.25">
      <c r="S9959" s="78">
        <v>37346</v>
      </c>
      <c r="T9959" s="29">
        <v>4</v>
      </c>
      <c r="U9959" s="39">
        <f>AVERAGE(T9870:T9959)</f>
        <v>4</v>
      </c>
    </row>
    <row r="9960" spans="19:21" x14ac:dyDescent="0.25">
      <c r="S9960" s="78">
        <v>37347</v>
      </c>
      <c r="T9960" s="29">
        <v>4</v>
      </c>
    </row>
    <row r="9961" spans="19:21" x14ac:dyDescent="0.25">
      <c r="S9961" s="78">
        <v>37348</v>
      </c>
      <c r="T9961" s="29">
        <v>4</v>
      </c>
    </row>
    <row r="9962" spans="19:21" x14ac:dyDescent="0.25">
      <c r="S9962" s="78">
        <v>37349</v>
      </c>
      <c r="T9962" s="29">
        <v>4</v>
      </c>
    </row>
    <row r="9963" spans="19:21" x14ac:dyDescent="0.25">
      <c r="S9963" s="78">
        <v>37350</v>
      </c>
      <c r="T9963" s="29">
        <v>4</v>
      </c>
    </row>
    <row r="9964" spans="19:21" x14ac:dyDescent="0.25">
      <c r="S9964" s="78">
        <v>37351</v>
      </c>
      <c r="T9964" s="29">
        <v>4</v>
      </c>
    </row>
    <row r="9965" spans="19:21" x14ac:dyDescent="0.25">
      <c r="S9965" s="78">
        <v>37352</v>
      </c>
      <c r="T9965" s="29">
        <v>4</v>
      </c>
    </row>
    <row r="9966" spans="19:21" x14ac:dyDescent="0.25">
      <c r="S9966" s="78">
        <v>37353</v>
      </c>
      <c r="T9966" s="29">
        <v>4</v>
      </c>
    </row>
    <row r="9967" spans="19:21" x14ac:dyDescent="0.25">
      <c r="S9967" s="78">
        <v>37354</v>
      </c>
      <c r="T9967" s="29">
        <v>4</v>
      </c>
    </row>
    <row r="9968" spans="19:21" x14ac:dyDescent="0.25">
      <c r="S9968" s="78">
        <v>37355</v>
      </c>
      <c r="T9968" s="29">
        <v>4</v>
      </c>
    </row>
    <row r="9969" spans="19:20" x14ac:dyDescent="0.25">
      <c r="S9969" s="78">
        <v>37356</v>
      </c>
      <c r="T9969" s="29">
        <v>4</v>
      </c>
    </row>
    <row r="9970" spans="19:20" x14ac:dyDescent="0.25">
      <c r="S9970" s="78">
        <v>37357</v>
      </c>
      <c r="T9970" s="29">
        <v>4</v>
      </c>
    </row>
    <row r="9971" spans="19:20" x14ac:dyDescent="0.25">
      <c r="S9971" s="78">
        <v>37358</v>
      </c>
      <c r="T9971" s="29">
        <v>4</v>
      </c>
    </row>
    <row r="9972" spans="19:20" x14ac:dyDescent="0.25">
      <c r="S9972" s="78">
        <v>37359</v>
      </c>
      <c r="T9972" s="29">
        <v>4</v>
      </c>
    </row>
    <row r="9973" spans="19:20" x14ac:dyDescent="0.25">
      <c r="S9973" s="78">
        <v>37360</v>
      </c>
      <c r="T9973" s="29">
        <v>4</v>
      </c>
    </row>
    <row r="9974" spans="19:20" x14ac:dyDescent="0.25">
      <c r="S9974" s="78">
        <v>37361</v>
      </c>
      <c r="T9974" s="29">
        <v>4</v>
      </c>
    </row>
    <row r="9975" spans="19:20" x14ac:dyDescent="0.25">
      <c r="S9975" s="78">
        <v>37362</v>
      </c>
      <c r="T9975" s="29">
        <v>4</v>
      </c>
    </row>
    <row r="9976" spans="19:20" x14ac:dyDescent="0.25">
      <c r="S9976" s="78">
        <v>37363</v>
      </c>
      <c r="T9976" s="29">
        <v>4</v>
      </c>
    </row>
    <row r="9977" spans="19:20" x14ac:dyDescent="0.25">
      <c r="S9977" s="78">
        <v>37364</v>
      </c>
      <c r="T9977" s="29">
        <v>4</v>
      </c>
    </row>
    <row r="9978" spans="19:20" x14ac:dyDescent="0.25">
      <c r="S9978" s="78">
        <v>37365</v>
      </c>
      <c r="T9978" s="29">
        <v>4</v>
      </c>
    </row>
    <row r="9979" spans="19:20" x14ac:dyDescent="0.25">
      <c r="S9979" s="78">
        <v>37366</v>
      </c>
      <c r="T9979" s="29">
        <v>4</v>
      </c>
    </row>
    <row r="9980" spans="19:20" x14ac:dyDescent="0.25">
      <c r="S9980" s="78">
        <v>37367</v>
      </c>
      <c r="T9980" s="29">
        <v>4</v>
      </c>
    </row>
    <row r="9981" spans="19:20" x14ac:dyDescent="0.25">
      <c r="S9981" s="78">
        <v>37368</v>
      </c>
      <c r="T9981" s="29">
        <v>4</v>
      </c>
    </row>
    <row r="9982" spans="19:20" x14ac:dyDescent="0.25">
      <c r="S9982" s="78">
        <v>37369</v>
      </c>
      <c r="T9982" s="29">
        <v>4</v>
      </c>
    </row>
    <row r="9983" spans="19:20" x14ac:dyDescent="0.25">
      <c r="S9983" s="78">
        <v>37370</v>
      </c>
      <c r="T9983" s="29">
        <v>4</v>
      </c>
    </row>
    <row r="9984" spans="19:20" x14ac:dyDescent="0.25">
      <c r="S9984" s="78">
        <v>37371</v>
      </c>
      <c r="T9984" s="29">
        <v>4</v>
      </c>
    </row>
    <row r="9985" spans="19:20" x14ac:dyDescent="0.25">
      <c r="S9985" s="78">
        <v>37372</v>
      </c>
      <c r="T9985" s="29">
        <v>4</v>
      </c>
    </row>
    <row r="9986" spans="19:20" x14ac:dyDescent="0.25">
      <c r="S9986" s="78">
        <v>37373</v>
      </c>
      <c r="T9986" s="29">
        <v>4</v>
      </c>
    </row>
    <row r="9987" spans="19:20" x14ac:dyDescent="0.25">
      <c r="S9987" s="78">
        <v>37374</v>
      </c>
      <c r="T9987" s="29">
        <v>4</v>
      </c>
    </row>
    <row r="9988" spans="19:20" x14ac:dyDescent="0.25">
      <c r="S9988" s="78">
        <v>37375</v>
      </c>
      <c r="T9988" s="29">
        <v>4</v>
      </c>
    </row>
    <row r="9989" spans="19:20" x14ac:dyDescent="0.25">
      <c r="S9989" s="78">
        <v>37376</v>
      </c>
      <c r="T9989" s="29">
        <v>4</v>
      </c>
    </row>
    <row r="9990" spans="19:20" x14ac:dyDescent="0.25">
      <c r="S9990" s="78">
        <v>37377</v>
      </c>
      <c r="T9990" s="29">
        <v>4</v>
      </c>
    </row>
    <row r="9991" spans="19:20" x14ac:dyDescent="0.25">
      <c r="S9991" s="78">
        <v>37378</v>
      </c>
      <c r="T9991" s="29">
        <v>4</v>
      </c>
    </row>
    <row r="9992" spans="19:20" x14ac:dyDescent="0.25">
      <c r="S9992" s="78">
        <v>37379</v>
      </c>
      <c r="T9992" s="29">
        <v>4</v>
      </c>
    </row>
    <row r="9993" spans="19:20" x14ac:dyDescent="0.25">
      <c r="S9993" s="78">
        <v>37380</v>
      </c>
      <c r="T9993" s="29">
        <v>4</v>
      </c>
    </row>
    <row r="9994" spans="19:20" x14ac:dyDescent="0.25">
      <c r="S9994" s="78">
        <v>37381</v>
      </c>
      <c r="T9994" s="29">
        <v>4</v>
      </c>
    </row>
    <row r="9995" spans="19:20" x14ac:dyDescent="0.25">
      <c r="S9995" s="78">
        <v>37382</v>
      </c>
      <c r="T9995" s="29">
        <v>4</v>
      </c>
    </row>
    <row r="9996" spans="19:20" x14ac:dyDescent="0.25">
      <c r="S9996" s="78">
        <v>37383</v>
      </c>
      <c r="T9996" s="29">
        <v>4</v>
      </c>
    </row>
    <row r="9997" spans="19:20" x14ac:dyDescent="0.25">
      <c r="S9997" s="78">
        <v>37384</v>
      </c>
      <c r="T9997" s="29">
        <v>4</v>
      </c>
    </row>
    <row r="9998" spans="19:20" x14ac:dyDescent="0.25">
      <c r="S9998" s="78">
        <v>37385</v>
      </c>
      <c r="T9998" s="29">
        <v>4</v>
      </c>
    </row>
    <row r="9999" spans="19:20" x14ac:dyDescent="0.25">
      <c r="S9999" s="78">
        <v>37386</v>
      </c>
      <c r="T9999" s="29">
        <v>4</v>
      </c>
    </row>
    <row r="10000" spans="19:20" x14ac:dyDescent="0.25">
      <c r="S10000" s="78">
        <v>37387</v>
      </c>
      <c r="T10000" s="29">
        <v>4</v>
      </c>
    </row>
    <row r="10001" spans="19:20" x14ac:dyDescent="0.25">
      <c r="S10001" s="78">
        <v>37388</v>
      </c>
      <c r="T10001" s="29">
        <v>4</v>
      </c>
    </row>
    <row r="10002" spans="19:20" x14ac:dyDescent="0.25">
      <c r="S10002" s="78">
        <v>37389</v>
      </c>
      <c r="T10002" s="29">
        <v>4</v>
      </c>
    </row>
    <row r="10003" spans="19:20" x14ac:dyDescent="0.25">
      <c r="S10003" s="78">
        <v>37390</v>
      </c>
      <c r="T10003" s="29">
        <v>4</v>
      </c>
    </row>
    <row r="10004" spans="19:20" x14ac:dyDescent="0.25">
      <c r="S10004" s="78">
        <v>37391</v>
      </c>
      <c r="T10004" s="29">
        <v>4</v>
      </c>
    </row>
    <row r="10005" spans="19:20" x14ac:dyDescent="0.25">
      <c r="S10005" s="78">
        <v>37392</v>
      </c>
      <c r="T10005" s="29">
        <v>4</v>
      </c>
    </row>
    <row r="10006" spans="19:20" x14ac:dyDescent="0.25">
      <c r="S10006" s="78">
        <v>37393</v>
      </c>
      <c r="T10006" s="29">
        <v>4</v>
      </c>
    </row>
    <row r="10007" spans="19:20" x14ac:dyDescent="0.25">
      <c r="S10007" s="78">
        <v>37394</v>
      </c>
      <c r="T10007" s="29">
        <v>4</v>
      </c>
    </row>
    <row r="10008" spans="19:20" x14ac:dyDescent="0.25">
      <c r="S10008" s="78">
        <v>37395</v>
      </c>
      <c r="T10008" s="29">
        <v>4</v>
      </c>
    </row>
    <row r="10009" spans="19:20" x14ac:dyDescent="0.25">
      <c r="S10009" s="78">
        <v>37396</v>
      </c>
      <c r="T10009" s="29">
        <v>4</v>
      </c>
    </row>
    <row r="10010" spans="19:20" x14ac:dyDescent="0.25">
      <c r="S10010" s="78">
        <v>37397</v>
      </c>
      <c r="T10010" s="29">
        <v>4</v>
      </c>
    </row>
    <row r="10011" spans="19:20" x14ac:dyDescent="0.25">
      <c r="S10011" s="78">
        <v>37398</v>
      </c>
      <c r="T10011" s="29">
        <v>4</v>
      </c>
    </row>
    <row r="10012" spans="19:20" x14ac:dyDescent="0.25">
      <c r="S10012" s="78">
        <v>37399</v>
      </c>
      <c r="T10012" s="29">
        <v>4</v>
      </c>
    </row>
    <row r="10013" spans="19:20" x14ac:dyDescent="0.25">
      <c r="S10013" s="78">
        <v>37400</v>
      </c>
      <c r="T10013" s="29">
        <v>4</v>
      </c>
    </row>
    <row r="10014" spans="19:20" x14ac:dyDescent="0.25">
      <c r="S10014" s="78">
        <v>37401</v>
      </c>
      <c r="T10014" s="29">
        <v>4</v>
      </c>
    </row>
    <row r="10015" spans="19:20" x14ac:dyDescent="0.25">
      <c r="S10015" s="78">
        <v>37402</v>
      </c>
      <c r="T10015" s="29">
        <v>4</v>
      </c>
    </row>
    <row r="10016" spans="19:20" x14ac:dyDescent="0.25">
      <c r="S10016" s="78">
        <v>37403</v>
      </c>
      <c r="T10016" s="29">
        <v>4</v>
      </c>
    </row>
    <row r="10017" spans="19:20" x14ac:dyDescent="0.25">
      <c r="S10017" s="78">
        <v>37404</v>
      </c>
      <c r="T10017" s="29">
        <v>4</v>
      </c>
    </row>
    <row r="10018" spans="19:20" x14ac:dyDescent="0.25">
      <c r="S10018" s="78">
        <v>37405</v>
      </c>
      <c r="T10018" s="29">
        <v>4</v>
      </c>
    </row>
    <row r="10019" spans="19:20" x14ac:dyDescent="0.25">
      <c r="S10019" s="78">
        <v>37406</v>
      </c>
      <c r="T10019" s="29">
        <v>4</v>
      </c>
    </row>
    <row r="10020" spans="19:20" x14ac:dyDescent="0.25">
      <c r="S10020" s="78">
        <v>37407</v>
      </c>
      <c r="T10020" s="29">
        <v>4</v>
      </c>
    </row>
    <row r="10021" spans="19:20" x14ac:dyDescent="0.25">
      <c r="S10021" s="78">
        <v>37408</v>
      </c>
      <c r="T10021" s="29">
        <v>4</v>
      </c>
    </row>
    <row r="10022" spans="19:20" x14ac:dyDescent="0.25">
      <c r="S10022" s="78">
        <v>37409</v>
      </c>
      <c r="T10022" s="29">
        <v>4</v>
      </c>
    </row>
    <row r="10023" spans="19:20" x14ac:dyDescent="0.25">
      <c r="S10023" s="78">
        <v>37410</v>
      </c>
      <c r="T10023" s="29">
        <v>4</v>
      </c>
    </row>
    <row r="10024" spans="19:20" x14ac:dyDescent="0.25">
      <c r="S10024" s="78">
        <v>37411</v>
      </c>
      <c r="T10024" s="29">
        <v>4</v>
      </c>
    </row>
    <row r="10025" spans="19:20" x14ac:dyDescent="0.25">
      <c r="S10025" s="78">
        <v>37412</v>
      </c>
      <c r="T10025" s="29">
        <v>4</v>
      </c>
    </row>
    <row r="10026" spans="19:20" x14ac:dyDescent="0.25">
      <c r="S10026" s="78">
        <v>37413</v>
      </c>
      <c r="T10026" s="29">
        <v>4</v>
      </c>
    </row>
    <row r="10027" spans="19:20" x14ac:dyDescent="0.25">
      <c r="S10027" s="78">
        <v>37414</v>
      </c>
      <c r="T10027" s="29">
        <v>4</v>
      </c>
    </row>
    <row r="10028" spans="19:20" x14ac:dyDescent="0.25">
      <c r="S10028" s="78">
        <v>37415</v>
      </c>
      <c r="T10028" s="29">
        <v>4</v>
      </c>
    </row>
    <row r="10029" spans="19:20" x14ac:dyDescent="0.25">
      <c r="S10029" s="78">
        <v>37416</v>
      </c>
      <c r="T10029" s="29">
        <v>4</v>
      </c>
    </row>
    <row r="10030" spans="19:20" x14ac:dyDescent="0.25">
      <c r="S10030" s="78">
        <v>37417</v>
      </c>
      <c r="T10030" s="29">
        <v>4</v>
      </c>
    </row>
    <row r="10031" spans="19:20" x14ac:dyDescent="0.25">
      <c r="S10031" s="78">
        <v>37418</v>
      </c>
      <c r="T10031" s="29">
        <v>4</v>
      </c>
    </row>
    <row r="10032" spans="19:20" x14ac:dyDescent="0.25">
      <c r="S10032" s="78">
        <v>37419</v>
      </c>
      <c r="T10032" s="29">
        <v>4</v>
      </c>
    </row>
    <row r="10033" spans="19:20" x14ac:dyDescent="0.25">
      <c r="S10033" s="78">
        <v>37420</v>
      </c>
      <c r="T10033" s="29">
        <v>4</v>
      </c>
    </row>
    <row r="10034" spans="19:20" x14ac:dyDescent="0.25">
      <c r="S10034" s="78">
        <v>37421</v>
      </c>
      <c r="T10034" s="29">
        <v>4</v>
      </c>
    </row>
    <row r="10035" spans="19:20" x14ac:dyDescent="0.25">
      <c r="S10035" s="78">
        <v>37422</v>
      </c>
      <c r="T10035" s="29">
        <v>4</v>
      </c>
    </row>
    <row r="10036" spans="19:20" x14ac:dyDescent="0.25">
      <c r="S10036" s="78">
        <v>37423</v>
      </c>
      <c r="T10036" s="29">
        <v>4</v>
      </c>
    </row>
    <row r="10037" spans="19:20" x14ac:dyDescent="0.25">
      <c r="S10037" s="78">
        <v>37424</v>
      </c>
      <c r="T10037" s="29">
        <v>4</v>
      </c>
    </row>
    <row r="10038" spans="19:20" x14ac:dyDescent="0.25">
      <c r="S10038" s="78">
        <v>37425</v>
      </c>
      <c r="T10038" s="29">
        <v>4</v>
      </c>
    </row>
    <row r="10039" spans="19:20" x14ac:dyDescent="0.25">
      <c r="S10039" s="78">
        <v>37426</v>
      </c>
      <c r="T10039" s="29">
        <v>4</v>
      </c>
    </row>
    <row r="10040" spans="19:20" x14ac:dyDescent="0.25">
      <c r="S10040" s="78">
        <v>37427</v>
      </c>
      <c r="T10040" s="29">
        <v>4</v>
      </c>
    </row>
    <row r="10041" spans="19:20" x14ac:dyDescent="0.25">
      <c r="S10041" s="78">
        <v>37428</v>
      </c>
      <c r="T10041" s="29">
        <v>4</v>
      </c>
    </row>
    <row r="10042" spans="19:20" x14ac:dyDescent="0.25">
      <c r="S10042" s="78">
        <v>37429</v>
      </c>
      <c r="T10042" s="29">
        <v>4</v>
      </c>
    </row>
    <row r="10043" spans="19:20" x14ac:dyDescent="0.25">
      <c r="S10043" s="78">
        <v>37430</v>
      </c>
      <c r="T10043" s="29">
        <v>4</v>
      </c>
    </row>
    <row r="10044" spans="19:20" x14ac:dyDescent="0.25">
      <c r="S10044" s="78">
        <v>37431</v>
      </c>
      <c r="T10044" s="29">
        <v>4</v>
      </c>
    </row>
    <row r="10045" spans="19:20" x14ac:dyDescent="0.25">
      <c r="S10045" s="78">
        <v>37432</v>
      </c>
      <c r="T10045" s="29">
        <v>4</v>
      </c>
    </row>
    <row r="10046" spans="19:20" x14ac:dyDescent="0.25">
      <c r="S10046" s="78">
        <v>37433</v>
      </c>
      <c r="T10046" s="29">
        <v>4</v>
      </c>
    </row>
    <row r="10047" spans="19:20" x14ac:dyDescent="0.25">
      <c r="S10047" s="78">
        <v>37434</v>
      </c>
      <c r="T10047" s="29">
        <v>4</v>
      </c>
    </row>
    <row r="10048" spans="19:20" x14ac:dyDescent="0.25">
      <c r="S10048" s="78">
        <v>37435</v>
      </c>
      <c r="T10048" s="29">
        <v>4</v>
      </c>
    </row>
    <row r="10049" spans="19:21" x14ac:dyDescent="0.25">
      <c r="S10049" s="78">
        <v>37436</v>
      </c>
      <c r="T10049" s="29">
        <v>4</v>
      </c>
    </row>
    <row r="10050" spans="19:21" x14ac:dyDescent="0.25">
      <c r="S10050" s="78">
        <v>37437</v>
      </c>
      <c r="T10050" s="29">
        <v>4</v>
      </c>
      <c r="U10050" s="40">
        <f>AVERAGE(T9960:T10050)</f>
        <v>4</v>
      </c>
    </row>
    <row r="10051" spans="19:21" x14ac:dyDescent="0.25">
      <c r="S10051" s="78">
        <v>37438</v>
      </c>
      <c r="T10051" s="29">
        <v>4</v>
      </c>
    </row>
    <row r="10052" spans="19:21" x14ac:dyDescent="0.25">
      <c r="S10052" s="78">
        <v>37439</v>
      </c>
      <c r="T10052" s="29">
        <v>4</v>
      </c>
    </row>
    <row r="10053" spans="19:21" x14ac:dyDescent="0.25">
      <c r="S10053" s="78">
        <v>37440</v>
      </c>
      <c r="T10053" s="29">
        <v>4</v>
      </c>
    </row>
    <row r="10054" spans="19:21" x14ac:dyDescent="0.25">
      <c r="S10054" s="78">
        <v>37441</v>
      </c>
      <c r="T10054" s="29">
        <v>4</v>
      </c>
    </row>
    <row r="10055" spans="19:21" x14ac:dyDescent="0.25">
      <c r="S10055" s="78">
        <v>37442</v>
      </c>
      <c r="T10055" s="29">
        <v>4</v>
      </c>
    </row>
    <row r="10056" spans="19:21" x14ac:dyDescent="0.25">
      <c r="S10056" s="78">
        <v>37443</v>
      </c>
      <c r="T10056" s="29">
        <v>4</v>
      </c>
    </row>
    <row r="10057" spans="19:21" x14ac:dyDescent="0.25">
      <c r="S10057" s="78">
        <v>37444</v>
      </c>
      <c r="T10057" s="29">
        <v>4</v>
      </c>
    </row>
    <row r="10058" spans="19:21" x14ac:dyDescent="0.25">
      <c r="S10058" s="78">
        <v>37445</v>
      </c>
      <c r="T10058" s="29">
        <v>4</v>
      </c>
    </row>
    <row r="10059" spans="19:21" x14ac:dyDescent="0.25">
      <c r="S10059" s="78">
        <v>37446</v>
      </c>
      <c r="T10059" s="29">
        <v>4</v>
      </c>
    </row>
    <row r="10060" spans="19:21" x14ac:dyDescent="0.25">
      <c r="S10060" s="78">
        <v>37447</v>
      </c>
      <c r="T10060" s="29">
        <v>4</v>
      </c>
    </row>
    <row r="10061" spans="19:21" x14ac:dyDescent="0.25">
      <c r="S10061" s="78">
        <v>37448</v>
      </c>
      <c r="T10061" s="29">
        <v>4</v>
      </c>
    </row>
    <row r="10062" spans="19:21" x14ac:dyDescent="0.25">
      <c r="S10062" s="78">
        <v>37449</v>
      </c>
      <c r="T10062" s="29">
        <v>4</v>
      </c>
    </row>
    <row r="10063" spans="19:21" x14ac:dyDescent="0.25">
      <c r="S10063" s="78">
        <v>37450</v>
      </c>
      <c r="T10063" s="29">
        <v>4</v>
      </c>
    </row>
    <row r="10064" spans="19:21" x14ac:dyDescent="0.25">
      <c r="S10064" s="78">
        <v>37451</v>
      </c>
      <c r="T10064" s="29">
        <v>4</v>
      </c>
    </row>
    <row r="10065" spans="19:20" x14ac:dyDescent="0.25">
      <c r="S10065" s="78">
        <v>37452</v>
      </c>
      <c r="T10065" s="29">
        <v>4</v>
      </c>
    </row>
    <row r="10066" spans="19:20" x14ac:dyDescent="0.25">
      <c r="S10066" s="78">
        <v>37453</v>
      </c>
      <c r="T10066" s="29">
        <v>4</v>
      </c>
    </row>
    <row r="10067" spans="19:20" x14ac:dyDescent="0.25">
      <c r="S10067" s="78">
        <v>37454</v>
      </c>
      <c r="T10067" s="29">
        <v>4</v>
      </c>
    </row>
    <row r="10068" spans="19:20" x14ac:dyDescent="0.25">
      <c r="S10068" s="78">
        <v>37455</v>
      </c>
      <c r="T10068" s="29">
        <v>4</v>
      </c>
    </row>
    <row r="10069" spans="19:20" x14ac:dyDescent="0.25">
      <c r="S10069" s="78">
        <v>37456</v>
      </c>
      <c r="T10069" s="29">
        <v>4</v>
      </c>
    </row>
    <row r="10070" spans="19:20" x14ac:dyDescent="0.25">
      <c r="S10070" s="78">
        <v>37457</v>
      </c>
      <c r="T10070" s="29">
        <v>4</v>
      </c>
    </row>
    <row r="10071" spans="19:20" x14ac:dyDescent="0.25">
      <c r="S10071" s="78">
        <v>37458</v>
      </c>
      <c r="T10071" s="29">
        <v>4</v>
      </c>
    </row>
    <row r="10072" spans="19:20" x14ac:dyDescent="0.25">
      <c r="S10072" s="78">
        <v>37459</v>
      </c>
      <c r="T10072" s="29">
        <v>4</v>
      </c>
    </row>
    <row r="10073" spans="19:20" x14ac:dyDescent="0.25">
      <c r="S10073" s="78">
        <v>37460</v>
      </c>
      <c r="T10073" s="29">
        <v>4</v>
      </c>
    </row>
    <row r="10074" spans="19:20" x14ac:dyDescent="0.25">
      <c r="S10074" s="78">
        <v>37461</v>
      </c>
      <c r="T10074" s="29">
        <v>4</v>
      </c>
    </row>
    <row r="10075" spans="19:20" x14ac:dyDescent="0.25">
      <c r="S10075" s="78">
        <v>37462</v>
      </c>
      <c r="T10075" s="29">
        <v>4</v>
      </c>
    </row>
    <row r="10076" spans="19:20" x14ac:dyDescent="0.25">
      <c r="S10076" s="78">
        <v>37463</v>
      </c>
      <c r="T10076" s="29">
        <v>4</v>
      </c>
    </row>
    <row r="10077" spans="19:20" x14ac:dyDescent="0.25">
      <c r="S10077" s="78">
        <v>37464</v>
      </c>
      <c r="T10077" s="29">
        <v>4</v>
      </c>
    </row>
    <row r="10078" spans="19:20" x14ac:dyDescent="0.25">
      <c r="S10078" s="78">
        <v>37465</v>
      </c>
      <c r="T10078" s="29">
        <v>4</v>
      </c>
    </row>
    <row r="10079" spans="19:20" x14ac:dyDescent="0.25">
      <c r="S10079" s="78">
        <v>37466</v>
      </c>
      <c r="T10079" s="29">
        <v>4</v>
      </c>
    </row>
    <row r="10080" spans="19:20" x14ac:dyDescent="0.25">
      <c r="S10080" s="78">
        <v>37467</v>
      </c>
      <c r="T10080" s="29">
        <v>4</v>
      </c>
    </row>
    <row r="10081" spans="19:20" x14ac:dyDescent="0.25">
      <c r="S10081" s="78">
        <v>37468</v>
      </c>
      <c r="T10081" s="29">
        <v>4</v>
      </c>
    </row>
    <row r="10082" spans="19:20" x14ac:dyDescent="0.25">
      <c r="S10082" s="78">
        <v>37469</v>
      </c>
      <c r="T10082" s="29">
        <v>4</v>
      </c>
    </row>
    <row r="10083" spans="19:20" x14ac:dyDescent="0.25">
      <c r="S10083" s="78">
        <v>37470</v>
      </c>
      <c r="T10083" s="29">
        <v>4</v>
      </c>
    </row>
    <row r="10084" spans="19:20" x14ac:dyDescent="0.25">
      <c r="S10084" s="78">
        <v>37471</v>
      </c>
      <c r="T10084" s="29">
        <v>4</v>
      </c>
    </row>
    <row r="10085" spans="19:20" x14ac:dyDescent="0.25">
      <c r="S10085" s="78">
        <v>37472</v>
      </c>
      <c r="T10085" s="29">
        <v>4</v>
      </c>
    </row>
    <row r="10086" spans="19:20" x14ac:dyDescent="0.25">
      <c r="S10086" s="78">
        <v>37473</v>
      </c>
      <c r="T10086" s="29">
        <v>4</v>
      </c>
    </row>
    <row r="10087" spans="19:20" x14ac:dyDescent="0.25">
      <c r="S10087" s="78">
        <v>37474</v>
      </c>
      <c r="T10087" s="29">
        <v>4</v>
      </c>
    </row>
    <row r="10088" spans="19:20" x14ac:dyDescent="0.25">
      <c r="S10088" s="78">
        <v>37475</v>
      </c>
      <c r="T10088" s="29">
        <v>4</v>
      </c>
    </row>
    <row r="10089" spans="19:20" x14ac:dyDescent="0.25">
      <c r="S10089" s="78">
        <v>37476</v>
      </c>
      <c r="T10089" s="29">
        <v>4</v>
      </c>
    </row>
    <row r="10090" spans="19:20" x14ac:dyDescent="0.25">
      <c r="S10090" s="78">
        <v>37477</v>
      </c>
      <c r="T10090" s="29">
        <v>4</v>
      </c>
    </row>
    <row r="10091" spans="19:20" x14ac:dyDescent="0.25">
      <c r="S10091" s="78">
        <v>37478</v>
      </c>
      <c r="T10091" s="29">
        <v>4</v>
      </c>
    </row>
    <row r="10092" spans="19:20" x14ac:dyDescent="0.25">
      <c r="S10092" s="78">
        <v>37479</v>
      </c>
      <c r="T10092" s="29">
        <v>4</v>
      </c>
    </row>
    <row r="10093" spans="19:20" x14ac:dyDescent="0.25">
      <c r="S10093" s="78">
        <v>37480</v>
      </c>
      <c r="T10093" s="29">
        <v>4</v>
      </c>
    </row>
    <row r="10094" spans="19:20" x14ac:dyDescent="0.25">
      <c r="S10094" s="78">
        <v>37481</v>
      </c>
      <c r="T10094" s="29">
        <v>4</v>
      </c>
    </row>
    <row r="10095" spans="19:20" x14ac:dyDescent="0.25">
      <c r="S10095" s="78">
        <v>37482</v>
      </c>
      <c r="T10095" s="29">
        <v>4</v>
      </c>
    </row>
    <row r="10096" spans="19:20" x14ac:dyDescent="0.25">
      <c r="S10096" s="78">
        <v>37483</v>
      </c>
      <c r="T10096" s="29">
        <v>4</v>
      </c>
    </row>
    <row r="10097" spans="19:20" x14ac:dyDescent="0.25">
      <c r="S10097" s="78">
        <v>37484</v>
      </c>
      <c r="T10097" s="29">
        <v>4</v>
      </c>
    </row>
    <row r="10098" spans="19:20" x14ac:dyDescent="0.25">
      <c r="S10098" s="78">
        <v>37485</v>
      </c>
      <c r="T10098" s="29">
        <v>4</v>
      </c>
    </row>
    <row r="10099" spans="19:20" x14ac:dyDescent="0.25">
      <c r="S10099" s="78">
        <v>37486</v>
      </c>
      <c r="T10099" s="29">
        <v>4</v>
      </c>
    </row>
    <row r="10100" spans="19:20" x14ac:dyDescent="0.25">
      <c r="S10100" s="78">
        <v>37487</v>
      </c>
      <c r="T10100" s="29">
        <v>4</v>
      </c>
    </row>
    <row r="10101" spans="19:20" x14ac:dyDescent="0.25">
      <c r="S10101" s="78">
        <v>37488</v>
      </c>
      <c r="T10101" s="29">
        <v>4</v>
      </c>
    </row>
    <row r="10102" spans="19:20" x14ac:dyDescent="0.25">
      <c r="S10102" s="78">
        <v>37489</v>
      </c>
      <c r="T10102" s="29">
        <v>4</v>
      </c>
    </row>
    <row r="10103" spans="19:20" x14ac:dyDescent="0.25">
      <c r="S10103" s="78">
        <v>37490</v>
      </c>
      <c r="T10103" s="29">
        <v>4</v>
      </c>
    </row>
    <row r="10104" spans="19:20" x14ac:dyDescent="0.25">
      <c r="S10104" s="78">
        <v>37491</v>
      </c>
      <c r="T10104" s="29">
        <v>4</v>
      </c>
    </row>
    <row r="10105" spans="19:20" x14ac:dyDescent="0.25">
      <c r="S10105" s="78">
        <v>37492</v>
      </c>
      <c r="T10105" s="29">
        <v>4</v>
      </c>
    </row>
    <row r="10106" spans="19:20" x14ac:dyDescent="0.25">
      <c r="S10106" s="78">
        <v>37493</v>
      </c>
      <c r="T10106" s="29">
        <v>4</v>
      </c>
    </row>
    <row r="10107" spans="19:20" x14ac:dyDescent="0.25">
      <c r="S10107" s="78">
        <v>37494</v>
      </c>
      <c r="T10107" s="29">
        <v>4</v>
      </c>
    </row>
    <row r="10108" spans="19:20" x14ac:dyDescent="0.25">
      <c r="S10108" s="78">
        <v>37495</v>
      </c>
      <c r="T10108" s="29">
        <v>4</v>
      </c>
    </row>
    <row r="10109" spans="19:20" x14ac:dyDescent="0.25">
      <c r="S10109" s="78">
        <v>37496</v>
      </c>
      <c r="T10109" s="29">
        <v>4</v>
      </c>
    </row>
    <row r="10110" spans="19:20" x14ac:dyDescent="0.25">
      <c r="S10110" s="78">
        <v>37497</v>
      </c>
      <c r="T10110" s="29">
        <v>4</v>
      </c>
    </row>
    <row r="10111" spans="19:20" x14ac:dyDescent="0.25">
      <c r="S10111" s="78">
        <v>37498</v>
      </c>
      <c r="T10111" s="29">
        <v>4</v>
      </c>
    </row>
    <row r="10112" spans="19:20" x14ac:dyDescent="0.25">
      <c r="S10112" s="78">
        <v>37499</v>
      </c>
      <c r="T10112" s="29">
        <v>4</v>
      </c>
    </row>
    <row r="10113" spans="19:20" x14ac:dyDescent="0.25">
      <c r="S10113" s="78">
        <v>37500</v>
      </c>
      <c r="T10113" s="29">
        <v>4</v>
      </c>
    </row>
    <row r="10114" spans="19:20" x14ac:dyDescent="0.25">
      <c r="S10114" s="78">
        <v>37501</v>
      </c>
      <c r="T10114" s="29">
        <v>4</v>
      </c>
    </row>
    <row r="10115" spans="19:20" x14ac:dyDescent="0.25">
      <c r="S10115" s="78">
        <v>37502</v>
      </c>
      <c r="T10115" s="29">
        <v>4</v>
      </c>
    </row>
    <row r="10116" spans="19:20" x14ac:dyDescent="0.25">
      <c r="S10116" s="78">
        <v>37503</v>
      </c>
      <c r="T10116" s="29">
        <v>4</v>
      </c>
    </row>
    <row r="10117" spans="19:20" x14ac:dyDescent="0.25">
      <c r="S10117" s="78">
        <v>37504</v>
      </c>
      <c r="T10117" s="29">
        <v>4</v>
      </c>
    </row>
    <row r="10118" spans="19:20" x14ac:dyDescent="0.25">
      <c r="S10118" s="78">
        <v>37505</v>
      </c>
      <c r="T10118" s="29">
        <v>4</v>
      </c>
    </row>
    <row r="10119" spans="19:20" x14ac:dyDescent="0.25">
      <c r="S10119" s="78">
        <v>37506</v>
      </c>
      <c r="T10119" s="29">
        <v>4</v>
      </c>
    </row>
    <row r="10120" spans="19:20" x14ac:dyDescent="0.25">
      <c r="S10120" s="78">
        <v>37507</v>
      </c>
      <c r="T10120" s="29">
        <v>4</v>
      </c>
    </row>
    <row r="10121" spans="19:20" x14ac:dyDescent="0.25">
      <c r="S10121" s="78">
        <v>37508</v>
      </c>
      <c r="T10121" s="29">
        <v>4</v>
      </c>
    </row>
    <row r="10122" spans="19:20" x14ac:dyDescent="0.25">
      <c r="S10122" s="78">
        <v>37509</v>
      </c>
      <c r="T10122" s="29">
        <v>4</v>
      </c>
    </row>
    <row r="10123" spans="19:20" x14ac:dyDescent="0.25">
      <c r="S10123" s="78">
        <v>37510</v>
      </c>
      <c r="T10123" s="29">
        <v>4</v>
      </c>
    </row>
    <row r="10124" spans="19:20" x14ac:dyDescent="0.25">
      <c r="S10124" s="78">
        <v>37511</v>
      </c>
      <c r="T10124" s="29">
        <v>4</v>
      </c>
    </row>
    <row r="10125" spans="19:20" x14ac:dyDescent="0.25">
      <c r="S10125" s="78">
        <v>37512</v>
      </c>
      <c r="T10125" s="29">
        <v>4</v>
      </c>
    </row>
    <row r="10126" spans="19:20" x14ac:dyDescent="0.25">
      <c r="S10126" s="78">
        <v>37513</v>
      </c>
      <c r="T10126" s="29">
        <v>4</v>
      </c>
    </row>
    <row r="10127" spans="19:20" x14ac:dyDescent="0.25">
      <c r="S10127" s="78">
        <v>37514</v>
      </c>
      <c r="T10127" s="29">
        <v>4</v>
      </c>
    </row>
    <row r="10128" spans="19:20" x14ac:dyDescent="0.25">
      <c r="S10128" s="78">
        <v>37515</v>
      </c>
      <c r="T10128" s="29">
        <v>4</v>
      </c>
    </row>
    <row r="10129" spans="19:21" x14ac:dyDescent="0.25">
      <c r="S10129" s="78">
        <v>37516</v>
      </c>
      <c r="T10129" s="29">
        <v>4</v>
      </c>
    </row>
    <row r="10130" spans="19:21" x14ac:dyDescent="0.25">
      <c r="S10130" s="78">
        <v>37517</v>
      </c>
      <c r="T10130" s="29">
        <v>4</v>
      </c>
    </row>
    <row r="10131" spans="19:21" x14ac:dyDescent="0.25">
      <c r="S10131" s="78">
        <v>37518</v>
      </c>
      <c r="T10131" s="29">
        <v>4</v>
      </c>
    </row>
    <row r="10132" spans="19:21" x14ac:dyDescent="0.25">
      <c r="S10132" s="78">
        <v>37519</v>
      </c>
      <c r="T10132" s="29">
        <v>4</v>
      </c>
    </row>
    <row r="10133" spans="19:21" x14ac:dyDescent="0.25">
      <c r="S10133" s="78">
        <v>37520</v>
      </c>
      <c r="T10133" s="29">
        <v>4</v>
      </c>
    </row>
    <row r="10134" spans="19:21" x14ac:dyDescent="0.25">
      <c r="S10134" s="78">
        <v>37521</v>
      </c>
      <c r="T10134" s="29">
        <v>4</v>
      </c>
    </row>
    <row r="10135" spans="19:21" x14ac:dyDescent="0.25">
      <c r="S10135" s="78">
        <v>37522</v>
      </c>
      <c r="T10135" s="29">
        <v>4</v>
      </c>
    </row>
    <row r="10136" spans="19:21" x14ac:dyDescent="0.25">
      <c r="S10136" s="78">
        <v>37523</v>
      </c>
      <c r="T10136" s="29">
        <v>4</v>
      </c>
    </row>
    <row r="10137" spans="19:21" x14ac:dyDescent="0.25">
      <c r="S10137" s="78">
        <v>37524</v>
      </c>
      <c r="T10137" s="29">
        <v>4</v>
      </c>
    </row>
    <row r="10138" spans="19:21" x14ac:dyDescent="0.25">
      <c r="S10138" s="78">
        <v>37525</v>
      </c>
      <c r="T10138" s="29">
        <v>4</v>
      </c>
    </row>
    <row r="10139" spans="19:21" x14ac:dyDescent="0.25">
      <c r="S10139" s="78">
        <v>37526</v>
      </c>
      <c r="T10139" s="29">
        <v>4</v>
      </c>
    </row>
    <row r="10140" spans="19:21" x14ac:dyDescent="0.25">
      <c r="S10140" s="78">
        <v>37527</v>
      </c>
      <c r="T10140" s="29">
        <v>4</v>
      </c>
    </row>
    <row r="10141" spans="19:21" x14ac:dyDescent="0.25">
      <c r="S10141" s="78">
        <v>37528</v>
      </c>
      <c r="T10141" s="29">
        <v>4</v>
      </c>
    </row>
    <row r="10142" spans="19:21" x14ac:dyDescent="0.25">
      <c r="S10142" s="78">
        <v>37529</v>
      </c>
      <c r="T10142" s="29">
        <v>4</v>
      </c>
      <c r="U10142" s="40">
        <f>AVERAGE(T10051:T10142)</f>
        <v>4</v>
      </c>
    </row>
    <row r="10143" spans="19:21" x14ac:dyDescent="0.25">
      <c r="S10143" s="78">
        <v>37530</v>
      </c>
      <c r="T10143" s="29">
        <v>4</v>
      </c>
    </row>
    <row r="10144" spans="19:21" x14ac:dyDescent="0.25">
      <c r="S10144" s="78">
        <v>37531</v>
      </c>
      <c r="T10144" s="29">
        <v>4</v>
      </c>
    </row>
    <row r="10145" spans="19:20" x14ac:dyDescent="0.25">
      <c r="S10145" s="78">
        <v>37532</v>
      </c>
      <c r="T10145" s="29">
        <v>4</v>
      </c>
    </row>
    <row r="10146" spans="19:20" x14ac:dyDescent="0.25">
      <c r="S10146" s="78">
        <v>37533</v>
      </c>
      <c r="T10146" s="29">
        <v>4</v>
      </c>
    </row>
    <row r="10147" spans="19:20" x14ac:dyDescent="0.25">
      <c r="S10147" s="78">
        <v>37534</v>
      </c>
      <c r="T10147" s="29">
        <v>4</v>
      </c>
    </row>
    <row r="10148" spans="19:20" x14ac:dyDescent="0.25">
      <c r="S10148" s="78">
        <v>37535</v>
      </c>
      <c r="T10148" s="29">
        <v>4</v>
      </c>
    </row>
    <row r="10149" spans="19:20" x14ac:dyDescent="0.25">
      <c r="S10149" s="78">
        <v>37536</v>
      </c>
      <c r="T10149" s="29">
        <v>4</v>
      </c>
    </row>
    <row r="10150" spans="19:20" x14ac:dyDescent="0.25">
      <c r="S10150" s="78">
        <v>37537</v>
      </c>
      <c r="T10150" s="29">
        <v>4</v>
      </c>
    </row>
    <row r="10151" spans="19:20" x14ac:dyDescent="0.25">
      <c r="S10151" s="78">
        <v>37538</v>
      </c>
      <c r="T10151" s="29">
        <v>4</v>
      </c>
    </row>
    <row r="10152" spans="19:20" x14ac:dyDescent="0.25">
      <c r="S10152" s="78">
        <v>37539</v>
      </c>
      <c r="T10152" s="29">
        <v>4</v>
      </c>
    </row>
    <row r="10153" spans="19:20" x14ac:dyDescent="0.25">
      <c r="S10153" s="78">
        <v>37540</v>
      </c>
      <c r="T10153" s="29">
        <v>4</v>
      </c>
    </row>
    <row r="10154" spans="19:20" x14ac:dyDescent="0.25">
      <c r="S10154" s="78">
        <v>37541</v>
      </c>
      <c r="T10154" s="29">
        <v>4</v>
      </c>
    </row>
    <row r="10155" spans="19:20" x14ac:dyDescent="0.25">
      <c r="S10155" s="78">
        <v>37542</v>
      </c>
      <c r="T10155" s="29">
        <v>4</v>
      </c>
    </row>
    <row r="10156" spans="19:20" x14ac:dyDescent="0.25">
      <c r="S10156" s="78">
        <v>37543</v>
      </c>
      <c r="T10156" s="29">
        <v>4</v>
      </c>
    </row>
    <row r="10157" spans="19:20" x14ac:dyDescent="0.25">
      <c r="S10157" s="78">
        <v>37544</v>
      </c>
      <c r="T10157" s="29">
        <v>4</v>
      </c>
    </row>
    <row r="10158" spans="19:20" x14ac:dyDescent="0.25">
      <c r="S10158" s="78">
        <v>37545</v>
      </c>
      <c r="T10158" s="29">
        <v>4</v>
      </c>
    </row>
    <row r="10159" spans="19:20" x14ac:dyDescent="0.25">
      <c r="S10159" s="78">
        <v>37546</v>
      </c>
      <c r="T10159" s="29">
        <v>4</v>
      </c>
    </row>
    <row r="10160" spans="19:20" x14ac:dyDescent="0.25">
      <c r="S10160" s="78">
        <v>37547</v>
      </c>
      <c r="T10160" s="29">
        <v>4</v>
      </c>
    </row>
    <row r="10161" spans="19:20" x14ac:dyDescent="0.25">
      <c r="S10161" s="78">
        <v>37548</v>
      </c>
      <c r="T10161" s="29">
        <v>4</v>
      </c>
    </row>
    <row r="10162" spans="19:20" x14ac:dyDescent="0.25">
      <c r="S10162" s="78">
        <v>37549</v>
      </c>
      <c r="T10162" s="29">
        <v>4</v>
      </c>
    </row>
    <row r="10163" spans="19:20" x14ac:dyDescent="0.25">
      <c r="S10163" s="78">
        <v>37550</v>
      </c>
      <c r="T10163" s="29">
        <v>4</v>
      </c>
    </row>
    <row r="10164" spans="19:20" x14ac:dyDescent="0.25">
      <c r="S10164" s="78">
        <v>37551</v>
      </c>
      <c r="T10164" s="29">
        <v>4</v>
      </c>
    </row>
    <row r="10165" spans="19:20" x14ac:dyDescent="0.25">
      <c r="S10165" s="78">
        <v>37552</v>
      </c>
      <c r="T10165" s="29">
        <v>4</v>
      </c>
    </row>
    <row r="10166" spans="19:20" x14ac:dyDescent="0.25">
      <c r="S10166" s="78">
        <v>37553</v>
      </c>
      <c r="T10166" s="29">
        <v>4</v>
      </c>
    </row>
    <row r="10167" spans="19:20" x14ac:dyDescent="0.25">
      <c r="S10167" s="78">
        <v>37554</v>
      </c>
      <c r="T10167" s="29">
        <v>4</v>
      </c>
    </row>
    <row r="10168" spans="19:20" x14ac:dyDescent="0.25">
      <c r="S10168" s="78">
        <v>37555</v>
      </c>
      <c r="T10168" s="29">
        <v>4</v>
      </c>
    </row>
    <row r="10169" spans="19:20" x14ac:dyDescent="0.25">
      <c r="S10169" s="78">
        <v>37556</v>
      </c>
      <c r="T10169" s="29">
        <v>4</v>
      </c>
    </row>
    <row r="10170" spans="19:20" x14ac:dyDescent="0.25">
      <c r="S10170" s="78">
        <v>37557</v>
      </c>
      <c r="T10170" s="29">
        <v>4</v>
      </c>
    </row>
    <row r="10171" spans="19:20" x14ac:dyDescent="0.25">
      <c r="S10171" s="78">
        <v>37558</v>
      </c>
      <c r="T10171" s="29">
        <v>4</v>
      </c>
    </row>
    <row r="10172" spans="19:20" x14ac:dyDescent="0.25">
      <c r="S10172" s="78">
        <v>37559</v>
      </c>
      <c r="T10172" s="29">
        <v>4</v>
      </c>
    </row>
    <row r="10173" spans="19:20" x14ac:dyDescent="0.25">
      <c r="S10173" s="78">
        <v>37560</v>
      </c>
      <c r="T10173" s="29">
        <v>4</v>
      </c>
    </row>
    <row r="10174" spans="19:20" x14ac:dyDescent="0.25">
      <c r="S10174" s="78">
        <v>37561</v>
      </c>
      <c r="T10174" s="29">
        <v>4</v>
      </c>
    </row>
    <row r="10175" spans="19:20" x14ac:dyDescent="0.25">
      <c r="S10175" s="78">
        <v>37562</v>
      </c>
      <c r="T10175" s="29">
        <v>4</v>
      </c>
    </row>
    <row r="10176" spans="19:20" x14ac:dyDescent="0.25">
      <c r="S10176" s="78">
        <v>37563</v>
      </c>
      <c r="T10176" s="29">
        <v>4</v>
      </c>
    </row>
    <row r="10177" spans="19:20" x14ac:dyDescent="0.25">
      <c r="S10177" s="78">
        <v>37564</v>
      </c>
      <c r="T10177" s="29">
        <v>4</v>
      </c>
    </row>
    <row r="10178" spans="19:20" x14ac:dyDescent="0.25">
      <c r="S10178" s="78">
        <v>37565</v>
      </c>
      <c r="T10178" s="29">
        <v>4</v>
      </c>
    </row>
    <row r="10179" spans="19:20" x14ac:dyDescent="0.25">
      <c r="S10179" s="78">
        <v>37566</v>
      </c>
      <c r="T10179" s="29">
        <v>4</v>
      </c>
    </row>
    <row r="10180" spans="19:20" x14ac:dyDescent="0.25">
      <c r="S10180" s="78">
        <v>37567</v>
      </c>
      <c r="T10180" s="29">
        <v>4</v>
      </c>
    </row>
    <row r="10181" spans="19:20" x14ac:dyDescent="0.25">
      <c r="S10181" s="78">
        <v>37568</v>
      </c>
      <c r="T10181" s="29">
        <v>4</v>
      </c>
    </row>
    <row r="10182" spans="19:20" x14ac:dyDescent="0.25">
      <c r="S10182" s="78">
        <v>37569</v>
      </c>
      <c r="T10182" s="29">
        <v>4</v>
      </c>
    </row>
    <row r="10183" spans="19:20" x14ac:dyDescent="0.25">
      <c r="S10183" s="78">
        <v>37570</v>
      </c>
      <c r="T10183" s="29">
        <v>4</v>
      </c>
    </row>
    <row r="10184" spans="19:20" x14ac:dyDescent="0.25">
      <c r="S10184" s="78">
        <v>37571</v>
      </c>
      <c r="T10184" s="29">
        <v>4</v>
      </c>
    </row>
    <row r="10185" spans="19:20" x14ac:dyDescent="0.25">
      <c r="S10185" s="78">
        <v>37572</v>
      </c>
      <c r="T10185" s="29">
        <v>4</v>
      </c>
    </row>
    <row r="10186" spans="19:20" x14ac:dyDescent="0.25">
      <c r="S10186" s="78">
        <v>37573</v>
      </c>
      <c r="T10186" s="29">
        <v>4</v>
      </c>
    </row>
    <row r="10187" spans="19:20" x14ac:dyDescent="0.25">
      <c r="S10187" s="78">
        <v>37574</v>
      </c>
      <c r="T10187" s="29">
        <v>4</v>
      </c>
    </row>
    <row r="10188" spans="19:20" x14ac:dyDescent="0.25">
      <c r="S10188" s="78">
        <v>37575</v>
      </c>
      <c r="T10188" s="29">
        <v>4</v>
      </c>
    </row>
    <row r="10189" spans="19:20" x14ac:dyDescent="0.25">
      <c r="S10189" s="78">
        <v>37576</v>
      </c>
      <c r="T10189" s="29">
        <v>4</v>
      </c>
    </row>
    <row r="10190" spans="19:20" x14ac:dyDescent="0.25">
      <c r="S10190" s="78">
        <v>37577</v>
      </c>
      <c r="T10190" s="29">
        <v>4</v>
      </c>
    </row>
    <row r="10191" spans="19:20" x14ac:dyDescent="0.25">
      <c r="S10191" s="78">
        <v>37578</v>
      </c>
      <c r="T10191" s="29">
        <v>4</v>
      </c>
    </row>
    <row r="10192" spans="19:20" x14ac:dyDescent="0.25">
      <c r="S10192" s="78">
        <v>37579</v>
      </c>
      <c r="T10192" s="29">
        <v>4</v>
      </c>
    </row>
    <row r="10193" spans="19:20" x14ac:dyDescent="0.25">
      <c r="S10193" s="78">
        <v>37580</v>
      </c>
      <c r="T10193" s="29">
        <v>4</v>
      </c>
    </row>
    <row r="10194" spans="19:20" x14ac:dyDescent="0.25">
      <c r="S10194" s="78">
        <v>37581</v>
      </c>
      <c r="T10194" s="29">
        <v>4</v>
      </c>
    </row>
    <row r="10195" spans="19:20" x14ac:dyDescent="0.25">
      <c r="S10195" s="78">
        <v>37582</v>
      </c>
      <c r="T10195" s="29">
        <v>4</v>
      </c>
    </row>
    <row r="10196" spans="19:20" x14ac:dyDescent="0.25">
      <c r="S10196" s="78">
        <v>37583</v>
      </c>
      <c r="T10196" s="29">
        <v>4</v>
      </c>
    </row>
    <row r="10197" spans="19:20" x14ac:dyDescent="0.25">
      <c r="S10197" s="78">
        <v>37584</v>
      </c>
      <c r="T10197" s="29">
        <v>4</v>
      </c>
    </row>
    <row r="10198" spans="19:20" x14ac:dyDescent="0.25">
      <c r="S10198" s="78">
        <v>37585</v>
      </c>
      <c r="T10198" s="29">
        <v>4</v>
      </c>
    </row>
    <row r="10199" spans="19:20" x14ac:dyDescent="0.25">
      <c r="S10199" s="78">
        <v>37586</v>
      </c>
      <c r="T10199" s="29">
        <v>4</v>
      </c>
    </row>
    <row r="10200" spans="19:20" x14ac:dyDescent="0.25">
      <c r="S10200" s="78">
        <v>37587</v>
      </c>
      <c r="T10200" s="29">
        <v>4</v>
      </c>
    </row>
    <row r="10201" spans="19:20" x14ac:dyDescent="0.25">
      <c r="S10201" s="78">
        <v>37588</v>
      </c>
      <c r="T10201" s="29">
        <v>4</v>
      </c>
    </row>
    <row r="10202" spans="19:20" x14ac:dyDescent="0.25">
      <c r="S10202" s="78">
        <v>37589</v>
      </c>
      <c r="T10202" s="29">
        <v>4</v>
      </c>
    </row>
    <row r="10203" spans="19:20" x14ac:dyDescent="0.25">
      <c r="S10203" s="78">
        <v>37590</v>
      </c>
      <c r="T10203" s="29">
        <v>4</v>
      </c>
    </row>
    <row r="10204" spans="19:20" x14ac:dyDescent="0.25">
      <c r="S10204" s="78">
        <v>37591</v>
      </c>
      <c r="T10204" s="29">
        <v>4</v>
      </c>
    </row>
    <row r="10205" spans="19:20" x14ac:dyDescent="0.25">
      <c r="S10205" s="78">
        <v>37592</v>
      </c>
      <c r="T10205" s="29">
        <v>4</v>
      </c>
    </row>
    <row r="10206" spans="19:20" x14ac:dyDescent="0.25">
      <c r="S10206" s="78">
        <v>37593</v>
      </c>
      <c r="T10206" s="29">
        <v>4</v>
      </c>
    </row>
    <row r="10207" spans="19:20" x14ac:dyDescent="0.25">
      <c r="S10207" s="78">
        <v>37594</v>
      </c>
      <c r="T10207" s="29">
        <v>4</v>
      </c>
    </row>
    <row r="10208" spans="19:20" x14ac:dyDescent="0.25">
      <c r="S10208" s="78">
        <v>37595</v>
      </c>
      <c r="T10208" s="29">
        <v>4</v>
      </c>
    </row>
    <row r="10209" spans="19:20" x14ac:dyDescent="0.25">
      <c r="S10209" s="78">
        <v>37596</v>
      </c>
      <c r="T10209" s="29">
        <v>4</v>
      </c>
    </row>
    <row r="10210" spans="19:20" x14ac:dyDescent="0.25">
      <c r="S10210" s="78">
        <v>37597</v>
      </c>
      <c r="T10210" s="29">
        <v>4</v>
      </c>
    </row>
    <row r="10211" spans="19:20" x14ac:dyDescent="0.25">
      <c r="S10211" s="78">
        <v>37598</v>
      </c>
      <c r="T10211" s="29">
        <v>4</v>
      </c>
    </row>
    <row r="10212" spans="19:20" x14ac:dyDescent="0.25">
      <c r="S10212" s="78">
        <v>37599</v>
      </c>
      <c r="T10212" s="29">
        <v>4</v>
      </c>
    </row>
    <row r="10213" spans="19:20" x14ac:dyDescent="0.25">
      <c r="S10213" s="78">
        <v>37600</v>
      </c>
      <c r="T10213" s="29">
        <v>4</v>
      </c>
    </row>
    <row r="10214" spans="19:20" x14ac:dyDescent="0.25">
      <c r="S10214" s="78">
        <v>37601</v>
      </c>
      <c r="T10214" s="29">
        <v>4</v>
      </c>
    </row>
    <row r="10215" spans="19:20" x14ac:dyDescent="0.25">
      <c r="S10215" s="78">
        <v>37602</v>
      </c>
      <c r="T10215" s="29">
        <v>4</v>
      </c>
    </row>
    <row r="10216" spans="19:20" x14ac:dyDescent="0.25">
      <c r="S10216" s="78">
        <v>37603</v>
      </c>
      <c r="T10216" s="29">
        <v>4</v>
      </c>
    </row>
    <row r="10217" spans="19:20" x14ac:dyDescent="0.25">
      <c r="S10217" s="78">
        <v>37604</v>
      </c>
      <c r="T10217" s="29">
        <v>4</v>
      </c>
    </row>
    <row r="10218" spans="19:20" x14ac:dyDescent="0.25">
      <c r="S10218" s="78">
        <v>37605</v>
      </c>
      <c r="T10218" s="29">
        <v>4</v>
      </c>
    </row>
    <row r="10219" spans="19:20" x14ac:dyDescent="0.25">
      <c r="S10219" s="78">
        <v>37606</v>
      </c>
      <c r="T10219" s="29">
        <v>4</v>
      </c>
    </row>
    <row r="10220" spans="19:20" x14ac:dyDescent="0.25">
      <c r="S10220" s="78">
        <v>37607</v>
      </c>
      <c r="T10220" s="29">
        <v>4</v>
      </c>
    </row>
    <row r="10221" spans="19:20" x14ac:dyDescent="0.25">
      <c r="S10221" s="78">
        <v>37608</v>
      </c>
      <c r="T10221" s="29">
        <v>4</v>
      </c>
    </row>
    <row r="10222" spans="19:20" x14ac:dyDescent="0.25">
      <c r="S10222" s="78">
        <v>37609</v>
      </c>
      <c r="T10222" s="29">
        <v>4</v>
      </c>
    </row>
    <row r="10223" spans="19:20" x14ac:dyDescent="0.25">
      <c r="S10223" s="78">
        <v>37610</v>
      </c>
      <c r="T10223" s="29">
        <v>4</v>
      </c>
    </row>
    <row r="10224" spans="19:20" x14ac:dyDescent="0.25">
      <c r="S10224" s="78">
        <v>37611</v>
      </c>
      <c r="T10224" s="29">
        <v>4</v>
      </c>
    </row>
    <row r="10225" spans="19:21" x14ac:dyDescent="0.25">
      <c r="S10225" s="78">
        <v>37612</v>
      </c>
      <c r="T10225" s="29">
        <v>4</v>
      </c>
    </row>
    <row r="10226" spans="19:21" x14ac:dyDescent="0.25">
      <c r="S10226" s="78">
        <v>37613</v>
      </c>
      <c r="T10226" s="29">
        <v>4</v>
      </c>
    </row>
    <row r="10227" spans="19:21" x14ac:dyDescent="0.25">
      <c r="S10227" s="78">
        <v>37614</v>
      </c>
      <c r="T10227" s="29">
        <v>4</v>
      </c>
    </row>
    <row r="10228" spans="19:21" x14ac:dyDescent="0.25">
      <c r="S10228" s="78">
        <v>37615</v>
      </c>
      <c r="T10228" s="29">
        <v>4</v>
      </c>
    </row>
    <row r="10229" spans="19:21" x14ac:dyDescent="0.25">
      <c r="S10229" s="78">
        <v>37616</v>
      </c>
      <c r="T10229" s="29">
        <v>4</v>
      </c>
    </row>
    <row r="10230" spans="19:21" x14ac:dyDescent="0.25">
      <c r="S10230" s="78">
        <v>37617</v>
      </c>
      <c r="T10230" s="29">
        <v>4</v>
      </c>
    </row>
    <row r="10231" spans="19:21" x14ac:dyDescent="0.25">
      <c r="S10231" s="78">
        <v>37618</v>
      </c>
      <c r="T10231" s="29">
        <v>4</v>
      </c>
    </row>
    <row r="10232" spans="19:21" x14ac:dyDescent="0.25">
      <c r="S10232" s="78">
        <v>37619</v>
      </c>
      <c r="T10232" s="29">
        <v>4</v>
      </c>
    </row>
    <row r="10233" spans="19:21" x14ac:dyDescent="0.25">
      <c r="S10233" s="78">
        <v>37620</v>
      </c>
      <c r="T10233" s="29">
        <v>4</v>
      </c>
    </row>
    <row r="10234" spans="19:21" x14ac:dyDescent="0.25">
      <c r="S10234" s="78">
        <v>37621</v>
      </c>
      <c r="T10234" s="29">
        <v>4</v>
      </c>
      <c r="U10234" s="40">
        <f>AVERAGE(T10143:T10234)</f>
        <v>4</v>
      </c>
    </row>
    <row r="10235" spans="19:21" x14ac:dyDescent="0.25">
      <c r="S10235" s="78">
        <v>37622</v>
      </c>
      <c r="T10235" s="29">
        <v>4</v>
      </c>
    </row>
    <row r="10236" spans="19:21" x14ac:dyDescent="0.25">
      <c r="S10236" s="78">
        <v>37623</v>
      </c>
      <c r="T10236" s="29">
        <v>4</v>
      </c>
    </row>
    <row r="10237" spans="19:21" x14ac:dyDescent="0.25">
      <c r="S10237" s="78">
        <v>37624</v>
      </c>
      <c r="T10237" s="29">
        <v>4</v>
      </c>
    </row>
    <row r="10238" spans="19:21" x14ac:dyDescent="0.25">
      <c r="S10238" s="78">
        <v>37625</v>
      </c>
      <c r="T10238" s="29">
        <v>4</v>
      </c>
    </row>
    <row r="10239" spans="19:21" x14ac:dyDescent="0.25">
      <c r="S10239" s="78">
        <v>37626</v>
      </c>
      <c r="T10239" s="29">
        <v>4</v>
      </c>
    </row>
    <row r="10240" spans="19:21" x14ac:dyDescent="0.25">
      <c r="S10240" s="78">
        <v>37627</v>
      </c>
      <c r="T10240" s="29">
        <v>4</v>
      </c>
    </row>
    <row r="10241" spans="19:20" x14ac:dyDescent="0.25">
      <c r="S10241" s="78">
        <v>37628</v>
      </c>
      <c r="T10241" s="29">
        <v>4</v>
      </c>
    </row>
    <row r="10242" spans="19:20" x14ac:dyDescent="0.25">
      <c r="S10242" s="78">
        <v>37629</v>
      </c>
      <c r="T10242" s="29">
        <v>4</v>
      </c>
    </row>
    <row r="10243" spans="19:20" x14ac:dyDescent="0.25">
      <c r="S10243" s="78">
        <v>37630</v>
      </c>
      <c r="T10243" s="29">
        <v>4</v>
      </c>
    </row>
    <row r="10244" spans="19:20" x14ac:dyDescent="0.25">
      <c r="S10244" s="78">
        <v>37631</v>
      </c>
      <c r="T10244" s="29">
        <v>4</v>
      </c>
    </row>
    <row r="10245" spans="19:20" x14ac:dyDescent="0.25">
      <c r="S10245" s="78">
        <v>37632</v>
      </c>
      <c r="T10245" s="29">
        <v>4</v>
      </c>
    </row>
    <row r="10246" spans="19:20" x14ac:dyDescent="0.25">
      <c r="S10246" s="78">
        <v>37633</v>
      </c>
      <c r="T10246" s="29">
        <v>4</v>
      </c>
    </row>
    <row r="10247" spans="19:20" x14ac:dyDescent="0.25">
      <c r="S10247" s="78">
        <v>37634</v>
      </c>
      <c r="T10247" s="29">
        <v>4</v>
      </c>
    </row>
    <row r="10248" spans="19:20" x14ac:dyDescent="0.25">
      <c r="S10248" s="78">
        <v>37635</v>
      </c>
      <c r="T10248" s="29">
        <v>4</v>
      </c>
    </row>
    <row r="10249" spans="19:20" x14ac:dyDescent="0.25">
      <c r="S10249" s="78">
        <v>37636</v>
      </c>
      <c r="T10249" s="29">
        <v>4</v>
      </c>
    </row>
    <row r="10250" spans="19:20" x14ac:dyDescent="0.25">
      <c r="S10250" s="78">
        <v>37637</v>
      </c>
      <c r="T10250" s="29">
        <v>4</v>
      </c>
    </row>
    <row r="10251" spans="19:20" x14ac:dyDescent="0.25">
      <c r="S10251" s="78">
        <v>37638</v>
      </c>
      <c r="T10251" s="29">
        <v>4</v>
      </c>
    </row>
    <row r="10252" spans="19:20" x14ac:dyDescent="0.25">
      <c r="S10252" s="78">
        <v>37639</v>
      </c>
      <c r="T10252" s="29">
        <v>4</v>
      </c>
    </row>
    <row r="10253" spans="19:20" x14ac:dyDescent="0.25">
      <c r="S10253" s="78">
        <v>37640</v>
      </c>
      <c r="T10253" s="29">
        <v>4</v>
      </c>
    </row>
    <row r="10254" spans="19:20" x14ac:dyDescent="0.25">
      <c r="S10254" s="78">
        <v>37641</v>
      </c>
      <c r="T10254" s="29">
        <v>4</v>
      </c>
    </row>
    <row r="10255" spans="19:20" x14ac:dyDescent="0.25">
      <c r="S10255" s="78">
        <v>37642</v>
      </c>
      <c r="T10255" s="29">
        <v>4</v>
      </c>
    </row>
    <row r="10256" spans="19:20" x14ac:dyDescent="0.25">
      <c r="S10256" s="78">
        <v>37643</v>
      </c>
      <c r="T10256" s="29">
        <v>4</v>
      </c>
    </row>
    <row r="10257" spans="19:20" x14ac:dyDescent="0.25">
      <c r="S10257" s="78">
        <v>37644</v>
      </c>
      <c r="T10257" s="29">
        <v>4</v>
      </c>
    </row>
    <row r="10258" spans="19:20" x14ac:dyDescent="0.25">
      <c r="S10258" s="78">
        <v>37645</v>
      </c>
      <c r="T10258" s="29">
        <v>4</v>
      </c>
    </row>
    <row r="10259" spans="19:20" x14ac:dyDescent="0.25">
      <c r="S10259" s="78">
        <v>37646</v>
      </c>
      <c r="T10259" s="29">
        <v>4</v>
      </c>
    </row>
    <row r="10260" spans="19:20" x14ac:dyDescent="0.25">
      <c r="S10260" s="78">
        <v>37647</v>
      </c>
      <c r="T10260" s="29">
        <v>4</v>
      </c>
    </row>
    <row r="10261" spans="19:20" x14ac:dyDescent="0.25">
      <c r="S10261" s="78">
        <v>37648</v>
      </c>
      <c r="T10261" s="29">
        <v>4</v>
      </c>
    </row>
    <row r="10262" spans="19:20" x14ac:dyDescent="0.25">
      <c r="S10262" s="78">
        <v>37649</v>
      </c>
      <c r="T10262" s="29">
        <v>4</v>
      </c>
    </row>
    <row r="10263" spans="19:20" x14ac:dyDescent="0.25">
      <c r="S10263" s="78">
        <v>37650</v>
      </c>
      <c r="T10263" s="29">
        <v>4</v>
      </c>
    </row>
    <row r="10264" spans="19:20" x14ac:dyDescent="0.25">
      <c r="S10264" s="78">
        <v>37651</v>
      </c>
      <c r="T10264" s="29">
        <v>4</v>
      </c>
    </row>
    <row r="10265" spans="19:20" x14ac:dyDescent="0.25">
      <c r="S10265" s="78">
        <v>37652</v>
      </c>
      <c r="T10265" s="29">
        <v>4</v>
      </c>
    </row>
    <row r="10266" spans="19:20" x14ac:dyDescent="0.25">
      <c r="S10266" s="78">
        <v>37653</v>
      </c>
      <c r="T10266" s="29">
        <v>4</v>
      </c>
    </row>
    <row r="10267" spans="19:20" x14ac:dyDescent="0.25">
      <c r="S10267" s="78">
        <v>37654</v>
      </c>
      <c r="T10267" s="29">
        <v>4</v>
      </c>
    </row>
    <row r="10268" spans="19:20" x14ac:dyDescent="0.25">
      <c r="S10268" s="78">
        <v>37655</v>
      </c>
      <c r="T10268" s="29">
        <v>4</v>
      </c>
    </row>
    <row r="10269" spans="19:20" x14ac:dyDescent="0.25">
      <c r="S10269" s="78">
        <v>37656</v>
      </c>
      <c r="T10269" s="29">
        <v>4</v>
      </c>
    </row>
    <row r="10270" spans="19:20" x14ac:dyDescent="0.25">
      <c r="S10270" s="78">
        <v>37657</v>
      </c>
      <c r="T10270" s="29">
        <v>4</v>
      </c>
    </row>
    <row r="10271" spans="19:20" x14ac:dyDescent="0.25">
      <c r="S10271" s="78">
        <v>37658</v>
      </c>
      <c r="T10271" s="29">
        <v>3.75</v>
      </c>
    </row>
    <row r="10272" spans="19:20" x14ac:dyDescent="0.25">
      <c r="S10272" s="78">
        <v>37659</v>
      </c>
      <c r="T10272" s="29">
        <v>3.75</v>
      </c>
    </row>
    <row r="10273" spans="19:20" x14ac:dyDescent="0.25">
      <c r="S10273" s="78">
        <v>37660</v>
      </c>
      <c r="T10273" s="29">
        <v>3.75</v>
      </c>
    </row>
    <row r="10274" spans="19:20" x14ac:dyDescent="0.25">
      <c r="S10274" s="78">
        <v>37661</v>
      </c>
      <c r="T10274" s="29">
        <v>3.75</v>
      </c>
    </row>
    <row r="10275" spans="19:20" x14ac:dyDescent="0.25">
      <c r="S10275" s="78">
        <v>37662</v>
      </c>
      <c r="T10275" s="29">
        <v>3.75</v>
      </c>
    </row>
    <row r="10276" spans="19:20" x14ac:dyDescent="0.25">
      <c r="S10276" s="78">
        <v>37663</v>
      </c>
      <c r="T10276" s="29">
        <v>3.75</v>
      </c>
    </row>
    <row r="10277" spans="19:20" x14ac:dyDescent="0.25">
      <c r="S10277" s="78">
        <v>37664</v>
      </c>
      <c r="T10277" s="29">
        <v>3.75</v>
      </c>
    </row>
    <row r="10278" spans="19:20" x14ac:dyDescent="0.25">
      <c r="S10278" s="78">
        <v>37665</v>
      </c>
      <c r="T10278" s="29">
        <v>3.75</v>
      </c>
    </row>
    <row r="10279" spans="19:20" x14ac:dyDescent="0.25">
      <c r="S10279" s="78">
        <v>37666</v>
      </c>
      <c r="T10279" s="29">
        <v>3.75</v>
      </c>
    </row>
    <row r="10280" spans="19:20" x14ac:dyDescent="0.25">
      <c r="S10280" s="78">
        <v>37667</v>
      </c>
      <c r="T10280" s="29">
        <v>3.75</v>
      </c>
    </row>
    <row r="10281" spans="19:20" x14ac:dyDescent="0.25">
      <c r="S10281" s="78">
        <v>37668</v>
      </c>
      <c r="T10281" s="29">
        <v>3.75</v>
      </c>
    </row>
    <row r="10282" spans="19:20" x14ac:dyDescent="0.25">
      <c r="S10282" s="78">
        <v>37669</v>
      </c>
      <c r="T10282" s="29">
        <v>3.75</v>
      </c>
    </row>
    <row r="10283" spans="19:20" x14ac:dyDescent="0.25">
      <c r="S10283" s="78">
        <v>37670</v>
      </c>
      <c r="T10283" s="29">
        <v>3.75</v>
      </c>
    </row>
    <row r="10284" spans="19:20" x14ac:dyDescent="0.25">
      <c r="S10284" s="78">
        <v>37671</v>
      </c>
      <c r="T10284" s="29">
        <v>3.75</v>
      </c>
    </row>
    <row r="10285" spans="19:20" x14ac:dyDescent="0.25">
      <c r="S10285" s="78">
        <v>37672</v>
      </c>
      <c r="T10285" s="29">
        <v>3.75</v>
      </c>
    </row>
    <row r="10286" spans="19:20" x14ac:dyDescent="0.25">
      <c r="S10286" s="78">
        <v>37673</v>
      </c>
      <c r="T10286" s="29">
        <v>3.75</v>
      </c>
    </row>
    <row r="10287" spans="19:20" x14ac:dyDescent="0.25">
      <c r="S10287" s="78">
        <v>37674</v>
      </c>
      <c r="T10287" s="29">
        <v>3.75</v>
      </c>
    </row>
    <row r="10288" spans="19:20" x14ac:dyDescent="0.25">
      <c r="S10288" s="78">
        <v>37675</v>
      </c>
      <c r="T10288" s="29">
        <v>3.75</v>
      </c>
    </row>
    <row r="10289" spans="19:20" x14ac:dyDescent="0.25">
      <c r="S10289" s="78">
        <v>37676</v>
      </c>
      <c r="T10289" s="29">
        <v>3.75</v>
      </c>
    </row>
    <row r="10290" spans="19:20" x14ac:dyDescent="0.25">
      <c r="S10290" s="78">
        <v>37677</v>
      </c>
      <c r="T10290" s="29">
        <v>3.75</v>
      </c>
    </row>
    <row r="10291" spans="19:20" x14ac:dyDescent="0.25">
      <c r="S10291" s="78">
        <v>37678</v>
      </c>
      <c r="T10291" s="29">
        <v>3.75</v>
      </c>
    </row>
    <row r="10292" spans="19:20" x14ac:dyDescent="0.25">
      <c r="S10292" s="78">
        <v>37679</v>
      </c>
      <c r="T10292" s="29">
        <v>3.75</v>
      </c>
    </row>
    <row r="10293" spans="19:20" x14ac:dyDescent="0.25">
      <c r="S10293" s="78">
        <v>37680</v>
      </c>
      <c r="T10293" s="29">
        <v>3.75</v>
      </c>
    </row>
    <row r="10294" spans="19:20" x14ac:dyDescent="0.25">
      <c r="S10294" s="78">
        <v>37681</v>
      </c>
      <c r="T10294" s="29">
        <v>3.75</v>
      </c>
    </row>
    <row r="10295" spans="19:20" x14ac:dyDescent="0.25">
      <c r="S10295" s="78">
        <v>37682</v>
      </c>
      <c r="T10295" s="29">
        <v>3.75</v>
      </c>
    </row>
    <row r="10296" spans="19:20" x14ac:dyDescent="0.25">
      <c r="S10296" s="78">
        <v>37683</v>
      </c>
      <c r="T10296" s="29">
        <v>3.75</v>
      </c>
    </row>
    <row r="10297" spans="19:20" x14ac:dyDescent="0.25">
      <c r="S10297" s="78">
        <v>37684</v>
      </c>
      <c r="T10297" s="29">
        <v>3.75</v>
      </c>
    </row>
    <row r="10298" spans="19:20" x14ac:dyDescent="0.25">
      <c r="S10298" s="78">
        <v>37685</v>
      </c>
      <c r="T10298" s="29">
        <v>3.75</v>
      </c>
    </row>
    <row r="10299" spans="19:20" x14ac:dyDescent="0.25">
      <c r="S10299" s="78">
        <v>37686</v>
      </c>
      <c r="T10299" s="29">
        <v>3.75</v>
      </c>
    </row>
    <row r="10300" spans="19:20" x14ac:dyDescent="0.25">
      <c r="S10300" s="78">
        <v>37687</v>
      </c>
      <c r="T10300" s="29">
        <v>3.75</v>
      </c>
    </row>
    <row r="10301" spans="19:20" x14ac:dyDescent="0.25">
      <c r="S10301" s="78">
        <v>37688</v>
      </c>
      <c r="T10301" s="29">
        <v>3.75</v>
      </c>
    </row>
    <row r="10302" spans="19:20" x14ac:dyDescent="0.25">
      <c r="S10302" s="78">
        <v>37689</v>
      </c>
      <c r="T10302" s="29">
        <v>3.75</v>
      </c>
    </row>
    <row r="10303" spans="19:20" x14ac:dyDescent="0.25">
      <c r="S10303" s="78">
        <v>37690</v>
      </c>
      <c r="T10303" s="29">
        <v>3.75</v>
      </c>
    </row>
    <row r="10304" spans="19:20" x14ac:dyDescent="0.25">
      <c r="S10304" s="78">
        <v>37691</v>
      </c>
      <c r="T10304" s="29">
        <v>3.75</v>
      </c>
    </row>
    <row r="10305" spans="19:20" x14ac:dyDescent="0.25">
      <c r="S10305" s="78">
        <v>37692</v>
      </c>
      <c r="T10305" s="29">
        <v>3.75</v>
      </c>
    </row>
    <row r="10306" spans="19:20" x14ac:dyDescent="0.25">
      <c r="S10306" s="78">
        <v>37693</v>
      </c>
      <c r="T10306" s="29">
        <v>3.75</v>
      </c>
    </row>
    <row r="10307" spans="19:20" x14ac:dyDescent="0.25">
      <c r="S10307" s="78">
        <v>37694</v>
      </c>
      <c r="T10307" s="29">
        <v>3.75</v>
      </c>
    </row>
    <row r="10308" spans="19:20" x14ac:dyDescent="0.25">
      <c r="S10308" s="78">
        <v>37695</v>
      </c>
      <c r="T10308" s="29">
        <v>3.75</v>
      </c>
    </row>
    <row r="10309" spans="19:20" x14ac:dyDescent="0.25">
      <c r="S10309" s="78">
        <v>37696</v>
      </c>
      <c r="T10309" s="29">
        <v>3.75</v>
      </c>
    </row>
    <row r="10310" spans="19:20" x14ac:dyDescent="0.25">
      <c r="S10310" s="78">
        <v>37697</v>
      </c>
      <c r="T10310" s="29">
        <v>3.75</v>
      </c>
    </row>
    <row r="10311" spans="19:20" x14ac:dyDescent="0.25">
      <c r="S10311" s="78">
        <v>37698</v>
      </c>
      <c r="T10311" s="29">
        <v>3.75</v>
      </c>
    </row>
    <row r="10312" spans="19:20" x14ac:dyDescent="0.25">
      <c r="S10312" s="78">
        <v>37699</v>
      </c>
      <c r="T10312" s="29">
        <v>3.75</v>
      </c>
    </row>
    <row r="10313" spans="19:20" x14ac:dyDescent="0.25">
      <c r="S10313" s="78">
        <v>37700</v>
      </c>
      <c r="T10313" s="29">
        <v>3.75</v>
      </c>
    </row>
    <row r="10314" spans="19:20" x14ac:dyDescent="0.25">
      <c r="S10314" s="78">
        <v>37701</v>
      </c>
      <c r="T10314" s="29">
        <v>3.75</v>
      </c>
    </row>
    <row r="10315" spans="19:20" x14ac:dyDescent="0.25">
      <c r="S10315" s="78">
        <v>37702</v>
      </c>
      <c r="T10315" s="29">
        <v>3.75</v>
      </c>
    </row>
    <row r="10316" spans="19:20" x14ac:dyDescent="0.25">
      <c r="S10316" s="78">
        <v>37703</v>
      </c>
      <c r="T10316" s="29">
        <v>3.75</v>
      </c>
    </row>
    <row r="10317" spans="19:20" x14ac:dyDescent="0.25">
      <c r="S10317" s="78">
        <v>37704</v>
      </c>
      <c r="T10317" s="29">
        <v>3.75</v>
      </c>
    </row>
    <row r="10318" spans="19:20" x14ac:dyDescent="0.25">
      <c r="S10318" s="78">
        <v>37705</v>
      </c>
      <c r="T10318" s="29">
        <v>3.75</v>
      </c>
    </row>
    <row r="10319" spans="19:20" x14ac:dyDescent="0.25">
      <c r="S10319" s="78">
        <v>37706</v>
      </c>
      <c r="T10319" s="29">
        <v>3.75</v>
      </c>
    </row>
    <row r="10320" spans="19:20" x14ac:dyDescent="0.25">
      <c r="S10320" s="78">
        <v>37707</v>
      </c>
      <c r="T10320" s="29">
        <v>3.75</v>
      </c>
    </row>
    <row r="10321" spans="19:21" x14ac:dyDescent="0.25">
      <c r="S10321" s="78">
        <v>37708</v>
      </c>
      <c r="T10321" s="29">
        <v>3.75</v>
      </c>
    </row>
    <row r="10322" spans="19:21" x14ac:dyDescent="0.25">
      <c r="S10322" s="78">
        <v>37709</v>
      </c>
      <c r="T10322" s="29">
        <v>3.75</v>
      </c>
    </row>
    <row r="10323" spans="19:21" x14ac:dyDescent="0.25">
      <c r="S10323" s="78">
        <v>37710</v>
      </c>
      <c r="T10323" s="29">
        <v>3.75</v>
      </c>
    </row>
    <row r="10324" spans="19:21" x14ac:dyDescent="0.25">
      <c r="S10324" s="78">
        <v>37711</v>
      </c>
      <c r="T10324" s="29">
        <v>3.75</v>
      </c>
      <c r="U10324" s="39">
        <f>AVERAGE(T10235:T10324)</f>
        <v>3.85</v>
      </c>
    </row>
    <row r="10325" spans="19:21" x14ac:dyDescent="0.25">
      <c r="S10325" s="78">
        <v>37712</v>
      </c>
      <c r="T10325" s="29">
        <v>3.75</v>
      </c>
    </row>
    <row r="10326" spans="19:21" x14ac:dyDescent="0.25">
      <c r="S10326" s="78">
        <v>37713</v>
      </c>
      <c r="T10326" s="29">
        <v>3.75</v>
      </c>
    </row>
    <row r="10327" spans="19:21" x14ac:dyDescent="0.25">
      <c r="S10327" s="78">
        <v>37714</v>
      </c>
      <c r="T10327" s="29">
        <v>3.75</v>
      </c>
    </row>
    <row r="10328" spans="19:21" x14ac:dyDescent="0.25">
      <c r="S10328" s="78">
        <v>37715</v>
      </c>
      <c r="T10328" s="29">
        <v>3.75</v>
      </c>
    </row>
    <row r="10329" spans="19:21" x14ac:dyDescent="0.25">
      <c r="S10329" s="78">
        <v>37716</v>
      </c>
      <c r="T10329" s="29">
        <v>3.75</v>
      </c>
    </row>
    <row r="10330" spans="19:21" x14ac:dyDescent="0.25">
      <c r="S10330" s="78">
        <v>37717</v>
      </c>
      <c r="T10330" s="29">
        <v>3.75</v>
      </c>
    </row>
    <row r="10331" spans="19:21" x14ac:dyDescent="0.25">
      <c r="S10331" s="78">
        <v>37718</v>
      </c>
      <c r="T10331" s="29">
        <v>3.75</v>
      </c>
    </row>
    <row r="10332" spans="19:21" x14ac:dyDescent="0.25">
      <c r="S10332" s="78">
        <v>37719</v>
      </c>
      <c r="T10332" s="29">
        <v>3.75</v>
      </c>
    </row>
    <row r="10333" spans="19:21" x14ac:dyDescent="0.25">
      <c r="S10333" s="78">
        <v>37720</v>
      </c>
      <c r="T10333" s="29">
        <v>3.75</v>
      </c>
    </row>
    <row r="10334" spans="19:21" x14ac:dyDescent="0.25">
      <c r="S10334" s="78">
        <v>37721</v>
      </c>
      <c r="T10334" s="29">
        <v>3.75</v>
      </c>
    </row>
    <row r="10335" spans="19:21" x14ac:dyDescent="0.25">
      <c r="S10335" s="78">
        <v>37722</v>
      </c>
      <c r="T10335" s="29">
        <v>3.75</v>
      </c>
    </row>
    <row r="10336" spans="19:21" x14ac:dyDescent="0.25">
      <c r="S10336" s="78">
        <v>37723</v>
      </c>
      <c r="T10336" s="29">
        <v>3.75</v>
      </c>
    </row>
    <row r="10337" spans="19:20" x14ac:dyDescent="0.25">
      <c r="S10337" s="78">
        <v>37724</v>
      </c>
      <c r="T10337" s="29">
        <v>3.75</v>
      </c>
    </row>
    <row r="10338" spans="19:20" x14ac:dyDescent="0.25">
      <c r="S10338" s="78">
        <v>37725</v>
      </c>
      <c r="T10338" s="29">
        <v>3.75</v>
      </c>
    </row>
    <row r="10339" spans="19:20" x14ac:dyDescent="0.25">
      <c r="S10339" s="78">
        <v>37726</v>
      </c>
      <c r="T10339" s="29">
        <v>3.75</v>
      </c>
    </row>
    <row r="10340" spans="19:20" x14ac:dyDescent="0.25">
      <c r="S10340" s="78">
        <v>37727</v>
      </c>
      <c r="T10340" s="29">
        <v>3.75</v>
      </c>
    </row>
    <row r="10341" spans="19:20" x14ac:dyDescent="0.25">
      <c r="S10341" s="78">
        <v>37728</v>
      </c>
      <c r="T10341" s="29">
        <v>3.75</v>
      </c>
    </row>
    <row r="10342" spans="19:20" x14ac:dyDescent="0.25">
      <c r="S10342" s="78">
        <v>37729</v>
      </c>
      <c r="T10342" s="29">
        <v>3.75</v>
      </c>
    </row>
    <row r="10343" spans="19:20" x14ac:dyDescent="0.25">
      <c r="S10343" s="78">
        <v>37730</v>
      </c>
      <c r="T10343" s="29">
        <v>3.75</v>
      </c>
    </row>
    <row r="10344" spans="19:20" x14ac:dyDescent="0.25">
      <c r="S10344" s="78">
        <v>37731</v>
      </c>
      <c r="T10344" s="29">
        <v>3.75</v>
      </c>
    </row>
    <row r="10345" spans="19:20" x14ac:dyDescent="0.25">
      <c r="S10345" s="78">
        <v>37732</v>
      </c>
      <c r="T10345" s="29">
        <v>3.75</v>
      </c>
    </row>
    <row r="10346" spans="19:20" x14ac:dyDescent="0.25">
      <c r="S10346" s="78">
        <v>37733</v>
      </c>
      <c r="T10346" s="29">
        <v>3.75</v>
      </c>
    </row>
    <row r="10347" spans="19:20" x14ac:dyDescent="0.25">
      <c r="S10347" s="78">
        <v>37734</v>
      </c>
      <c r="T10347" s="29">
        <v>3.75</v>
      </c>
    </row>
    <row r="10348" spans="19:20" x14ac:dyDescent="0.25">
      <c r="S10348" s="78">
        <v>37735</v>
      </c>
      <c r="T10348" s="29">
        <v>3.75</v>
      </c>
    </row>
    <row r="10349" spans="19:20" x14ac:dyDescent="0.25">
      <c r="S10349" s="78">
        <v>37736</v>
      </c>
      <c r="T10349" s="29">
        <v>3.75</v>
      </c>
    </row>
    <row r="10350" spans="19:20" x14ac:dyDescent="0.25">
      <c r="S10350" s="78">
        <v>37737</v>
      </c>
      <c r="T10350" s="29">
        <v>3.75</v>
      </c>
    </row>
    <row r="10351" spans="19:20" x14ac:dyDescent="0.25">
      <c r="S10351" s="78">
        <v>37738</v>
      </c>
      <c r="T10351" s="29">
        <v>3.75</v>
      </c>
    </row>
    <row r="10352" spans="19:20" x14ac:dyDescent="0.25">
      <c r="S10352" s="78">
        <v>37739</v>
      </c>
      <c r="T10352" s="29">
        <v>3.75</v>
      </c>
    </row>
    <row r="10353" spans="19:20" x14ac:dyDescent="0.25">
      <c r="S10353" s="78">
        <v>37740</v>
      </c>
      <c r="T10353" s="29">
        <v>3.75</v>
      </c>
    </row>
    <row r="10354" spans="19:20" x14ac:dyDescent="0.25">
      <c r="S10354" s="78">
        <v>37741</v>
      </c>
      <c r="T10354" s="29">
        <v>3.75</v>
      </c>
    </row>
    <row r="10355" spans="19:20" x14ac:dyDescent="0.25">
      <c r="S10355" s="78">
        <v>37742</v>
      </c>
      <c r="T10355" s="29">
        <v>3.75</v>
      </c>
    </row>
    <row r="10356" spans="19:20" x14ac:dyDescent="0.25">
      <c r="S10356" s="78">
        <v>37743</v>
      </c>
      <c r="T10356" s="29">
        <v>3.75</v>
      </c>
    </row>
    <row r="10357" spans="19:20" x14ac:dyDescent="0.25">
      <c r="S10357" s="78">
        <v>37744</v>
      </c>
      <c r="T10357" s="29">
        <v>3.75</v>
      </c>
    </row>
    <row r="10358" spans="19:20" x14ac:dyDescent="0.25">
      <c r="S10358" s="78">
        <v>37745</v>
      </c>
      <c r="T10358" s="29">
        <v>3.75</v>
      </c>
    </row>
    <row r="10359" spans="19:20" x14ac:dyDescent="0.25">
      <c r="S10359" s="78">
        <v>37746</v>
      </c>
      <c r="T10359" s="29">
        <v>3.75</v>
      </c>
    </row>
    <row r="10360" spans="19:20" x14ac:dyDescent="0.25">
      <c r="S10360" s="78">
        <v>37747</v>
      </c>
      <c r="T10360" s="29">
        <v>3.75</v>
      </c>
    </row>
    <row r="10361" spans="19:20" x14ac:dyDescent="0.25">
      <c r="S10361" s="78">
        <v>37748</v>
      </c>
      <c r="T10361" s="29">
        <v>3.75</v>
      </c>
    </row>
    <row r="10362" spans="19:20" x14ac:dyDescent="0.25">
      <c r="S10362" s="78">
        <v>37749</v>
      </c>
      <c r="T10362" s="29">
        <v>3.75</v>
      </c>
    </row>
    <row r="10363" spans="19:20" x14ac:dyDescent="0.25">
      <c r="S10363" s="78">
        <v>37750</v>
      </c>
      <c r="T10363" s="29">
        <v>3.75</v>
      </c>
    </row>
    <row r="10364" spans="19:20" x14ac:dyDescent="0.25">
      <c r="S10364" s="78">
        <v>37751</v>
      </c>
      <c r="T10364" s="29">
        <v>3.75</v>
      </c>
    </row>
    <row r="10365" spans="19:20" x14ac:dyDescent="0.25">
      <c r="S10365" s="78">
        <v>37752</v>
      </c>
      <c r="T10365" s="29">
        <v>3.75</v>
      </c>
    </row>
    <row r="10366" spans="19:20" x14ac:dyDescent="0.25">
      <c r="S10366" s="78">
        <v>37753</v>
      </c>
      <c r="T10366" s="29">
        <v>3.75</v>
      </c>
    </row>
    <row r="10367" spans="19:20" x14ac:dyDescent="0.25">
      <c r="S10367" s="78">
        <v>37754</v>
      </c>
      <c r="T10367" s="29">
        <v>3.75</v>
      </c>
    </row>
    <row r="10368" spans="19:20" x14ac:dyDescent="0.25">
      <c r="S10368" s="78">
        <v>37755</v>
      </c>
      <c r="T10368" s="29">
        <v>3.75</v>
      </c>
    </row>
    <row r="10369" spans="19:20" x14ac:dyDescent="0.25">
      <c r="S10369" s="78">
        <v>37756</v>
      </c>
      <c r="T10369" s="29">
        <v>3.75</v>
      </c>
    </row>
    <row r="10370" spans="19:20" x14ac:dyDescent="0.25">
      <c r="S10370" s="78">
        <v>37757</v>
      </c>
      <c r="T10370" s="29">
        <v>3.75</v>
      </c>
    </row>
    <row r="10371" spans="19:20" x14ac:dyDescent="0.25">
      <c r="S10371" s="78">
        <v>37758</v>
      </c>
      <c r="T10371" s="29">
        <v>3.75</v>
      </c>
    </row>
    <row r="10372" spans="19:20" x14ac:dyDescent="0.25">
      <c r="S10372" s="78">
        <v>37759</v>
      </c>
      <c r="T10372" s="29">
        <v>3.75</v>
      </c>
    </row>
    <row r="10373" spans="19:20" x14ac:dyDescent="0.25">
      <c r="S10373" s="78">
        <v>37760</v>
      </c>
      <c r="T10373" s="29">
        <v>3.75</v>
      </c>
    </row>
    <row r="10374" spans="19:20" x14ac:dyDescent="0.25">
      <c r="S10374" s="78">
        <v>37761</v>
      </c>
      <c r="T10374" s="29">
        <v>3.75</v>
      </c>
    </row>
    <row r="10375" spans="19:20" x14ac:dyDescent="0.25">
      <c r="S10375" s="78">
        <v>37762</v>
      </c>
      <c r="T10375" s="29">
        <v>3.75</v>
      </c>
    </row>
    <row r="10376" spans="19:20" x14ac:dyDescent="0.25">
      <c r="S10376" s="78">
        <v>37763</v>
      </c>
      <c r="T10376" s="29">
        <v>3.75</v>
      </c>
    </row>
    <row r="10377" spans="19:20" x14ac:dyDescent="0.25">
      <c r="S10377" s="78">
        <v>37764</v>
      </c>
      <c r="T10377" s="29">
        <v>3.75</v>
      </c>
    </row>
    <row r="10378" spans="19:20" x14ac:dyDescent="0.25">
      <c r="S10378" s="78">
        <v>37765</v>
      </c>
      <c r="T10378" s="29">
        <v>3.75</v>
      </c>
    </row>
    <row r="10379" spans="19:20" x14ac:dyDescent="0.25">
      <c r="S10379" s="78">
        <v>37766</v>
      </c>
      <c r="T10379" s="29">
        <v>3.75</v>
      </c>
    </row>
    <row r="10380" spans="19:20" x14ac:dyDescent="0.25">
      <c r="S10380" s="78">
        <v>37767</v>
      </c>
      <c r="T10380" s="29">
        <v>3.75</v>
      </c>
    </row>
    <row r="10381" spans="19:20" x14ac:dyDescent="0.25">
      <c r="S10381" s="78">
        <v>37768</v>
      </c>
      <c r="T10381" s="29">
        <v>3.75</v>
      </c>
    </row>
    <row r="10382" spans="19:20" x14ac:dyDescent="0.25">
      <c r="S10382" s="78">
        <v>37769</v>
      </c>
      <c r="T10382" s="29">
        <v>3.75</v>
      </c>
    </row>
    <row r="10383" spans="19:20" x14ac:dyDescent="0.25">
      <c r="S10383" s="78">
        <v>37770</v>
      </c>
      <c r="T10383" s="29">
        <v>3.75</v>
      </c>
    </row>
    <row r="10384" spans="19:20" x14ac:dyDescent="0.25">
      <c r="S10384" s="78">
        <v>37771</v>
      </c>
      <c r="T10384" s="29">
        <v>3.75</v>
      </c>
    </row>
    <row r="10385" spans="19:20" x14ac:dyDescent="0.25">
      <c r="S10385" s="78">
        <v>37772</v>
      </c>
      <c r="T10385" s="29">
        <v>3.75</v>
      </c>
    </row>
    <row r="10386" spans="19:20" x14ac:dyDescent="0.25">
      <c r="S10386" s="78">
        <v>37773</v>
      </c>
      <c r="T10386" s="29">
        <v>3.75</v>
      </c>
    </row>
    <row r="10387" spans="19:20" x14ac:dyDescent="0.25">
      <c r="S10387" s="78">
        <v>37774</v>
      </c>
      <c r="T10387" s="29">
        <v>3.75</v>
      </c>
    </row>
    <row r="10388" spans="19:20" x14ac:dyDescent="0.25">
      <c r="S10388" s="78">
        <v>37775</v>
      </c>
      <c r="T10388" s="29">
        <v>3.75</v>
      </c>
    </row>
    <row r="10389" spans="19:20" x14ac:dyDescent="0.25">
      <c r="S10389" s="78">
        <v>37776</v>
      </c>
      <c r="T10389" s="29">
        <v>3.75</v>
      </c>
    </row>
    <row r="10390" spans="19:20" x14ac:dyDescent="0.25">
      <c r="S10390" s="78">
        <v>37777</v>
      </c>
      <c r="T10390" s="29">
        <v>3.75</v>
      </c>
    </row>
    <row r="10391" spans="19:20" x14ac:dyDescent="0.25">
      <c r="S10391" s="78">
        <v>37778</v>
      </c>
      <c r="T10391" s="29">
        <v>3.75</v>
      </c>
    </row>
    <row r="10392" spans="19:20" x14ac:dyDescent="0.25">
      <c r="S10392" s="78">
        <v>37779</v>
      </c>
      <c r="T10392" s="29">
        <v>3.75</v>
      </c>
    </row>
    <row r="10393" spans="19:20" x14ac:dyDescent="0.25">
      <c r="S10393" s="78">
        <v>37780</v>
      </c>
      <c r="T10393" s="29">
        <v>3.75</v>
      </c>
    </row>
    <row r="10394" spans="19:20" x14ac:dyDescent="0.25">
      <c r="S10394" s="78">
        <v>37781</v>
      </c>
      <c r="T10394" s="29">
        <v>3.75</v>
      </c>
    </row>
    <row r="10395" spans="19:20" x14ac:dyDescent="0.25">
      <c r="S10395" s="78">
        <v>37782</v>
      </c>
      <c r="T10395" s="29">
        <v>3.75</v>
      </c>
    </row>
    <row r="10396" spans="19:20" x14ac:dyDescent="0.25">
      <c r="S10396" s="78">
        <v>37783</v>
      </c>
      <c r="T10396" s="29">
        <v>3.75</v>
      </c>
    </row>
    <row r="10397" spans="19:20" x14ac:dyDescent="0.25">
      <c r="S10397" s="78">
        <v>37784</v>
      </c>
      <c r="T10397" s="29">
        <v>3.75</v>
      </c>
    </row>
    <row r="10398" spans="19:20" x14ac:dyDescent="0.25">
      <c r="S10398" s="78">
        <v>37785</v>
      </c>
      <c r="T10398" s="29">
        <v>3.75</v>
      </c>
    </row>
    <row r="10399" spans="19:20" x14ac:dyDescent="0.25">
      <c r="S10399" s="78">
        <v>37786</v>
      </c>
      <c r="T10399" s="29">
        <v>3.75</v>
      </c>
    </row>
    <row r="10400" spans="19:20" x14ac:dyDescent="0.25">
      <c r="S10400" s="78">
        <v>37787</v>
      </c>
      <c r="T10400" s="29">
        <v>3.75</v>
      </c>
    </row>
    <row r="10401" spans="19:21" x14ac:dyDescent="0.25">
      <c r="S10401" s="78">
        <v>37788</v>
      </c>
      <c r="T10401" s="29">
        <v>3.75</v>
      </c>
    </row>
    <row r="10402" spans="19:21" x14ac:dyDescent="0.25">
      <c r="S10402" s="78">
        <v>37789</v>
      </c>
      <c r="T10402" s="29">
        <v>3.75</v>
      </c>
    </row>
    <row r="10403" spans="19:21" x14ac:dyDescent="0.25">
      <c r="S10403" s="78">
        <v>37790</v>
      </c>
      <c r="T10403" s="29">
        <v>3.75</v>
      </c>
    </row>
    <row r="10404" spans="19:21" x14ac:dyDescent="0.25">
      <c r="S10404" s="78">
        <v>37791</v>
      </c>
      <c r="T10404" s="29">
        <v>3.75</v>
      </c>
    </row>
    <row r="10405" spans="19:21" x14ac:dyDescent="0.25">
      <c r="S10405" s="78">
        <v>37792</v>
      </c>
      <c r="T10405" s="29">
        <v>3.75</v>
      </c>
    </row>
    <row r="10406" spans="19:21" x14ac:dyDescent="0.25">
      <c r="S10406" s="78">
        <v>37793</v>
      </c>
      <c r="T10406" s="29">
        <v>3.75</v>
      </c>
    </row>
    <row r="10407" spans="19:21" x14ac:dyDescent="0.25">
      <c r="S10407" s="78">
        <v>37794</v>
      </c>
      <c r="T10407" s="29">
        <v>3.75</v>
      </c>
    </row>
    <row r="10408" spans="19:21" x14ac:dyDescent="0.25">
      <c r="S10408" s="78">
        <v>37795</v>
      </c>
      <c r="T10408" s="29">
        <v>3.75</v>
      </c>
    </row>
    <row r="10409" spans="19:21" x14ac:dyDescent="0.25">
      <c r="S10409" s="78">
        <v>37796</v>
      </c>
      <c r="T10409" s="29">
        <v>3.75</v>
      </c>
    </row>
    <row r="10410" spans="19:21" x14ac:dyDescent="0.25">
      <c r="S10410" s="78">
        <v>37797</v>
      </c>
      <c r="T10410" s="29">
        <v>3.75</v>
      </c>
    </row>
    <row r="10411" spans="19:21" x14ac:dyDescent="0.25">
      <c r="S10411" s="78">
        <v>37798</v>
      </c>
      <c r="T10411" s="29">
        <v>3.75</v>
      </c>
    </row>
    <row r="10412" spans="19:21" x14ac:dyDescent="0.25">
      <c r="S10412" s="78">
        <v>37799</v>
      </c>
      <c r="T10412" s="29">
        <v>3.75</v>
      </c>
    </row>
    <row r="10413" spans="19:21" x14ac:dyDescent="0.25">
      <c r="S10413" s="78">
        <v>37800</v>
      </c>
      <c r="T10413" s="29">
        <v>3.75</v>
      </c>
    </row>
    <row r="10414" spans="19:21" x14ac:dyDescent="0.25">
      <c r="S10414" s="78">
        <v>37801</v>
      </c>
      <c r="T10414" s="29">
        <v>3.75</v>
      </c>
    </row>
    <row r="10415" spans="19:21" x14ac:dyDescent="0.25">
      <c r="S10415" s="78">
        <v>37802</v>
      </c>
      <c r="T10415" s="29">
        <v>3.75</v>
      </c>
      <c r="U10415" s="40">
        <f>AVERAGE(T10325:T10415)</f>
        <v>3.75</v>
      </c>
    </row>
    <row r="10416" spans="19:21" x14ac:dyDescent="0.25">
      <c r="S10416" s="78">
        <v>37803</v>
      </c>
      <c r="T10416" s="29">
        <v>3.75</v>
      </c>
    </row>
    <row r="10417" spans="19:20" x14ac:dyDescent="0.25">
      <c r="S10417" s="78">
        <v>37804</v>
      </c>
      <c r="T10417" s="29">
        <v>3.75</v>
      </c>
    </row>
    <row r="10418" spans="19:20" x14ac:dyDescent="0.25">
      <c r="S10418" s="78">
        <v>37805</v>
      </c>
      <c r="T10418" s="29">
        <v>3.75</v>
      </c>
    </row>
    <row r="10419" spans="19:20" x14ac:dyDescent="0.25">
      <c r="S10419" s="78">
        <v>37806</v>
      </c>
      <c r="T10419" s="29">
        <v>3.75</v>
      </c>
    </row>
    <row r="10420" spans="19:20" x14ac:dyDescent="0.25">
      <c r="S10420" s="78">
        <v>37807</v>
      </c>
      <c r="T10420" s="29">
        <v>3.75</v>
      </c>
    </row>
    <row r="10421" spans="19:20" x14ac:dyDescent="0.25">
      <c r="S10421" s="78">
        <v>37808</v>
      </c>
      <c r="T10421" s="29">
        <v>3.75</v>
      </c>
    </row>
    <row r="10422" spans="19:20" x14ac:dyDescent="0.25">
      <c r="S10422" s="78">
        <v>37809</v>
      </c>
      <c r="T10422" s="29">
        <v>3.75</v>
      </c>
    </row>
    <row r="10423" spans="19:20" x14ac:dyDescent="0.25">
      <c r="S10423" s="78">
        <v>37810</v>
      </c>
      <c r="T10423" s="29">
        <v>3.75</v>
      </c>
    </row>
    <row r="10424" spans="19:20" x14ac:dyDescent="0.25">
      <c r="S10424" s="78">
        <v>37811</v>
      </c>
      <c r="T10424" s="29">
        <v>3.75</v>
      </c>
    </row>
    <row r="10425" spans="19:20" x14ac:dyDescent="0.25">
      <c r="S10425" s="78">
        <v>37812</v>
      </c>
      <c r="T10425" s="29">
        <v>3.5</v>
      </c>
    </row>
    <row r="10426" spans="19:20" x14ac:dyDescent="0.25">
      <c r="S10426" s="78">
        <v>37813</v>
      </c>
      <c r="T10426" s="29">
        <v>3.5</v>
      </c>
    </row>
    <row r="10427" spans="19:20" x14ac:dyDescent="0.25">
      <c r="S10427" s="78">
        <v>37814</v>
      </c>
      <c r="T10427" s="29">
        <v>3.5</v>
      </c>
    </row>
    <row r="10428" spans="19:20" x14ac:dyDescent="0.25">
      <c r="S10428" s="78">
        <v>37815</v>
      </c>
      <c r="T10428" s="29">
        <v>3.5</v>
      </c>
    </row>
    <row r="10429" spans="19:20" x14ac:dyDescent="0.25">
      <c r="S10429" s="78">
        <v>37816</v>
      </c>
      <c r="T10429" s="29">
        <v>3.5</v>
      </c>
    </row>
    <row r="10430" spans="19:20" x14ac:dyDescent="0.25">
      <c r="S10430" s="78">
        <v>37817</v>
      </c>
      <c r="T10430" s="29">
        <v>3.5</v>
      </c>
    </row>
    <row r="10431" spans="19:20" x14ac:dyDescent="0.25">
      <c r="S10431" s="78">
        <v>37818</v>
      </c>
      <c r="T10431" s="29">
        <v>3.5</v>
      </c>
    </row>
    <row r="10432" spans="19:20" x14ac:dyDescent="0.25">
      <c r="S10432" s="78">
        <v>37819</v>
      </c>
      <c r="T10432" s="29">
        <v>3.5</v>
      </c>
    </row>
    <row r="10433" spans="19:20" x14ac:dyDescent="0.25">
      <c r="S10433" s="78">
        <v>37820</v>
      </c>
      <c r="T10433" s="29">
        <v>3.5</v>
      </c>
    </row>
    <row r="10434" spans="19:20" x14ac:dyDescent="0.25">
      <c r="S10434" s="78">
        <v>37821</v>
      </c>
      <c r="T10434" s="29">
        <v>3.5</v>
      </c>
    </row>
    <row r="10435" spans="19:20" x14ac:dyDescent="0.25">
      <c r="S10435" s="78">
        <v>37822</v>
      </c>
      <c r="T10435" s="29">
        <v>3.5</v>
      </c>
    </row>
    <row r="10436" spans="19:20" x14ac:dyDescent="0.25">
      <c r="S10436" s="78">
        <v>37823</v>
      </c>
      <c r="T10436" s="29">
        <v>3.5</v>
      </c>
    </row>
    <row r="10437" spans="19:20" x14ac:dyDescent="0.25">
      <c r="S10437" s="78">
        <v>37824</v>
      </c>
      <c r="T10437" s="29">
        <v>3.5</v>
      </c>
    </row>
    <row r="10438" spans="19:20" x14ac:dyDescent="0.25">
      <c r="S10438" s="78">
        <v>37825</v>
      </c>
      <c r="T10438" s="29">
        <v>3.5</v>
      </c>
    </row>
    <row r="10439" spans="19:20" x14ac:dyDescent="0.25">
      <c r="S10439" s="78">
        <v>37826</v>
      </c>
      <c r="T10439" s="29">
        <v>3.5</v>
      </c>
    </row>
    <row r="10440" spans="19:20" x14ac:dyDescent="0.25">
      <c r="S10440" s="78">
        <v>37827</v>
      </c>
      <c r="T10440" s="29">
        <v>3.5</v>
      </c>
    </row>
    <row r="10441" spans="19:20" x14ac:dyDescent="0.25">
      <c r="S10441" s="78">
        <v>37828</v>
      </c>
      <c r="T10441" s="29">
        <v>3.5</v>
      </c>
    </row>
    <row r="10442" spans="19:20" x14ac:dyDescent="0.25">
      <c r="S10442" s="78">
        <v>37829</v>
      </c>
      <c r="T10442" s="29">
        <v>3.5</v>
      </c>
    </row>
    <row r="10443" spans="19:20" x14ac:dyDescent="0.25">
      <c r="S10443" s="78">
        <v>37830</v>
      </c>
      <c r="T10443" s="29">
        <v>3.5</v>
      </c>
    </row>
    <row r="10444" spans="19:20" x14ac:dyDescent="0.25">
      <c r="S10444" s="78">
        <v>37831</v>
      </c>
      <c r="T10444" s="29">
        <v>3.5</v>
      </c>
    </row>
    <row r="10445" spans="19:20" x14ac:dyDescent="0.25">
      <c r="S10445" s="78">
        <v>37832</v>
      </c>
      <c r="T10445" s="29">
        <v>3.5</v>
      </c>
    </row>
    <row r="10446" spans="19:20" x14ac:dyDescent="0.25">
      <c r="S10446" s="78">
        <v>37833</v>
      </c>
      <c r="T10446" s="29">
        <v>3.5</v>
      </c>
    </row>
    <row r="10447" spans="19:20" x14ac:dyDescent="0.25">
      <c r="S10447" s="78">
        <v>37834</v>
      </c>
      <c r="T10447" s="29">
        <v>3.5</v>
      </c>
    </row>
    <row r="10448" spans="19:20" x14ac:dyDescent="0.25">
      <c r="S10448" s="78">
        <v>37835</v>
      </c>
      <c r="T10448" s="29">
        <v>3.5</v>
      </c>
    </row>
    <row r="10449" spans="19:20" x14ac:dyDescent="0.25">
      <c r="S10449" s="78">
        <v>37836</v>
      </c>
      <c r="T10449" s="29">
        <v>3.5</v>
      </c>
    </row>
    <row r="10450" spans="19:20" x14ac:dyDescent="0.25">
      <c r="S10450" s="78">
        <v>37837</v>
      </c>
      <c r="T10450" s="29">
        <v>3.5</v>
      </c>
    </row>
    <row r="10451" spans="19:20" x14ac:dyDescent="0.25">
      <c r="S10451" s="78">
        <v>37838</v>
      </c>
      <c r="T10451" s="29">
        <v>3.5</v>
      </c>
    </row>
    <row r="10452" spans="19:20" x14ac:dyDescent="0.25">
      <c r="S10452" s="78">
        <v>37839</v>
      </c>
      <c r="T10452" s="29">
        <v>3.5</v>
      </c>
    </row>
    <row r="10453" spans="19:20" x14ac:dyDescent="0.25">
      <c r="S10453" s="78">
        <v>37840</v>
      </c>
      <c r="T10453" s="29">
        <v>3.5</v>
      </c>
    </row>
    <row r="10454" spans="19:20" x14ac:dyDescent="0.25">
      <c r="S10454" s="78">
        <v>37841</v>
      </c>
      <c r="T10454" s="29">
        <v>3.5</v>
      </c>
    </row>
    <row r="10455" spans="19:20" x14ac:dyDescent="0.25">
      <c r="S10455" s="78">
        <v>37842</v>
      </c>
      <c r="T10455" s="29">
        <v>3.5</v>
      </c>
    </row>
    <row r="10456" spans="19:20" x14ac:dyDescent="0.25">
      <c r="S10456" s="78">
        <v>37843</v>
      </c>
      <c r="T10456" s="29">
        <v>3.5</v>
      </c>
    </row>
    <row r="10457" spans="19:20" x14ac:dyDescent="0.25">
      <c r="S10457" s="78">
        <v>37844</v>
      </c>
      <c r="T10457" s="29">
        <v>3.5</v>
      </c>
    </row>
    <row r="10458" spans="19:20" x14ac:dyDescent="0.25">
      <c r="S10458" s="78">
        <v>37845</v>
      </c>
      <c r="T10458" s="29">
        <v>3.5</v>
      </c>
    </row>
    <row r="10459" spans="19:20" x14ac:dyDescent="0.25">
      <c r="S10459" s="78">
        <v>37846</v>
      </c>
      <c r="T10459" s="29">
        <v>3.5</v>
      </c>
    </row>
    <row r="10460" spans="19:20" x14ac:dyDescent="0.25">
      <c r="S10460" s="78">
        <v>37847</v>
      </c>
      <c r="T10460" s="29">
        <v>3.5</v>
      </c>
    </row>
    <row r="10461" spans="19:20" x14ac:dyDescent="0.25">
      <c r="S10461" s="78">
        <v>37848</v>
      </c>
      <c r="T10461" s="29">
        <v>3.5</v>
      </c>
    </row>
    <row r="10462" spans="19:20" x14ac:dyDescent="0.25">
      <c r="S10462" s="78">
        <v>37849</v>
      </c>
      <c r="T10462" s="29">
        <v>3.5</v>
      </c>
    </row>
    <row r="10463" spans="19:20" x14ac:dyDescent="0.25">
      <c r="S10463" s="78">
        <v>37850</v>
      </c>
      <c r="T10463" s="29">
        <v>3.5</v>
      </c>
    </row>
    <row r="10464" spans="19:20" x14ac:dyDescent="0.25">
      <c r="S10464" s="78">
        <v>37851</v>
      </c>
      <c r="T10464" s="29">
        <v>3.5</v>
      </c>
    </row>
    <row r="10465" spans="19:20" x14ac:dyDescent="0.25">
      <c r="S10465" s="78">
        <v>37852</v>
      </c>
      <c r="T10465" s="29">
        <v>3.5</v>
      </c>
    </row>
    <row r="10466" spans="19:20" x14ac:dyDescent="0.25">
      <c r="S10466" s="78">
        <v>37853</v>
      </c>
      <c r="T10466" s="29">
        <v>3.5</v>
      </c>
    </row>
    <row r="10467" spans="19:20" x14ac:dyDescent="0.25">
      <c r="S10467" s="78">
        <v>37854</v>
      </c>
      <c r="T10467" s="29">
        <v>3.5</v>
      </c>
    </row>
    <row r="10468" spans="19:20" x14ac:dyDescent="0.25">
      <c r="S10468" s="78">
        <v>37855</v>
      </c>
      <c r="T10468" s="29">
        <v>3.5</v>
      </c>
    </row>
    <row r="10469" spans="19:20" x14ac:dyDescent="0.25">
      <c r="S10469" s="78">
        <v>37856</v>
      </c>
      <c r="T10469" s="29">
        <v>3.5</v>
      </c>
    </row>
    <row r="10470" spans="19:20" x14ac:dyDescent="0.25">
      <c r="S10470" s="78">
        <v>37857</v>
      </c>
      <c r="T10470" s="29">
        <v>3.5</v>
      </c>
    </row>
    <row r="10471" spans="19:20" x14ac:dyDescent="0.25">
      <c r="S10471" s="78">
        <v>37858</v>
      </c>
      <c r="T10471" s="29">
        <v>3.5</v>
      </c>
    </row>
    <row r="10472" spans="19:20" x14ac:dyDescent="0.25">
      <c r="S10472" s="78">
        <v>37859</v>
      </c>
      <c r="T10472" s="29">
        <v>3.5</v>
      </c>
    </row>
    <row r="10473" spans="19:20" x14ac:dyDescent="0.25">
      <c r="S10473" s="78">
        <v>37860</v>
      </c>
      <c r="T10473" s="29">
        <v>3.5</v>
      </c>
    </row>
    <row r="10474" spans="19:20" x14ac:dyDescent="0.25">
      <c r="S10474" s="78">
        <v>37861</v>
      </c>
      <c r="T10474" s="29">
        <v>3.5</v>
      </c>
    </row>
    <row r="10475" spans="19:20" x14ac:dyDescent="0.25">
      <c r="S10475" s="78">
        <v>37862</v>
      </c>
      <c r="T10475" s="29">
        <v>3.5</v>
      </c>
    </row>
    <row r="10476" spans="19:20" x14ac:dyDescent="0.25">
      <c r="S10476" s="78">
        <v>37863</v>
      </c>
      <c r="T10476" s="29">
        <v>3.5</v>
      </c>
    </row>
    <row r="10477" spans="19:20" x14ac:dyDescent="0.25">
      <c r="S10477" s="78">
        <v>37864</v>
      </c>
      <c r="T10477" s="29">
        <v>3.5</v>
      </c>
    </row>
    <row r="10478" spans="19:20" x14ac:dyDescent="0.25">
      <c r="S10478" s="78">
        <v>37865</v>
      </c>
      <c r="T10478" s="29">
        <v>3.5</v>
      </c>
    </row>
    <row r="10479" spans="19:20" x14ac:dyDescent="0.25">
      <c r="S10479" s="78">
        <v>37866</v>
      </c>
      <c r="T10479" s="29">
        <v>3.5</v>
      </c>
    </row>
    <row r="10480" spans="19:20" x14ac:dyDescent="0.25">
      <c r="S10480" s="78">
        <v>37867</v>
      </c>
      <c r="T10480" s="29">
        <v>3.5</v>
      </c>
    </row>
    <row r="10481" spans="19:20" x14ac:dyDescent="0.25">
      <c r="S10481" s="78">
        <v>37868</v>
      </c>
      <c r="T10481" s="29">
        <v>3.5</v>
      </c>
    </row>
    <row r="10482" spans="19:20" x14ac:dyDescent="0.25">
      <c r="S10482" s="78">
        <v>37869</v>
      </c>
      <c r="T10482" s="29">
        <v>3.5</v>
      </c>
    </row>
    <row r="10483" spans="19:20" x14ac:dyDescent="0.25">
      <c r="S10483" s="78">
        <v>37870</v>
      </c>
      <c r="T10483" s="29">
        <v>3.5</v>
      </c>
    </row>
    <row r="10484" spans="19:20" x14ac:dyDescent="0.25">
      <c r="S10484" s="78">
        <v>37871</v>
      </c>
      <c r="T10484" s="29">
        <v>3.5</v>
      </c>
    </row>
    <row r="10485" spans="19:20" x14ac:dyDescent="0.25">
      <c r="S10485" s="78">
        <v>37872</v>
      </c>
      <c r="T10485" s="29">
        <v>3.5</v>
      </c>
    </row>
    <row r="10486" spans="19:20" x14ac:dyDescent="0.25">
      <c r="S10486" s="78">
        <v>37873</v>
      </c>
      <c r="T10486" s="29">
        <v>3.5</v>
      </c>
    </row>
    <row r="10487" spans="19:20" x14ac:dyDescent="0.25">
      <c r="S10487" s="78">
        <v>37874</v>
      </c>
      <c r="T10487" s="29">
        <v>3.5</v>
      </c>
    </row>
    <row r="10488" spans="19:20" x14ac:dyDescent="0.25">
      <c r="S10488" s="78">
        <v>37875</v>
      </c>
      <c r="T10488" s="29">
        <v>3.5</v>
      </c>
    </row>
    <row r="10489" spans="19:20" x14ac:dyDescent="0.25">
      <c r="S10489" s="78">
        <v>37876</v>
      </c>
      <c r="T10489" s="29">
        <v>3.5</v>
      </c>
    </row>
    <row r="10490" spans="19:20" x14ac:dyDescent="0.25">
      <c r="S10490" s="78">
        <v>37877</v>
      </c>
      <c r="T10490" s="29">
        <v>3.5</v>
      </c>
    </row>
    <row r="10491" spans="19:20" x14ac:dyDescent="0.25">
      <c r="S10491" s="78">
        <v>37878</v>
      </c>
      <c r="T10491" s="29">
        <v>3.5</v>
      </c>
    </row>
    <row r="10492" spans="19:20" x14ac:dyDescent="0.25">
      <c r="S10492" s="78">
        <v>37879</v>
      </c>
      <c r="T10492" s="29">
        <v>3.5</v>
      </c>
    </row>
    <row r="10493" spans="19:20" x14ac:dyDescent="0.25">
      <c r="S10493" s="78">
        <v>37880</v>
      </c>
      <c r="T10493" s="29">
        <v>3.5</v>
      </c>
    </row>
    <row r="10494" spans="19:20" x14ac:dyDescent="0.25">
      <c r="S10494" s="78">
        <v>37881</v>
      </c>
      <c r="T10494" s="29">
        <v>3.5</v>
      </c>
    </row>
    <row r="10495" spans="19:20" x14ac:dyDescent="0.25">
      <c r="S10495" s="78">
        <v>37882</v>
      </c>
      <c r="T10495" s="29">
        <v>3.5</v>
      </c>
    </row>
    <row r="10496" spans="19:20" x14ac:dyDescent="0.25">
      <c r="S10496" s="78">
        <v>37883</v>
      </c>
      <c r="T10496" s="29">
        <v>3.5</v>
      </c>
    </row>
    <row r="10497" spans="19:21" x14ac:dyDescent="0.25">
      <c r="S10497" s="78">
        <v>37884</v>
      </c>
      <c r="T10497" s="29">
        <v>3.5</v>
      </c>
    </row>
    <row r="10498" spans="19:21" x14ac:dyDescent="0.25">
      <c r="S10498" s="78">
        <v>37885</v>
      </c>
      <c r="T10498" s="29">
        <v>3.5</v>
      </c>
    </row>
    <row r="10499" spans="19:21" x14ac:dyDescent="0.25">
      <c r="S10499" s="78">
        <v>37886</v>
      </c>
      <c r="T10499" s="29">
        <v>3.5</v>
      </c>
    </row>
    <row r="10500" spans="19:21" x14ac:dyDescent="0.25">
      <c r="S10500" s="78">
        <v>37887</v>
      </c>
      <c r="T10500" s="29">
        <v>3.5</v>
      </c>
    </row>
    <row r="10501" spans="19:21" x14ac:dyDescent="0.25">
      <c r="S10501" s="78">
        <v>37888</v>
      </c>
      <c r="T10501" s="29">
        <v>3.5</v>
      </c>
    </row>
    <row r="10502" spans="19:21" x14ac:dyDescent="0.25">
      <c r="S10502" s="78">
        <v>37889</v>
      </c>
      <c r="T10502" s="29">
        <v>3.5</v>
      </c>
    </row>
    <row r="10503" spans="19:21" x14ac:dyDescent="0.25">
      <c r="S10503" s="78">
        <v>37890</v>
      </c>
      <c r="T10503" s="29">
        <v>3.5</v>
      </c>
    </row>
    <row r="10504" spans="19:21" x14ac:dyDescent="0.25">
      <c r="S10504" s="78">
        <v>37891</v>
      </c>
      <c r="T10504" s="29">
        <v>3.5</v>
      </c>
    </row>
    <row r="10505" spans="19:21" x14ac:dyDescent="0.25">
      <c r="S10505" s="78">
        <v>37892</v>
      </c>
      <c r="T10505" s="29">
        <v>3.5</v>
      </c>
    </row>
    <row r="10506" spans="19:21" x14ac:dyDescent="0.25">
      <c r="S10506" s="78">
        <v>37893</v>
      </c>
      <c r="T10506" s="29">
        <v>3.5</v>
      </c>
    </row>
    <row r="10507" spans="19:21" x14ac:dyDescent="0.25">
      <c r="S10507" s="78">
        <v>37894</v>
      </c>
      <c r="T10507" s="29">
        <v>3.5</v>
      </c>
      <c r="U10507" s="40">
        <f>AVERAGE(T10416:T10507)</f>
        <v>3.5244565217391304</v>
      </c>
    </row>
    <row r="10508" spans="19:21" x14ac:dyDescent="0.25">
      <c r="S10508" s="78">
        <v>37895</v>
      </c>
      <c r="T10508" s="29">
        <v>3.5</v>
      </c>
    </row>
    <row r="10509" spans="19:21" x14ac:dyDescent="0.25">
      <c r="S10509" s="78">
        <v>37896</v>
      </c>
      <c r="T10509" s="29">
        <v>3.5</v>
      </c>
    </row>
    <row r="10510" spans="19:21" x14ac:dyDescent="0.25">
      <c r="S10510" s="78">
        <v>37897</v>
      </c>
      <c r="T10510" s="29">
        <v>3.5</v>
      </c>
    </row>
    <row r="10511" spans="19:21" x14ac:dyDescent="0.25">
      <c r="S10511" s="78">
        <v>37898</v>
      </c>
      <c r="T10511" s="29">
        <v>3.5</v>
      </c>
    </row>
    <row r="10512" spans="19:21" x14ac:dyDescent="0.25">
      <c r="S10512" s="78">
        <v>37899</v>
      </c>
      <c r="T10512" s="29">
        <v>3.5</v>
      </c>
    </row>
    <row r="10513" spans="19:20" x14ac:dyDescent="0.25">
      <c r="S10513" s="78">
        <v>37900</v>
      </c>
      <c r="T10513" s="29">
        <v>3.5</v>
      </c>
    </row>
    <row r="10514" spans="19:20" x14ac:dyDescent="0.25">
      <c r="S10514" s="78">
        <v>37901</v>
      </c>
      <c r="T10514" s="29">
        <v>3.5</v>
      </c>
    </row>
    <row r="10515" spans="19:20" x14ac:dyDescent="0.25">
      <c r="S10515" s="78">
        <v>37902</v>
      </c>
      <c r="T10515" s="29">
        <v>3.5</v>
      </c>
    </row>
    <row r="10516" spans="19:20" x14ac:dyDescent="0.25">
      <c r="S10516" s="78">
        <v>37903</v>
      </c>
      <c r="T10516" s="29">
        <v>3.5</v>
      </c>
    </row>
    <row r="10517" spans="19:20" x14ac:dyDescent="0.25">
      <c r="S10517" s="78">
        <v>37904</v>
      </c>
      <c r="T10517" s="29">
        <v>3.5</v>
      </c>
    </row>
    <row r="10518" spans="19:20" x14ac:dyDescent="0.25">
      <c r="S10518" s="78">
        <v>37905</v>
      </c>
      <c r="T10518" s="29">
        <v>3.5</v>
      </c>
    </row>
    <row r="10519" spans="19:20" x14ac:dyDescent="0.25">
      <c r="S10519" s="78">
        <v>37906</v>
      </c>
      <c r="T10519" s="29">
        <v>3.5</v>
      </c>
    </row>
    <row r="10520" spans="19:20" x14ac:dyDescent="0.25">
      <c r="S10520" s="78">
        <v>37907</v>
      </c>
      <c r="T10520" s="29">
        <v>3.5</v>
      </c>
    </row>
    <row r="10521" spans="19:20" x14ac:dyDescent="0.25">
      <c r="S10521" s="78">
        <v>37908</v>
      </c>
      <c r="T10521" s="29">
        <v>3.5</v>
      </c>
    </row>
    <row r="10522" spans="19:20" x14ac:dyDescent="0.25">
      <c r="S10522" s="78">
        <v>37909</v>
      </c>
      <c r="T10522" s="29">
        <v>3.5</v>
      </c>
    </row>
    <row r="10523" spans="19:20" x14ac:dyDescent="0.25">
      <c r="S10523" s="78">
        <v>37910</v>
      </c>
      <c r="T10523" s="29">
        <v>3.5</v>
      </c>
    </row>
    <row r="10524" spans="19:20" x14ac:dyDescent="0.25">
      <c r="S10524" s="78">
        <v>37911</v>
      </c>
      <c r="T10524" s="29">
        <v>3.5</v>
      </c>
    </row>
    <row r="10525" spans="19:20" x14ac:dyDescent="0.25">
      <c r="S10525" s="78">
        <v>37912</v>
      </c>
      <c r="T10525" s="29">
        <v>3.5</v>
      </c>
    </row>
    <row r="10526" spans="19:20" x14ac:dyDescent="0.25">
      <c r="S10526" s="78">
        <v>37913</v>
      </c>
      <c r="T10526" s="29">
        <v>3.5</v>
      </c>
    </row>
    <row r="10527" spans="19:20" x14ac:dyDescent="0.25">
      <c r="S10527" s="78">
        <v>37914</v>
      </c>
      <c r="T10527" s="29">
        <v>3.5</v>
      </c>
    </row>
    <row r="10528" spans="19:20" x14ac:dyDescent="0.25">
      <c r="S10528" s="78">
        <v>37915</v>
      </c>
      <c r="T10528" s="29">
        <v>3.5</v>
      </c>
    </row>
    <row r="10529" spans="19:20" x14ac:dyDescent="0.25">
      <c r="S10529" s="78">
        <v>37916</v>
      </c>
      <c r="T10529" s="29">
        <v>3.5</v>
      </c>
    </row>
    <row r="10530" spans="19:20" x14ac:dyDescent="0.25">
      <c r="S10530" s="78">
        <v>37917</v>
      </c>
      <c r="T10530" s="29">
        <v>3.5</v>
      </c>
    </row>
    <row r="10531" spans="19:20" x14ac:dyDescent="0.25">
      <c r="S10531" s="78">
        <v>37918</v>
      </c>
      <c r="T10531" s="29">
        <v>3.5</v>
      </c>
    </row>
    <row r="10532" spans="19:20" x14ac:dyDescent="0.25">
      <c r="S10532" s="78">
        <v>37919</v>
      </c>
      <c r="T10532" s="29">
        <v>3.5</v>
      </c>
    </row>
    <row r="10533" spans="19:20" x14ac:dyDescent="0.25">
      <c r="S10533" s="78">
        <v>37920</v>
      </c>
      <c r="T10533" s="29">
        <v>3.5</v>
      </c>
    </row>
    <row r="10534" spans="19:20" x14ac:dyDescent="0.25">
      <c r="S10534" s="78">
        <v>37921</v>
      </c>
      <c r="T10534" s="29">
        <v>3.5</v>
      </c>
    </row>
    <row r="10535" spans="19:20" x14ac:dyDescent="0.25">
      <c r="S10535" s="78">
        <v>37922</v>
      </c>
      <c r="T10535" s="29">
        <v>3.5</v>
      </c>
    </row>
    <row r="10536" spans="19:20" x14ac:dyDescent="0.25">
      <c r="S10536" s="78">
        <v>37923</v>
      </c>
      <c r="T10536" s="29">
        <v>3.5</v>
      </c>
    </row>
    <row r="10537" spans="19:20" x14ac:dyDescent="0.25">
      <c r="S10537" s="78">
        <v>37924</v>
      </c>
      <c r="T10537" s="29">
        <v>3.5</v>
      </c>
    </row>
    <row r="10538" spans="19:20" x14ac:dyDescent="0.25">
      <c r="S10538" s="78">
        <v>37925</v>
      </c>
      <c r="T10538" s="29">
        <v>3.5</v>
      </c>
    </row>
    <row r="10539" spans="19:20" x14ac:dyDescent="0.25">
      <c r="S10539" s="78">
        <v>37926</v>
      </c>
      <c r="T10539" s="29">
        <v>3.5</v>
      </c>
    </row>
    <row r="10540" spans="19:20" x14ac:dyDescent="0.25">
      <c r="S10540" s="78">
        <v>37927</v>
      </c>
      <c r="T10540" s="29">
        <v>3.5</v>
      </c>
    </row>
    <row r="10541" spans="19:20" x14ac:dyDescent="0.25">
      <c r="S10541" s="78">
        <v>37928</v>
      </c>
      <c r="T10541" s="29">
        <v>3.5</v>
      </c>
    </row>
    <row r="10542" spans="19:20" x14ac:dyDescent="0.25">
      <c r="S10542" s="78">
        <v>37929</v>
      </c>
      <c r="T10542" s="29">
        <v>3.5</v>
      </c>
    </row>
    <row r="10543" spans="19:20" x14ac:dyDescent="0.25">
      <c r="S10543" s="78">
        <v>37930</v>
      </c>
      <c r="T10543" s="29">
        <v>3.5</v>
      </c>
    </row>
    <row r="10544" spans="19:20" x14ac:dyDescent="0.25">
      <c r="S10544" s="78">
        <v>37931</v>
      </c>
      <c r="T10544" s="29">
        <v>3.75</v>
      </c>
    </row>
    <row r="10545" spans="19:20" x14ac:dyDescent="0.25">
      <c r="S10545" s="78">
        <v>37932</v>
      </c>
      <c r="T10545" s="29">
        <v>3.75</v>
      </c>
    </row>
    <row r="10546" spans="19:20" x14ac:dyDescent="0.25">
      <c r="S10546" s="78">
        <v>37933</v>
      </c>
      <c r="T10546" s="29">
        <v>3.75</v>
      </c>
    </row>
    <row r="10547" spans="19:20" x14ac:dyDescent="0.25">
      <c r="S10547" s="78">
        <v>37934</v>
      </c>
      <c r="T10547" s="29">
        <v>3.75</v>
      </c>
    </row>
    <row r="10548" spans="19:20" x14ac:dyDescent="0.25">
      <c r="S10548" s="78">
        <v>37935</v>
      </c>
      <c r="T10548" s="29">
        <v>3.75</v>
      </c>
    </row>
    <row r="10549" spans="19:20" x14ac:dyDescent="0.25">
      <c r="S10549" s="78">
        <v>37936</v>
      </c>
      <c r="T10549" s="29">
        <v>3.75</v>
      </c>
    </row>
    <row r="10550" spans="19:20" x14ac:dyDescent="0.25">
      <c r="S10550" s="78">
        <v>37937</v>
      </c>
      <c r="T10550" s="29">
        <v>3.75</v>
      </c>
    </row>
    <row r="10551" spans="19:20" x14ac:dyDescent="0.25">
      <c r="S10551" s="78">
        <v>37938</v>
      </c>
      <c r="T10551" s="29">
        <v>3.75</v>
      </c>
    </row>
    <row r="10552" spans="19:20" x14ac:dyDescent="0.25">
      <c r="S10552" s="78">
        <v>37939</v>
      </c>
      <c r="T10552" s="29">
        <v>3.75</v>
      </c>
    </row>
    <row r="10553" spans="19:20" x14ac:dyDescent="0.25">
      <c r="S10553" s="78">
        <v>37940</v>
      </c>
      <c r="T10553" s="29">
        <v>3.75</v>
      </c>
    </row>
    <row r="10554" spans="19:20" x14ac:dyDescent="0.25">
      <c r="S10554" s="78">
        <v>37941</v>
      </c>
      <c r="T10554" s="29">
        <v>3.75</v>
      </c>
    </row>
    <row r="10555" spans="19:20" x14ac:dyDescent="0.25">
      <c r="S10555" s="78">
        <v>37942</v>
      </c>
      <c r="T10555" s="29">
        <v>3.75</v>
      </c>
    </row>
    <row r="10556" spans="19:20" x14ac:dyDescent="0.25">
      <c r="S10556" s="78">
        <v>37943</v>
      </c>
      <c r="T10556" s="29">
        <v>3.75</v>
      </c>
    </row>
    <row r="10557" spans="19:20" x14ac:dyDescent="0.25">
      <c r="S10557" s="78">
        <v>37944</v>
      </c>
      <c r="T10557" s="29">
        <v>3.75</v>
      </c>
    </row>
    <row r="10558" spans="19:20" x14ac:dyDescent="0.25">
      <c r="S10558" s="78">
        <v>37945</v>
      </c>
      <c r="T10558" s="29">
        <v>3.75</v>
      </c>
    </row>
    <row r="10559" spans="19:20" x14ac:dyDescent="0.25">
      <c r="S10559" s="78">
        <v>37946</v>
      </c>
      <c r="T10559" s="29">
        <v>3.75</v>
      </c>
    </row>
    <row r="10560" spans="19:20" x14ac:dyDescent="0.25">
      <c r="S10560" s="78">
        <v>37947</v>
      </c>
      <c r="T10560" s="29">
        <v>3.75</v>
      </c>
    </row>
    <row r="10561" spans="19:20" x14ac:dyDescent="0.25">
      <c r="S10561" s="78">
        <v>37948</v>
      </c>
      <c r="T10561" s="29">
        <v>3.75</v>
      </c>
    </row>
    <row r="10562" spans="19:20" x14ac:dyDescent="0.25">
      <c r="S10562" s="78">
        <v>37949</v>
      </c>
      <c r="T10562" s="29">
        <v>3.75</v>
      </c>
    </row>
    <row r="10563" spans="19:20" x14ac:dyDescent="0.25">
      <c r="S10563" s="78">
        <v>37950</v>
      </c>
      <c r="T10563" s="29">
        <v>3.75</v>
      </c>
    </row>
    <row r="10564" spans="19:20" x14ac:dyDescent="0.25">
      <c r="S10564" s="78">
        <v>37951</v>
      </c>
      <c r="T10564" s="29">
        <v>3.75</v>
      </c>
    </row>
    <row r="10565" spans="19:20" x14ac:dyDescent="0.25">
      <c r="S10565" s="78">
        <v>37952</v>
      </c>
      <c r="T10565" s="29">
        <v>3.75</v>
      </c>
    </row>
    <row r="10566" spans="19:20" x14ac:dyDescent="0.25">
      <c r="S10566" s="78">
        <v>37953</v>
      </c>
      <c r="T10566" s="29">
        <v>3.75</v>
      </c>
    </row>
    <row r="10567" spans="19:20" x14ac:dyDescent="0.25">
      <c r="S10567" s="78">
        <v>37954</v>
      </c>
      <c r="T10567" s="29">
        <v>3.75</v>
      </c>
    </row>
    <row r="10568" spans="19:20" x14ac:dyDescent="0.25">
      <c r="S10568" s="78">
        <v>37955</v>
      </c>
      <c r="T10568" s="29">
        <v>3.75</v>
      </c>
    </row>
    <row r="10569" spans="19:20" x14ac:dyDescent="0.25">
      <c r="S10569" s="78">
        <v>37956</v>
      </c>
      <c r="T10569" s="29">
        <v>3.75</v>
      </c>
    </row>
    <row r="10570" spans="19:20" x14ac:dyDescent="0.25">
      <c r="S10570" s="78">
        <v>37957</v>
      </c>
      <c r="T10570" s="29">
        <v>3.75</v>
      </c>
    </row>
    <row r="10571" spans="19:20" x14ac:dyDescent="0.25">
      <c r="S10571" s="78">
        <v>37958</v>
      </c>
      <c r="T10571" s="29">
        <v>3.75</v>
      </c>
    </row>
    <row r="10572" spans="19:20" x14ac:dyDescent="0.25">
      <c r="S10572" s="78">
        <v>37959</v>
      </c>
      <c r="T10572" s="29">
        <v>3.75</v>
      </c>
    </row>
    <row r="10573" spans="19:20" x14ac:dyDescent="0.25">
      <c r="S10573" s="78">
        <v>37960</v>
      </c>
      <c r="T10573" s="29">
        <v>3.75</v>
      </c>
    </row>
    <row r="10574" spans="19:20" x14ac:dyDescent="0.25">
      <c r="S10574" s="78">
        <v>37961</v>
      </c>
      <c r="T10574" s="29">
        <v>3.75</v>
      </c>
    </row>
    <row r="10575" spans="19:20" x14ac:dyDescent="0.25">
      <c r="S10575" s="78">
        <v>37962</v>
      </c>
      <c r="T10575" s="29">
        <v>3.75</v>
      </c>
    </row>
    <row r="10576" spans="19:20" x14ac:dyDescent="0.25">
      <c r="S10576" s="78">
        <v>37963</v>
      </c>
      <c r="T10576" s="29">
        <v>3.75</v>
      </c>
    </row>
    <row r="10577" spans="19:20" x14ac:dyDescent="0.25">
      <c r="S10577" s="78">
        <v>37964</v>
      </c>
      <c r="T10577" s="29">
        <v>3.75</v>
      </c>
    </row>
    <row r="10578" spans="19:20" x14ac:dyDescent="0.25">
      <c r="S10578" s="78">
        <v>37965</v>
      </c>
      <c r="T10578" s="29">
        <v>3.75</v>
      </c>
    </row>
    <row r="10579" spans="19:20" x14ac:dyDescent="0.25">
      <c r="S10579" s="78">
        <v>37966</v>
      </c>
      <c r="T10579" s="29">
        <v>3.75</v>
      </c>
    </row>
    <row r="10580" spans="19:20" x14ac:dyDescent="0.25">
      <c r="S10580" s="78">
        <v>37967</v>
      </c>
      <c r="T10580" s="29">
        <v>3.75</v>
      </c>
    </row>
    <row r="10581" spans="19:20" x14ac:dyDescent="0.25">
      <c r="S10581" s="78">
        <v>37968</v>
      </c>
      <c r="T10581" s="29">
        <v>3.75</v>
      </c>
    </row>
    <row r="10582" spans="19:20" x14ac:dyDescent="0.25">
      <c r="S10582" s="78">
        <v>37969</v>
      </c>
      <c r="T10582" s="29">
        <v>3.75</v>
      </c>
    </row>
    <row r="10583" spans="19:20" x14ac:dyDescent="0.25">
      <c r="S10583" s="78">
        <v>37970</v>
      </c>
      <c r="T10583" s="29">
        <v>3.75</v>
      </c>
    </row>
    <row r="10584" spans="19:20" x14ac:dyDescent="0.25">
      <c r="S10584" s="78">
        <v>37971</v>
      </c>
      <c r="T10584" s="29">
        <v>3.75</v>
      </c>
    </row>
    <row r="10585" spans="19:20" x14ac:dyDescent="0.25">
      <c r="S10585" s="78">
        <v>37972</v>
      </c>
      <c r="T10585" s="29">
        <v>3.75</v>
      </c>
    </row>
    <row r="10586" spans="19:20" x14ac:dyDescent="0.25">
      <c r="S10586" s="78">
        <v>37973</v>
      </c>
      <c r="T10586" s="29">
        <v>3.75</v>
      </c>
    </row>
    <row r="10587" spans="19:20" x14ac:dyDescent="0.25">
      <c r="S10587" s="78">
        <v>37974</v>
      </c>
      <c r="T10587" s="29">
        <v>3.75</v>
      </c>
    </row>
    <row r="10588" spans="19:20" x14ac:dyDescent="0.25">
      <c r="S10588" s="78">
        <v>37975</v>
      </c>
      <c r="T10588" s="29">
        <v>3.75</v>
      </c>
    </row>
    <row r="10589" spans="19:20" x14ac:dyDescent="0.25">
      <c r="S10589" s="78">
        <v>37976</v>
      </c>
      <c r="T10589" s="29">
        <v>3.75</v>
      </c>
    </row>
    <row r="10590" spans="19:20" x14ac:dyDescent="0.25">
      <c r="S10590" s="78">
        <v>37977</v>
      </c>
      <c r="T10590" s="29">
        <v>3.75</v>
      </c>
    </row>
    <row r="10591" spans="19:20" x14ac:dyDescent="0.25">
      <c r="S10591" s="78">
        <v>37978</v>
      </c>
      <c r="T10591" s="29">
        <v>3.75</v>
      </c>
    </row>
    <row r="10592" spans="19:20" x14ac:dyDescent="0.25">
      <c r="S10592" s="78">
        <v>37979</v>
      </c>
      <c r="T10592" s="29">
        <v>3.75</v>
      </c>
    </row>
    <row r="10593" spans="19:21" x14ac:dyDescent="0.25">
      <c r="S10593" s="78">
        <v>37980</v>
      </c>
      <c r="T10593" s="29">
        <v>3.75</v>
      </c>
    </row>
    <row r="10594" spans="19:21" x14ac:dyDescent="0.25">
      <c r="S10594" s="78">
        <v>37981</v>
      </c>
      <c r="T10594" s="29">
        <v>3.75</v>
      </c>
    </row>
    <row r="10595" spans="19:21" x14ac:dyDescent="0.25">
      <c r="S10595" s="78">
        <v>37982</v>
      </c>
      <c r="T10595" s="29">
        <v>3.75</v>
      </c>
    </row>
    <row r="10596" spans="19:21" x14ac:dyDescent="0.25">
      <c r="S10596" s="78">
        <v>37983</v>
      </c>
      <c r="T10596" s="29">
        <v>3.75</v>
      </c>
    </row>
    <row r="10597" spans="19:21" x14ac:dyDescent="0.25">
      <c r="S10597" s="78">
        <v>37984</v>
      </c>
      <c r="T10597" s="29">
        <v>3.75</v>
      </c>
    </row>
    <row r="10598" spans="19:21" x14ac:dyDescent="0.25">
      <c r="S10598" s="78">
        <v>37985</v>
      </c>
      <c r="T10598" s="29">
        <v>3.75</v>
      </c>
    </row>
    <row r="10599" spans="19:21" x14ac:dyDescent="0.25">
      <c r="S10599" s="78">
        <v>37986</v>
      </c>
      <c r="T10599" s="29">
        <v>3.75</v>
      </c>
      <c r="U10599" s="40">
        <f>AVERAGE(T10508:T10599)</f>
        <v>3.652173913043478</v>
      </c>
    </row>
    <row r="10600" spans="19:21" x14ac:dyDescent="0.25">
      <c r="S10600" s="78">
        <v>37987</v>
      </c>
      <c r="T10600" s="29">
        <v>3.75</v>
      </c>
    </row>
    <row r="10601" spans="19:21" x14ac:dyDescent="0.25">
      <c r="S10601" s="78">
        <v>37988</v>
      </c>
      <c r="T10601" s="29">
        <v>3.75</v>
      </c>
    </row>
    <row r="10602" spans="19:21" x14ac:dyDescent="0.25">
      <c r="S10602" s="78">
        <v>37989</v>
      </c>
      <c r="T10602" s="29">
        <v>3.75</v>
      </c>
    </row>
    <row r="10603" spans="19:21" x14ac:dyDescent="0.25">
      <c r="S10603" s="78">
        <v>37990</v>
      </c>
      <c r="T10603" s="29">
        <v>3.75</v>
      </c>
    </row>
    <row r="10604" spans="19:21" x14ac:dyDescent="0.25">
      <c r="S10604" s="78">
        <v>37991</v>
      </c>
      <c r="T10604" s="29">
        <v>3.75</v>
      </c>
    </row>
    <row r="10605" spans="19:21" x14ac:dyDescent="0.25">
      <c r="S10605" s="78">
        <v>37992</v>
      </c>
      <c r="T10605" s="29">
        <v>3.75</v>
      </c>
    </row>
    <row r="10606" spans="19:21" x14ac:dyDescent="0.25">
      <c r="S10606" s="78">
        <v>37993</v>
      </c>
      <c r="T10606" s="29">
        <v>3.75</v>
      </c>
    </row>
    <row r="10607" spans="19:21" x14ac:dyDescent="0.25">
      <c r="S10607" s="78">
        <v>37994</v>
      </c>
      <c r="T10607" s="29">
        <v>3.75</v>
      </c>
    </row>
    <row r="10608" spans="19:21" x14ac:dyDescent="0.25">
      <c r="S10608" s="78">
        <v>37995</v>
      </c>
      <c r="T10608" s="29">
        <v>3.75</v>
      </c>
    </row>
    <row r="10609" spans="19:20" x14ac:dyDescent="0.25">
      <c r="S10609" s="78">
        <v>37996</v>
      </c>
      <c r="T10609" s="29">
        <v>3.75</v>
      </c>
    </row>
    <row r="10610" spans="19:20" x14ac:dyDescent="0.25">
      <c r="S10610" s="78">
        <v>37997</v>
      </c>
      <c r="T10610" s="29">
        <v>3.75</v>
      </c>
    </row>
    <row r="10611" spans="19:20" x14ac:dyDescent="0.25">
      <c r="S10611" s="78">
        <v>37998</v>
      </c>
      <c r="T10611" s="29">
        <v>3.75</v>
      </c>
    </row>
    <row r="10612" spans="19:20" x14ac:dyDescent="0.25">
      <c r="S10612" s="78">
        <v>37999</v>
      </c>
      <c r="T10612" s="29">
        <v>3.75</v>
      </c>
    </row>
    <row r="10613" spans="19:20" x14ac:dyDescent="0.25">
      <c r="S10613" s="78">
        <v>38000</v>
      </c>
      <c r="T10613" s="29">
        <v>3.75</v>
      </c>
    </row>
    <row r="10614" spans="19:20" x14ac:dyDescent="0.25">
      <c r="S10614" s="78">
        <v>38001</v>
      </c>
      <c r="T10614" s="29">
        <v>3.75</v>
      </c>
    </row>
    <row r="10615" spans="19:20" x14ac:dyDescent="0.25">
      <c r="S10615" s="78">
        <v>38002</v>
      </c>
      <c r="T10615" s="29">
        <v>3.75</v>
      </c>
    </row>
    <row r="10616" spans="19:20" x14ac:dyDescent="0.25">
      <c r="S10616" s="78">
        <v>38003</v>
      </c>
      <c r="T10616" s="29">
        <v>3.75</v>
      </c>
    </row>
    <row r="10617" spans="19:20" x14ac:dyDescent="0.25">
      <c r="S10617" s="78">
        <v>38004</v>
      </c>
      <c r="T10617" s="29">
        <v>3.75</v>
      </c>
    </row>
    <row r="10618" spans="19:20" x14ac:dyDescent="0.25">
      <c r="S10618" s="78">
        <v>38005</v>
      </c>
      <c r="T10618" s="29">
        <v>3.75</v>
      </c>
    </row>
    <row r="10619" spans="19:20" x14ac:dyDescent="0.25">
      <c r="S10619" s="78">
        <v>38006</v>
      </c>
      <c r="T10619" s="29">
        <v>3.75</v>
      </c>
    </row>
    <row r="10620" spans="19:20" x14ac:dyDescent="0.25">
      <c r="S10620" s="78">
        <v>38007</v>
      </c>
      <c r="T10620" s="29">
        <v>3.75</v>
      </c>
    </row>
    <row r="10621" spans="19:20" x14ac:dyDescent="0.25">
      <c r="S10621" s="78">
        <v>38008</v>
      </c>
      <c r="T10621" s="29">
        <v>3.75</v>
      </c>
    </row>
    <row r="10622" spans="19:20" x14ac:dyDescent="0.25">
      <c r="S10622" s="78">
        <v>38009</v>
      </c>
      <c r="T10622" s="29">
        <v>3.75</v>
      </c>
    </row>
    <row r="10623" spans="19:20" x14ac:dyDescent="0.25">
      <c r="S10623" s="78">
        <v>38010</v>
      </c>
      <c r="T10623" s="29">
        <v>3.75</v>
      </c>
    </row>
    <row r="10624" spans="19:20" x14ac:dyDescent="0.25">
      <c r="S10624" s="78">
        <v>38011</v>
      </c>
      <c r="T10624" s="29">
        <v>3.75</v>
      </c>
    </row>
    <row r="10625" spans="19:20" x14ac:dyDescent="0.25">
      <c r="S10625" s="78">
        <v>38012</v>
      </c>
      <c r="T10625" s="29">
        <v>3.75</v>
      </c>
    </row>
    <row r="10626" spans="19:20" x14ac:dyDescent="0.25">
      <c r="S10626" s="78">
        <v>38013</v>
      </c>
      <c r="T10626" s="29">
        <v>3.75</v>
      </c>
    </row>
    <row r="10627" spans="19:20" x14ac:dyDescent="0.25">
      <c r="S10627" s="78">
        <v>38014</v>
      </c>
      <c r="T10627" s="29">
        <v>3.75</v>
      </c>
    </row>
    <row r="10628" spans="19:20" x14ac:dyDescent="0.25">
      <c r="S10628" s="78">
        <v>38015</v>
      </c>
      <c r="T10628" s="29">
        <v>3.75</v>
      </c>
    </row>
    <row r="10629" spans="19:20" x14ac:dyDescent="0.25">
      <c r="S10629" s="78">
        <v>38016</v>
      </c>
      <c r="T10629" s="29">
        <v>3.75</v>
      </c>
    </row>
    <row r="10630" spans="19:20" x14ac:dyDescent="0.25">
      <c r="S10630" s="78">
        <v>38017</v>
      </c>
      <c r="T10630" s="29">
        <v>3.75</v>
      </c>
    </row>
    <row r="10631" spans="19:20" x14ac:dyDescent="0.25">
      <c r="S10631" s="78">
        <v>38018</v>
      </c>
      <c r="T10631" s="29">
        <v>3.75</v>
      </c>
    </row>
    <row r="10632" spans="19:20" x14ac:dyDescent="0.25">
      <c r="S10632" s="78">
        <v>38019</v>
      </c>
      <c r="T10632" s="29">
        <v>3.75</v>
      </c>
    </row>
    <row r="10633" spans="19:20" x14ac:dyDescent="0.25">
      <c r="S10633" s="78">
        <v>38020</v>
      </c>
      <c r="T10633" s="29">
        <v>3.75</v>
      </c>
    </row>
    <row r="10634" spans="19:20" x14ac:dyDescent="0.25">
      <c r="S10634" s="78">
        <v>38021</v>
      </c>
      <c r="T10634" s="29">
        <v>3.75</v>
      </c>
    </row>
    <row r="10635" spans="19:20" x14ac:dyDescent="0.25">
      <c r="S10635" s="78">
        <v>38022</v>
      </c>
      <c r="T10635" s="29">
        <v>4</v>
      </c>
    </row>
    <row r="10636" spans="19:20" x14ac:dyDescent="0.25">
      <c r="S10636" s="78">
        <v>38023</v>
      </c>
      <c r="T10636" s="29">
        <v>4</v>
      </c>
    </row>
    <row r="10637" spans="19:20" x14ac:dyDescent="0.25">
      <c r="S10637" s="78">
        <v>38024</v>
      </c>
      <c r="T10637" s="29">
        <v>4</v>
      </c>
    </row>
    <row r="10638" spans="19:20" x14ac:dyDescent="0.25">
      <c r="S10638" s="78">
        <v>38025</v>
      </c>
      <c r="T10638" s="29">
        <v>4</v>
      </c>
    </row>
    <row r="10639" spans="19:20" x14ac:dyDescent="0.25">
      <c r="S10639" s="78">
        <v>38026</v>
      </c>
      <c r="T10639" s="29">
        <v>4</v>
      </c>
    </row>
    <row r="10640" spans="19:20" x14ac:dyDescent="0.25">
      <c r="S10640" s="78">
        <v>38027</v>
      </c>
      <c r="T10640" s="29">
        <v>4</v>
      </c>
    </row>
    <row r="10641" spans="19:20" x14ac:dyDescent="0.25">
      <c r="S10641" s="78">
        <v>38028</v>
      </c>
      <c r="T10641" s="29">
        <v>4</v>
      </c>
    </row>
    <row r="10642" spans="19:20" x14ac:dyDescent="0.25">
      <c r="S10642" s="78">
        <v>38029</v>
      </c>
      <c r="T10642" s="29">
        <v>4</v>
      </c>
    </row>
    <row r="10643" spans="19:20" x14ac:dyDescent="0.25">
      <c r="S10643" s="78">
        <v>38030</v>
      </c>
      <c r="T10643" s="29">
        <v>4</v>
      </c>
    </row>
    <row r="10644" spans="19:20" x14ac:dyDescent="0.25">
      <c r="S10644" s="78">
        <v>38031</v>
      </c>
      <c r="T10644" s="29">
        <v>4</v>
      </c>
    </row>
    <row r="10645" spans="19:20" x14ac:dyDescent="0.25">
      <c r="S10645" s="78">
        <v>38032</v>
      </c>
      <c r="T10645" s="29">
        <v>4</v>
      </c>
    </row>
    <row r="10646" spans="19:20" x14ac:dyDescent="0.25">
      <c r="S10646" s="78">
        <v>38033</v>
      </c>
      <c r="T10646" s="29">
        <v>4</v>
      </c>
    </row>
    <row r="10647" spans="19:20" x14ac:dyDescent="0.25">
      <c r="S10647" s="78">
        <v>38034</v>
      </c>
      <c r="T10647" s="29">
        <v>4</v>
      </c>
    </row>
    <row r="10648" spans="19:20" x14ac:dyDescent="0.25">
      <c r="S10648" s="78">
        <v>38035</v>
      </c>
      <c r="T10648" s="29">
        <v>4</v>
      </c>
    </row>
    <row r="10649" spans="19:20" x14ac:dyDescent="0.25">
      <c r="S10649" s="78">
        <v>38036</v>
      </c>
      <c r="T10649" s="29">
        <v>4</v>
      </c>
    </row>
    <row r="10650" spans="19:20" x14ac:dyDescent="0.25">
      <c r="S10650" s="78">
        <v>38037</v>
      </c>
      <c r="T10650" s="29">
        <v>4</v>
      </c>
    </row>
    <row r="10651" spans="19:20" x14ac:dyDescent="0.25">
      <c r="S10651" s="78">
        <v>38038</v>
      </c>
      <c r="T10651" s="29">
        <v>4</v>
      </c>
    </row>
    <row r="10652" spans="19:20" x14ac:dyDescent="0.25">
      <c r="S10652" s="78">
        <v>38039</v>
      </c>
      <c r="T10652" s="29">
        <v>4</v>
      </c>
    </row>
    <row r="10653" spans="19:20" x14ac:dyDescent="0.25">
      <c r="S10653" s="78">
        <v>38040</v>
      </c>
      <c r="T10653" s="29">
        <v>4</v>
      </c>
    </row>
    <row r="10654" spans="19:20" x14ac:dyDescent="0.25">
      <c r="S10654" s="78">
        <v>38041</v>
      </c>
      <c r="T10654" s="29">
        <v>4</v>
      </c>
    </row>
    <row r="10655" spans="19:20" x14ac:dyDescent="0.25">
      <c r="S10655" s="78">
        <v>38042</v>
      </c>
      <c r="T10655" s="29">
        <v>4</v>
      </c>
    </row>
    <row r="10656" spans="19:20" x14ac:dyDescent="0.25">
      <c r="S10656" s="78">
        <v>38043</v>
      </c>
      <c r="T10656" s="29">
        <v>4</v>
      </c>
    </row>
    <row r="10657" spans="19:20" x14ac:dyDescent="0.25">
      <c r="S10657" s="78">
        <v>38044</v>
      </c>
      <c r="T10657" s="29">
        <v>4</v>
      </c>
    </row>
    <row r="10658" spans="19:20" x14ac:dyDescent="0.25">
      <c r="S10658" s="78">
        <v>38045</v>
      </c>
      <c r="T10658" s="29">
        <v>4</v>
      </c>
    </row>
    <row r="10659" spans="19:20" x14ac:dyDescent="0.25">
      <c r="S10659" s="78">
        <v>38046</v>
      </c>
      <c r="T10659" s="29">
        <v>4</v>
      </c>
    </row>
    <row r="10660" spans="19:20" x14ac:dyDescent="0.25">
      <c r="S10660" s="78">
        <v>38047</v>
      </c>
      <c r="T10660" s="29">
        <v>4</v>
      </c>
    </row>
    <row r="10661" spans="19:20" x14ac:dyDescent="0.25">
      <c r="S10661" s="78">
        <v>38048</v>
      </c>
      <c r="T10661" s="29">
        <v>4</v>
      </c>
    </row>
    <row r="10662" spans="19:20" x14ac:dyDescent="0.25">
      <c r="S10662" s="78">
        <v>38049</v>
      </c>
      <c r="T10662" s="29">
        <v>4</v>
      </c>
    </row>
    <row r="10663" spans="19:20" x14ac:dyDescent="0.25">
      <c r="S10663" s="78">
        <v>38050</v>
      </c>
      <c r="T10663" s="29">
        <v>4</v>
      </c>
    </row>
    <row r="10664" spans="19:20" x14ac:dyDescent="0.25">
      <c r="S10664" s="78">
        <v>38051</v>
      </c>
      <c r="T10664" s="29">
        <v>4</v>
      </c>
    </row>
    <row r="10665" spans="19:20" x14ac:dyDescent="0.25">
      <c r="S10665" s="78">
        <v>38052</v>
      </c>
      <c r="T10665" s="29">
        <v>4</v>
      </c>
    </row>
    <row r="10666" spans="19:20" x14ac:dyDescent="0.25">
      <c r="S10666" s="78">
        <v>38053</v>
      </c>
      <c r="T10666" s="29">
        <v>4</v>
      </c>
    </row>
    <row r="10667" spans="19:20" x14ac:dyDescent="0.25">
      <c r="S10667" s="78">
        <v>38054</v>
      </c>
      <c r="T10667" s="29">
        <v>4</v>
      </c>
    </row>
    <row r="10668" spans="19:20" x14ac:dyDescent="0.25">
      <c r="S10668" s="78">
        <v>38055</v>
      </c>
      <c r="T10668" s="29">
        <v>4</v>
      </c>
    </row>
    <row r="10669" spans="19:20" x14ac:dyDescent="0.25">
      <c r="S10669" s="78">
        <v>38056</v>
      </c>
      <c r="T10669" s="29">
        <v>4</v>
      </c>
    </row>
    <row r="10670" spans="19:20" x14ac:dyDescent="0.25">
      <c r="S10670" s="78">
        <v>38057</v>
      </c>
      <c r="T10670" s="29">
        <v>4</v>
      </c>
    </row>
    <row r="10671" spans="19:20" x14ac:dyDescent="0.25">
      <c r="S10671" s="78">
        <v>38058</v>
      </c>
      <c r="T10671" s="29">
        <v>4</v>
      </c>
    </row>
    <row r="10672" spans="19:20" x14ac:dyDescent="0.25">
      <c r="S10672" s="78">
        <v>38059</v>
      </c>
      <c r="T10672" s="29">
        <v>4</v>
      </c>
    </row>
    <row r="10673" spans="19:20" x14ac:dyDescent="0.25">
      <c r="S10673" s="78">
        <v>38060</v>
      </c>
      <c r="T10673" s="29">
        <v>4</v>
      </c>
    </row>
    <row r="10674" spans="19:20" x14ac:dyDescent="0.25">
      <c r="S10674" s="78">
        <v>38061</v>
      </c>
      <c r="T10674" s="29">
        <v>4</v>
      </c>
    </row>
    <row r="10675" spans="19:20" x14ac:dyDescent="0.25">
      <c r="S10675" s="78">
        <v>38062</v>
      </c>
      <c r="T10675" s="29">
        <v>4</v>
      </c>
    </row>
    <row r="10676" spans="19:20" x14ac:dyDescent="0.25">
      <c r="S10676" s="78">
        <v>38063</v>
      </c>
      <c r="T10676" s="29">
        <v>4</v>
      </c>
    </row>
    <row r="10677" spans="19:20" x14ac:dyDescent="0.25">
      <c r="S10677" s="78">
        <v>38064</v>
      </c>
      <c r="T10677" s="29">
        <v>4</v>
      </c>
    </row>
    <row r="10678" spans="19:20" x14ac:dyDescent="0.25">
      <c r="S10678" s="78">
        <v>38065</v>
      </c>
      <c r="T10678" s="29">
        <v>4</v>
      </c>
    </row>
    <row r="10679" spans="19:20" x14ac:dyDescent="0.25">
      <c r="S10679" s="78">
        <v>38066</v>
      </c>
      <c r="T10679" s="29">
        <v>4</v>
      </c>
    </row>
    <row r="10680" spans="19:20" x14ac:dyDescent="0.25">
      <c r="S10680" s="78">
        <v>38067</v>
      </c>
      <c r="T10680" s="29">
        <v>4</v>
      </c>
    </row>
    <row r="10681" spans="19:20" x14ac:dyDescent="0.25">
      <c r="S10681" s="78">
        <v>38068</v>
      </c>
      <c r="T10681" s="29">
        <v>4</v>
      </c>
    </row>
    <row r="10682" spans="19:20" x14ac:dyDescent="0.25">
      <c r="S10682" s="78">
        <v>38069</v>
      </c>
      <c r="T10682" s="29">
        <v>4</v>
      </c>
    </row>
    <row r="10683" spans="19:20" x14ac:dyDescent="0.25">
      <c r="S10683" s="78">
        <v>38070</v>
      </c>
      <c r="T10683" s="29">
        <v>4</v>
      </c>
    </row>
    <row r="10684" spans="19:20" x14ac:dyDescent="0.25">
      <c r="S10684" s="78">
        <v>38071</v>
      </c>
      <c r="T10684" s="29">
        <v>4</v>
      </c>
    </row>
    <row r="10685" spans="19:20" x14ac:dyDescent="0.25">
      <c r="S10685" s="78">
        <v>38072</v>
      </c>
      <c r="T10685" s="29">
        <v>4</v>
      </c>
    </row>
    <row r="10686" spans="19:20" x14ac:dyDescent="0.25">
      <c r="S10686" s="78">
        <v>38073</v>
      </c>
      <c r="T10686" s="29">
        <v>4</v>
      </c>
    </row>
    <row r="10687" spans="19:20" x14ac:dyDescent="0.25">
      <c r="S10687" s="78">
        <v>38074</v>
      </c>
      <c r="T10687" s="29">
        <v>4</v>
      </c>
    </row>
    <row r="10688" spans="19:20" x14ac:dyDescent="0.25">
      <c r="S10688" s="78">
        <v>38075</v>
      </c>
      <c r="T10688" s="29">
        <v>4</v>
      </c>
    </row>
    <row r="10689" spans="19:21" x14ac:dyDescent="0.25">
      <c r="S10689" s="78">
        <v>38076</v>
      </c>
      <c r="T10689" s="29">
        <v>4</v>
      </c>
    </row>
    <row r="10690" spans="19:21" x14ac:dyDescent="0.25">
      <c r="S10690" s="78">
        <v>38077</v>
      </c>
      <c r="T10690" s="29">
        <v>4</v>
      </c>
      <c r="U10690" s="39">
        <f>AVERAGE(T10600:T10690)</f>
        <v>3.9038461538461537</v>
      </c>
    </row>
    <row r="10691" spans="19:21" x14ac:dyDescent="0.25">
      <c r="S10691" s="78">
        <v>38078</v>
      </c>
      <c r="T10691" s="29">
        <v>4</v>
      </c>
    </row>
    <row r="10692" spans="19:21" x14ac:dyDescent="0.25">
      <c r="S10692" s="78">
        <v>38079</v>
      </c>
      <c r="T10692" s="29">
        <v>4</v>
      </c>
    </row>
    <row r="10693" spans="19:21" x14ac:dyDescent="0.25">
      <c r="S10693" s="78">
        <v>38080</v>
      </c>
      <c r="T10693" s="29">
        <v>4</v>
      </c>
    </row>
    <row r="10694" spans="19:21" x14ac:dyDescent="0.25">
      <c r="S10694" s="78">
        <v>38081</v>
      </c>
      <c r="T10694" s="29">
        <v>4</v>
      </c>
    </row>
    <row r="10695" spans="19:21" x14ac:dyDescent="0.25">
      <c r="S10695" s="78">
        <v>38082</v>
      </c>
      <c r="T10695" s="29">
        <v>4</v>
      </c>
    </row>
    <row r="10696" spans="19:21" x14ac:dyDescent="0.25">
      <c r="S10696" s="78">
        <v>38083</v>
      </c>
      <c r="T10696" s="29">
        <v>4</v>
      </c>
    </row>
    <row r="10697" spans="19:21" x14ac:dyDescent="0.25">
      <c r="S10697" s="78">
        <v>38084</v>
      </c>
      <c r="T10697" s="29">
        <v>4</v>
      </c>
    </row>
    <row r="10698" spans="19:21" x14ac:dyDescent="0.25">
      <c r="S10698" s="78">
        <v>38085</v>
      </c>
      <c r="T10698" s="29">
        <v>4</v>
      </c>
    </row>
    <row r="10699" spans="19:21" x14ac:dyDescent="0.25">
      <c r="S10699" s="78">
        <v>38086</v>
      </c>
      <c r="T10699" s="29">
        <v>4</v>
      </c>
    </row>
    <row r="10700" spans="19:21" x14ac:dyDescent="0.25">
      <c r="S10700" s="78">
        <v>38087</v>
      </c>
      <c r="T10700" s="29">
        <v>4</v>
      </c>
    </row>
    <row r="10701" spans="19:21" x14ac:dyDescent="0.25">
      <c r="S10701" s="78">
        <v>38088</v>
      </c>
      <c r="T10701" s="29">
        <v>4</v>
      </c>
    </row>
    <row r="10702" spans="19:21" x14ac:dyDescent="0.25">
      <c r="S10702" s="78">
        <v>38089</v>
      </c>
      <c r="T10702" s="29">
        <v>4</v>
      </c>
    </row>
    <row r="10703" spans="19:21" x14ac:dyDescent="0.25">
      <c r="S10703" s="78">
        <v>38090</v>
      </c>
      <c r="T10703" s="29">
        <v>4</v>
      </c>
    </row>
    <row r="10704" spans="19:21" x14ac:dyDescent="0.25">
      <c r="S10704" s="78">
        <v>38091</v>
      </c>
      <c r="T10704" s="29">
        <v>4</v>
      </c>
    </row>
    <row r="10705" spans="19:20" x14ac:dyDescent="0.25">
      <c r="S10705" s="78">
        <v>38092</v>
      </c>
      <c r="T10705" s="29">
        <v>4</v>
      </c>
    </row>
    <row r="10706" spans="19:20" x14ac:dyDescent="0.25">
      <c r="S10706" s="78">
        <v>38093</v>
      </c>
      <c r="T10706" s="29">
        <v>4</v>
      </c>
    </row>
    <row r="10707" spans="19:20" x14ac:dyDescent="0.25">
      <c r="S10707" s="78">
        <v>38094</v>
      </c>
      <c r="T10707" s="29">
        <v>4</v>
      </c>
    </row>
    <row r="10708" spans="19:20" x14ac:dyDescent="0.25">
      <c r="S10708" s="78">
        <v>38095</v>
      </c>
      <c r="T10708" s="29">
        <v>4</v>
      </c>
    </row>
    <row r="10709" spans="19:20" x14ac:dyDescent="0.25">
      <c r="S10709" s="78">
        <v>38096</v>
      </c>
      <c r="T10709" s="29">
        <v>4</v>
      </c>
    </row>
    <row r="10710" spans="19:20" x14ac:dyDescent="0.25">
      <c r="S10710" s="78">
        <v>38097</v>
      </c>
      <c r="T10710" s="29">
        <v>4</v>
      </c>
    </row>
    <row r="10711" spans="19:20" x14ac:dyDescent="0.25">
      <c r="S10711" s="78">
        <v>38098</v>
      </c>
      <c r="T10711" s="29">
        <v>4</v>
      </c>
    </row>
    <row r="10712" spans="19:20" x14ac:dyDescent="0.25">
      <c r="S10712" s="78">
        <v>38099</v>
      </c>
      <c r="T10712" s="29">
        <v>4</v>
      </c>
    </row>
    <row r="10713" spans="19:20" x14ac:dyDescent="0.25">
      <c r="S10713" s="78">
        <v>38100</v>
      </c>
      <c r="T10713" s="29">
        <v>4</v>
      </c>
    </row>
    <row r="10714" spans="19:20" x14ac:dyDescent="0.25">
      <c r="S10714" s="78">
        <v>38101</v>
      </c>
      <c r="T10714" s="29">
        <v>4</v>
      </c>
    </row>
    <row r="10715" spans="19:20" x14ac:dyDescent="0.25">
      <c r="S10715" s="78">
        <v>38102</v>
      </c>
      <c r="T10715" s="29">
        <v>4</v>
      </c>
    </row>
    <row r="10716" spans="19:20" x14ac:dyDescent="0.25">
      <c r="S10716" s="78">
        <v>38103</v>
      </c>
      <c r="T10716" s="29">
        <v>4</v>
      </c>
    </row>
    <row r="10717" spans="19:20" x14ac:dyDescent="0.25">
      <c r="S10717" s="78">
        <v>38104</v>
      </c>
      <c r="T10717" s="29">
        <v>4</v>
      </c>
    </row>
    <row r="10718" spans="19:20" x14ac:dyDescent="0.25">
      <c r="S10718" s="78">
        <v>38105</v>
      </c>
      <c r="T10718" s="29">
        <v>4</v>
      </c>
    </row>
    <row r="10719" spans="19:20" x14ac:dyDescent="0.25">
      <c r="S10719" s="78">
        <v>38106</v>
      </c>
      <c r="T10719" s="29">
        <v>4</v>
      </c>
    </row>
    <row r="10720" spans="19:20" x14ac:dyDescent="0.25">
      <c r="S10720" s="78">
        <v>38107</v>
      </c>
      <c r="T10720" s="29">
        <v>4</v>
      </c>
    </row>
    <row r="10721" spans="19:20" x14ac:dyDescent="0.25">
      <c r="S10721" s="78">
        <v>38108</v>
      </c>
      <c r="T10721" s="29">
        <v>4</v>
      </c>
    </row>
    <row r="10722" spans="19:20" x14ac:dyDescent="0.25">
      <c r="S10722" s="78">
        <v>38109</v>
      </c>
      <c r="T10722" s="29">
        <v>4</v>
      </c>
    </row>
    <row r="10723" spans="19:20" x14ac:dyDescent="0.25">
      <c r="S10723" s="78">
        <v>38110</v>
      </c>
      <c r="T10723" s="29">
        <v>4</v>
      </c>
    </row>
    <row r="10724" spans="19:20" x14ac:dyDescent="0.25">
      <c r="S10724" s="78">
        <v>38111</v>
      </c>
      <c r="T10724" s="29">
        <v>4</v>
      </c>
    </row>
    <row r="10725" spans="19:20" x14ac:dyDescent="0.25">
      <c r="S10725" s="78">
        <v>38112</v>
      </c>
      <c r="T10725" s="29">
        <v>4</v>
      </c>
    </row>
    <row r="10726" spans="19:20" x14ac:dyDescent="0.25">
      <c r="S10726" s="78">
        <v>38113</v>
      </c>
      <c r="T10726" s="29">
        <v>4.25</v>
      </c>
    </row>
    <row r="10727" spans="19:20" x14ac:dyDescent="0.25">
      <c r="S10727" s="78">
        <v>38114</v>
      </c>
      <c r="T10727" s="29">
        <v>4.25</v>
      </c>
    </row>
    <row r="10728" spans="19:20" x14ac:dyDescent="0.25">
      <c r="S10728" s="78">
        <v>38115</v>
      </c>
      <c r="T10728" s="29">
        <v>4.25</v>
      </c>
    </row>
    <row r="10729" spans="19:20" x14ac:dyDescent="0.25">
      <c r="S10729" s="78">
        <v>38116</v>
      </c>
      <c r="T10729" s="29">
        <v>4.25</v>
      </c>
    </row>
    <row r="10730" spans="19:20" x14ac:dyDescent="0.25">
      <c r="S10730" s="78">
        <v>38117</v>
      </c>
      <c r="T10730" s="29">
        <v>4.25</v>
      </c>
    </row>
    <row r="10731" spans="19:20" x14ac:dyDescent="0.25">
      <c r="S10731" s="78">
        <v>38118</v>
      </c>
      <c r="T10731" s="29">
        <v>4.25</v>
      </c>
    </row>
    <row r="10732" spans="19:20" x14ac:dyDescent="0.25">
      <c r="S10732" s="78">
        <v>38119</v>
      </c>
      <c r="T10732" s="29">
        <v>4.25</v>
      </c>
    </row>
    <row r="10733" spans="19:20" x14ac:dyDescent="0.25">
      <c r="S10733" s="78">
        <v>38120</v>
      </c>
      <c r="T10733" s="29">
        <v>4.25</v>
      </c>
    </row>
    <row r="10734" spans="19:20" x14ac:dyDescent="0.25">
      <c r="S10734" s="78">
        <v>38121</v>
      </c>
      <c r="T10734" s="29">
        <v>4.25</v>
      </c>
    </row>
    <row r="10735" spans="19:20" x14ac:dyDescent="0.25">
      <c r="S10735" s="78">
        <v>38122</v>
      </c>
      <c r="T10735" s="29">
        <v>4.25</v>
      </c>
    </row>
    <row r="10736" spans="19:20" x14ac:dyDescent="0.25">
      <c r="S10736" s="78">
        <v>38123</v>
      </c>
      <c r="T10736" s="29">
        <v>4.25</v>
      </c>
    </row>
    <row r="10737" spans="19:20" x14ac:dyDescent="0.25">
      <c r="S10737" s="78">
        <v>38124</v>
      </c>
      <c r="T10737" s="29">
        <v>4.25</v>
      </c>
    </row>
    <row r="10738" spans="19:20" x14ac:dyDescent="0.25">
      <c r="S10738" s="78">
        <v>38125</v>
      </c>
      <c r="T10738" s="29">
        <v>4.25</v>
      </c>
    </row>
    <row r="10739" spans="19:20" x14ac:dyDescent="0.25">
      <c r="S10739" s="78">
        <v>38126</v>
      </c>
      <c r="T10739" s="29">
        <v>4.25</v>
      </c>
    </row>
    <row r="10740" spans="19:20" x14ac:dyDescent="0.25">
      <c r="S10740" s="78">
        <v>38127</v>
      </c>
      <c r="T10740" s="29">
        <v>4.25</v>
      </c>
    </row>
    <row r="10741" spans="19:20" x14ac:dyDescent="0.25">
      <c r="S10741" s="78">
        <v>38128</v>
      </c>
      <c r="T10741" s="29">
        <v>4.25</v>
      </c>
    </row>
    <row r="10742" spans="19:20" x14ac:dyDescent="0.25">
      <c r="S10742" s="78">
        <v>38129</v>
      </c>
      <c r="T10742" s="29">
        <v>4.25</v>
      </c>
    </row>
    <row r="10743" spans="19:20" x14ac:dyDescent="0.25">
      <c r="S10743" s="78">
        <v>38130</v>
      </c>
      <c r="T10743" s="29">
        <v>4.25</v>
      </c>
    </row>
    <row r="10744" spans="19:20" x14ac:dyDescent="0.25">
      <c r="S10744" s="78">
        <v>38131</v>
      </c>
      <c r="T10744" s="29">
        <v>4.25</v>
      </c>
    </row>
    <row r="10745" spans="19:20" x14ac:dyDescent="0.25">
      <c r="S10745" s="78">
        <v>38132</v>
      </c>
      <c r="T10745" s="29">
        <v>4.25</v>
      </c>
    </row>
    <row r="10746" spans="19:20" x14ac:dyDescent="0.25">
      <c r="S10746" s="78">
        <v>38133</v>
      </c>
      <c r="T10746" s="29">
        <v>4.25</v>
      </c>
    </row>
    <row r="10747" spans="19:20" x14ac:dyDescent="0.25">
      <c r="S10747" s="78">
        <v>38134</v>
      </c>
      <c r="T10747" s="29">
        <v>4.25</v>
      </c>
    </row>
    <row r="10748" spans="19:20" x14ac:dyDescent="0.25">
      <c r="S10748" s="78">
        <v>38135</v>
      </c>
      <c r="T10748" s="29">
        <v>4.25</v>
      </c>
    </row>
    <row r="10749" spans="19:20" x14ac:dyDescent="0.25">
      <c r="S10749" s="78">
        <v>38136</v>
      </c>
      <c r="T10749" s="29">
        <v>4.25</v>
      </c>
    </row>
    <row r="10750" spans="19:20" x14ac:dyDescent="0.25">
      <c r="S10750" s="78">
        <v>38137</v>
      </c>
      <c r="T10750" s="29">
        <v>4.25</v>
      </c>
    </row>
    <row r="10751" spans="19:20" x14ac:dyDescent="0.25">
      <c r="S10751" s="78">
        <v>38138</v>
      </c>
      <c r="T10751" s="29">
        <v>4.25</v>
      </c>
    </row>
    <row r="10752" spans="19:20" x14ac:dyDescent="0.25">
      <c r="S10752" s="78">
        <v>38139</v>
      </c>
      <c r="T10752" s="29">
        <v>4.25</v>
      </c>
    </row>
    <row r="10753" spans="19:20" x14ac:dyDescent="0.25">
      <c r="S10753" s="78">
        <v>38140</v>
      </c>
      <c r="T10753" s="29">
        <v>4.25</v>
      </c>
    </row>
    <row r="10754" spans="19:20" x14ac:dyDescent="0.25">
      <c r="S10754" s="78">
        <v>38141</v>
      </c>
      <c r="T10754" s="29">
        <v>4.25</v>
      </c>
    </row>
    <row r="10755" spans="19:20" x14ac:dyDescent="0.25">
      <c r="S10755" s="78">
        <v>38142</v>
      </c>
      <c r="T10755" s="29">
        <v>4.25</v>
      </c>
    </row>
    <row r="10756" spans="19:20" x14ac:dyDescent="0.25">
      <c r="S10756" s="78">
        <v>38143</v>
      </c>
      <c r="T10756" s="29">
        <v>4.25</v>
      </c>
    </row>
    <row r="10757" spans="19:20" x14ac:dyDescent="0.25">
      <c r="S10757" s="78">
        <v>38144</v>
      </c>
      <c r="T10757" s="29">
        <v>4.25</v>
      </c>
    </row>
    <row r="10758" spans="19:20" x14ac:dyDescent="0.25">
      <c r="S10758" s="78">
        <v>38145</v>
      </c>
      <c r="T10758" s="29">
        <v>4.25</v>
      </c>
    </row>
    <row r="10759" spans="19:20" x14ac:dyDescent="0.25">
      <c r="S10759" s="78">
        <v>38146</v>
      </c>
      <c r="T10759" s="29">
        <v>4.25</v>
      </c>
    </row>
    <row r="10760" spans="19:20" x14ac:dyDescent="0.25">
      <c r="S10760" s="78">
        <v>38147</v>
      </c>
      <c r="T10760" s="29">
        <v>4.25</v>
      </c>
    </row>
    <row r="10761" spans="19:20" x14ac:dyDescent="0.25">
      <c r="S10761" s="78">
        <v>38148</v>
      </c>
      <c r="T10761" s="29">
        <v>4.5</v>
      </c>
    </row>
    <row r="10762" spans="19:20" x14ac:dyDescent="0.25">
      <c r="S10762" s="78">
        <v>38149</v>
      </c>
      <c r="T10762" s="29">
        <v>4.5</v>
      </c>
    </row>
    <row r="10763" spans="19:20" x14ac:dyDescent="0.25">
      <c r="S10763" s="78">
        <v>38150</v>
      </c>
      <c r="T10763" s="29">
        <v>4.5</v>
      </c>
    </row>
    <row r="10764" spans="19:20" x14ac:dyDescent="0.25">
      <c r="S10764" s="78">
        <v>38151</v>
      </c>
      <c r="T10764" s="29">
        <v>4.5</v>
      </c>
    </row>
    <row r="10765" spans="19:20" x14ac:dyDescent="0.25">
      <c r="S10765" s="78">
        <v>38152</v>
      </c>
      <c r="T10765" s="29">
        <v>4.5</v>
      </c>
    </row>
    <row r="10766" spans="19:20" x14ac:dyDescent="0.25">
      <c r="S10766" s="78">
        <v>38153</v>
      </c>
      <c r="T10766" s="29">
        <v>4.5</v>
      </c>
    </row>
    <row r="10767" spans="19:20" x14ac:dyDescent="0.25">
      <c r="S10767" s="78">
        <v>38154</v>
      </c>
      <c r="T10767" s="29">
        <v>4.5</v>
      </c>
    </row>
    <row r="10768" spans="19:20" x14ac:dyDescent="0.25">
      <c r="S10768" s="78">
        <v>38155</v>
      </c>
      <c r="T10768" s="29">
        <v>4.5</v>
      </c>
    </row>
    <row r="10769" spans="19:21" x14ac:dyDescent="0.25">
      <c r="S10769" s="78">
        <v>38156</v>
      </c>
      <c r="T10769" s="29">
        <v>4.5</v>
      </c>
    </row>
    <row r="10770" spans="19:21" x14ac:dyDescent="0.25">
      <c r="S10770" s="78">
        <v>38157</v>
      </c>
      <c r="T10770" s="29">
        <v>4.5</v>
      </c>
    </row>
    <row r="10771" spans="19:21" x14ac:dyDescent="0.25">
      <c r="S10771" s="78">
        <v>38158</v>
      </c>
      <c r="T10771" s="29">
        <v>4.5</v>
      </c>
    </row>
    <row r="10772" spans="19:21" x14ac:dyDescent="0.25">
      <c r="S10772" s="78">
        <v>38159</v>
      </c>
      <c r="T10772" s="29">
        <v>4.5</v>
      </c>
    </row>
    <row r="10773" spans="19:21" x14ac:dyDescent="0.25">
      <c r="S10773" s="78">
        <v>38160</v>
      </c>
      <c r="T10773" s="29">
        <v>4.5</v>
      </c>
    </row>
    <row r="10774" spans="19:21" x14ac:dyDescent="0.25">
      <c r="S10774" s="78">
        <v>38161</v>
      </c>
      <c r="T10774" s="29">
        <v>4.5</v>
      </c>
    </row>
    <row r="10775" spans="19:21" x14ac:dyDescent="0.25">
      <c r="S10775" s="78">
        <v>38162</v>
      </c>
      <c r="T10775" s="29">
        <v>4.5</v>
      </c>
    </row>
    <row r="10776" spans="19:21" x14ac:dyDescent="0.25">
      <c r="S10776" s="78">
        <v>38163</v>
      </c>
      <c r="T10776" s="29">
        <v>4.5</v>
      </c>
    </row>
    <row r="10777" spans="19:21" x14ac:dyDescent="0.25">
      <c r="S10777" s="78">
        <v>38164</v>
      </c>
      <c r="T10777" s="29">
        <v>4.5</v>
      </c>
    </row>
    <row r="10778" spans="19:21" x14ac:dyDescent="0.25">
      <c r="S10778" s="78">
        <v>38165</v>
      </c>
      <c r="T10778" s="29">
        <v>4.5</v>
      </c>
    </row>
    <row r="10779" spans="19:21" x14ac:dyDescent="0.25">
      <c r="S10779" s="78">
        <v>38166</v>
      </c>
      <c r="T10779" s="29">
        <v>4.5</v>
      </c>
    </row>
    <row r="10780" spans="19:21" x14ac:dyDescent="0.25">
      <c r="S10780" s="78">
        <v>38167</v>
      </c>
      <c r="T10780" s="29">
        <v>4.5</v>
      </c>
      <c r="U10780" s="40"/>
    </row>
    <row r="10781" spans="19:21" x14ac:dyDescent="0.25">
      <c r="S10781" s="78">
        <v>38168</v>
      </c>
      <c r="T10781" s="29">
        <v>4.5</v>
      </c>
      <c r="U10781" s="40">
        <f>AVERAGE(T10691:T10781)</f>
        <v>4.2115384615384617</v>
      </c>
    </row>
    <row r="10782" spans="19:21" x14ac:dyDescent="0.25">
      <c r="S10782" s="78">
        <v>38169</v>
      </c>
      <c r="T10782" s="29">
        <v>4.5</v>
      </c>
    </row>
    <row r="10783" spans="19:21" x14ac:dyDescent="0.25">
      <c r="S10783" s="78">
        <v>38170</v>
      </c>
      <c r="T10783" s="29">
        <v>4.5</v>
      </c>
    </row>
    <row r="10784" spans="19:21" x14ac:dyDescent="0.25">
      <c r="S10784" s="78">
        <v>38171</v>
      </c>
      <c r="T10784" s="29">
        <v>4.5</v>
      </c>
    </row>
    <row r="10785" spans="19:20" x14ac:dyDescent="0.25">
      <c r="S10785" s="78">
        <v>38172</v>
      </c>
      <c r="T10785" s="29">
        <v>4.5</v>
      </c>
    </row>
    <row r="10786" spans="19:20" x14ac:dyDescent="0.25">
      <c r="S10786" s="78">
        <v>38173</v>
      </c>
      <c r="T10786" s="29">
        <v>4.5</v>
      </c>
    </row>
    <row r="10787" spans="19:20" x14ac:dyDescent="0.25">
      <c r="S10787" s="78">
        <v>38174</v>
      </c>
      <c r="T10787" s="29">
        <v>4.5</v>
      </c>
    </row>
    <row r="10788" spans="19:20" x14ac:dyDescent="0.25">
      <c r="S10788" s="78">
        <v>38175</v>
      </c>
      <c r="T10788" s="29">
        <v>4.5</v>
      </c>
    </row>
    <row r="10789" spans="19:20" x14ac:dyDescent="0.25">
      <c r="S10789" s="78">
        <v>38176</v>
      </c>
      <c r="T10789" s="29">
        <v>4.5</v>
      </c>
    </row>
    <row r="10790" spans="19:20" x14ac:dyDescent="0.25">
      <c r="S10790" s="78">
        <v>38177</v>
      </c>
      <c r="T10790" s="29">
        <v>4.5</v>
      </c>
    </row>
    <row r="10791" spans="19:20" x14ac:dyDescent="0.25">
      <c r="S10791" s="78">
        <v>38178</v>
      </c>
      <c r="T10791" s="29">
        <v>4.5</v>
      </c>
    </row>
    <row r="10792" spans="19:20" x14ac:dyDescent="0.25">
      <c r="S10792" s="78">
        <v>38179</v>
      </c>
      <c r="T10792" s="29">
        <v>4.5</v>
      </c>
    </row>
    <row r="10793" spans="19:20" x14ac:dyDescent="0.25">
      <c r="S10793" s="78">
        <v>38180</v>
      </c>
      <c r="T10793" s="29">
        <v>4.5</v>
      </c>
    </row>
    <row r="10794" spans="19:20" x14ac:dyDescent="0.25">
      <c r="S10794" s="78">
        <v>38181</v>
      </c>
      <c r="T10794" s="29">
        <v>4.5</v>
      </c>
    </row>
    <row r="10795" spans="19:20" x14ac:dyDescent="0.25">
      <c r="S10795" s="78">
        <v>38182</v>
      </c>
      <c r="T10795" s="29">
        <v>4.5</v>
      </c>
    </row>
    <row r="10796" spans="19:20" x14ac:dyDescent="0.25">
      <c r="S10796" s="78">
        <v>38183</v>
      </c>
      <c r="T10796" s="29">
        <v>4.5</v>
      </c>
    </row>
    <row r="10797" spans="19:20" x14ac:dyDescent="0.25">
      <c r="S10797" s="78">
        <v>38184</v>
      </c>
      <c r="T10797" s="29">
        <v>4.5</v>
      </c>
    </row>
    <row r="10798" spans="19:20" x14ac:dyDescent="0.25">
      <c r="S10798" s="78">
        <v>38185</v>
      </c>
      <c r="T10798" s="29">
        <v>4.5</v>
      </c>
    </row>
    <row r="10799" spans="19:20" x14ac:dyDescent="0.25">
      <c r="S10799" s="78">
        <v>38186</v>
      </c>
      <c r="T10799" s="29">
        <v>4.5</v>
      </c>
    </row>
    <row r="10800" spans="19:20" x14ac:dyDescent="0.25">
      <c r="S10800" s="78">
        <v>38187</v>
      </c>
      <c r="T10800" s="29">
        <v>4.5</v>
      </c>
    </row>
    <row r="10801" spans="19:20" x14ac:dyDescent="0.25">
      <c r="S10801" s="78">
        <v>38188</v>
      </c>
      <c r="T10801" s="29">
        <v>4.5</v>
      </c>
    </row>
    <row r="10802" spans="19:20" x14ac:dyDescent="0.25">
      <c r="S10802" s="78">
        <v>38189</v>
      </c>
      <c r="T10802" s="29">
        <v>4.5</v>
      </c>
    </row>
    <row r="10803" spans="19:20" x14ac:dyDescent="0.25">
      <c r="S10803" s="78">
        <v>38190</v>
      </c>
      <c r="T10803" s="29">
        <v>4.5</v>
      </c>
    </row>
    <row r="10804" spans="19:20" x14ac:dyDescent="0.25">
      <c r="S10804" s="78">
        <v>38191</v>
      </c>
      <c r="T10804" s="29">
        <v>4.5</v>
      </c>
    </row>
    <row r="10805" spans="19:20" x14ac:dyDescent="0.25">
      <c r="S10805" s="78">
        <v>38192</v>
      </c>
      <c r="T10805" s="29">
        <v>4.5</v>
      </c>
    </row>
    <row r="10806" spans="19:20" x14ac:dyDescent="0.25">
      <c r="S10806" s="78">
        <v>38193</v>
      </c>
      <c r="T10806" s="29">
        <v>4.5</v>
      </c>
    </row>
    <row r="10807" spans="19:20" x14ac:dyDescent="0.25">
      <c r="S10807" s="78">
        <v>38194</v>
      </c>
      <c r="T10807" s="29">
        <v>4.5</v>
      </c>
    </row>
    <row r="10808" spans="19:20" x14ac:dyDescent="0.25">
      <c r="S10808" s="78">
        <v>38195</v>
      </c>
      <c r="T10808" s="29">
        <v>4.5</v>
      </c>
    </row>
    <row r="10809" spans="19:20" x14ac:dyDescent="0.25">
      <c r="S10809" s="78">
        <v>38196</v>
      </c>
      <c r="T10809" s="29">
        <v>4.5</v>
      </c>
    </row>
    <row r="10810" spans="19:20" x14ac:dyDescent="0.25">
      <c r="S10810" s="78">
        <v>38197</v>
      </c>
      <c r="T10810" s="29">
        <v>4.5</v>
      </c>
    </row>
    <row r="10811" spans="19:20" x14ac:dyDescent="0.25">
      <c r="S10811" s="78">
        <v>38198</v>
      </c>
      <c r="T10811" s="29">
        <v>4.5</v>
      </c>
    </row>
    <row r="10812" spans="19:20" x14ac:dyDescent="0.25">
      <c r="S10812" s="78">
        <v>38199</v>
      </c>
      <c r="T10812" s="29">
        <v>4.5</v>
      </c>
    </row>
    <row r="10813" spans="19:20" x14ac:dyDescent="0.25">
      <c r="S10813" s="78">
        <v>38200</v>
      </c>
      <c r="T10813" s="29">
        <v>4.5</v>
      </c>
    </row>
    <row r="10814" spans="19:20" x14ac:dyDescent="0.25">
      <c r="S10814" s="78">
        <v>38201</v>
      </c>
      <c r="T10814" s="29">
        <v>4.5</v>
      </c>
    </row>
    <row r="10815" spans="19:20" x14ac:dyDescent="0.25">
      <c r="S10815" s="78">
        <v>38202</v>
      </c>
      <c r="T10815" s="29">
        <v>4.5</v>
      </c>
    </row>
    <row r="10816" spans="19:20" x14ac:dyDescent="0.25">
      <c r="S10816" s="78">
        <v>38203</v>
      </c>
      <c r="T10816" s="29">
        <v>4.5</v>
      </c>
    </row>
    <row r="10817" spans="19:20" x14ac:dyDescent="0.25">
      <c r="S10817" s="78">
        <v>38204</v>
      </c>
      <c r="T10817" s="29">
        <v>4.75</v>
      </c>
    </row>
    <row r="10818" spans="19:20" x14ac:dyDescent="0.25">
      <c r="S10818" s="78">
        <v>38205</v>
      </c>
      <c r="T10818" s="29">
        <v>4.75</v>
      </c>
    </row>
    <row r="10819" spans="19:20" x14ac:dyDescent="0.25">
      <c r="S10819" s="78">
        <v>38206</v>
      </c>
      <c r="T10819" s="29">
        <v>4.75</v>
      </c>
    </row>
    <row r="10820" spans="19:20" x14ac:dyDescent="0.25">
      <c r="S10820" s="78">
        <v>38207</v>
      </c>
      <c r="T10820" s="29">
        <v>4.75</v>
      </c>
    </row>
    <row r="10821" spans="19:20" x14ac:dyDescent="0.25">
      <c r="S10821" s="78">
        <v>38208</v>
      </c>
      <c r="T10821" s="29">
        <v>4.75</v>
      </c>
    </row>
    <row r="10822" spans="19:20" x14ac:dyDescent="0.25">
      <c r="S10822" s="78">
        <v>38209</v>
      </c>
      <c r="T10822" s="29">
        <v>4.75</v>
      </c>
    </row>
    <row r="10823" spans="19:20" x14ac:dyDescent="0.25">
      <c r="S10823" s="78">
        <v>38210</v>
      </c>
      <c r="T10823" s="29">
        <v>4.75</v>
      </c>
    </row>
    <row r="10824" spans="19:20" x14ac:dyDescent="0.25">
      <c r="S10824" s="78">
        <v>38211</v>
      </c>
      <c r="T10824" s="29">
        <v>4.75</v>
      </c>
    </row>
    <row r="10825" spans="19:20" x14ac:dyDescent="0.25">
      <c r="S10825" s="78">
        <v>38212</v>
      </c>
      <c r="T10825" s="29">
        <v>4.75</v>
      </c>
    </row>
    <row r="10826" spans="19:20" x14ac:dyDescent="0.25">
      <c r="S10826" s="78">
        <v>38213</v>
      </c>
      <c r="T10826" s="29">
        <v>4.75</v>
      </c>
    </row>
    <row r="10827" spans="19:20" x14ac:dyDescent="0.25">
      <c r="S10827" s="78">
        <v>38214</v>
      </c>
      <c r="T10827" s="29">
        <v>4.75</v>
      </c>
    </row>
    <row r="10828" spans="19:20" x14ac:dyDescent="0.25">
      <c r="S10828" s="78">
        <v>38215</v>
      </c>
      <c r="T10828" s="29">
        <v>4.75</v>
      </c>
    </row>
    <row r="10829" spans="19:20" x14ac:dyDescent="0.25">
      <c r="S10829" s="78">
        <v>38216</v>
      </c>
      <c r="T10829" s="29">
        <v>4.75</v>
      </c>
    </row>
    <row r="10830" spans="19:20" x14ac:dyDescent="0.25">
      <c r="S10830" s="78">
        <v>38217</v>
      </c>
      <c r="T10830" s="29">
        <v>4.75</v>
      </c>
    </row>
    <row r="10831" spans="19:20" x14ac:dyDescent="0.25">
      <c r="S10831" s="78">
        <v>38218</v>
      </c>
      <c r="T10831" s="29">
        <v>4.75</v>
      </c>
    </row>
    <row r="10832" spans="19:20" x14ac:dyDescent="0.25">
      <c r="S10832" s="78">
        <v>38219</v>
      </c>
      <c r="T10832" s="29">
        <v>4.75</v>
      </c>
    </row>
    <row r="10833" spans="19:20" x14ac:dyDescent="0.25">
      <c r="S10833" s="78">
        <v>38220</v>
      </c>
      <c r="T10833" s="29">
        <v>4.75</v>
      </c>
    </row>
    <row r="10834" spans="19:20" x14ac:dyDescent="0.25">
      <c r="S10834" s="78">
        <v>38221</v>
      </c>
      <c r="T10834" s="29">
        <v>4.75</v>
      </c>
    </row>
    <row r="10835" spans="19:20" x14ac:dyDescent="0.25">
      <c r="S10835" s="78">
        <v>38222</v>
      </c>
      <c r="T10835" s="29">
        <v>4.75</v>
      </c>
    </row>
    <row r="10836" spans="19:20" x14ac:dyDescent="0.25">
      <c r="S10836" s="78">
        <v>38223</v>
      </c>
      <c r="T10836" s="29">
        <v>4.75</v>
      </c>
    </row>
    <row r="10837" spans="19:20" x14ac:dyDescent="0.25">
      <c r="S10837" s="78">
        <v>38224</v>
      </c>
      <c r="T10837" s="29">
        <v>4.75</v>
      </c>
    </row>
    <row r="10838" spans="19:20" x14ac:dyDescent="0.25">
      <c r="S10838" s="78">
        <v>38225</v>
      </c>
      <c r="T10838" s="29">
        <v>4.75</v>
      </c>
    </row>
    <row r="10839" spans="19:20" x14ac:dyDescent="0.25">
      <c r="S10839" s="78">
        <v>38226</v>
      </c>
      <c r="T10839" s="29">
        <v>4.75</v>
      </c>
    </row>
    <row r="10840" spans="19:20" x14ac:dyDescent="0.25">
      <c r="S10840" s="78">
        <v>38227</v>
      </c>
      <c r="T10840" s="29">
        <v>4.75</v>
      </c>
    </row>
    <row r="10841" spans="19:20" x14ac:dyDescent="0.25">
      <c r="S10841" s="78">
        <v>38228</v>
      </c>
      <c r="T10841" s="29">
        <v>4.75</v>
      </c>
    </row>
    <row r="10842" spans="19:20" x14ac:dyDescent="0.25">
      <c r="S10842" s="78">
        <v>38229</v>
      </c>
      <c r="T10842" s="29">
        <v>4.75</v>
      </c>
    </row>
    <row r="10843" spans="19:20" x14ac:dyDescent="0.25">
      <c r="S10843" s="78">
        <v>38230</v>
      </c>
      <c r="T10843" s="29">
        <v>4.75</v>
      </c>
    </row>
    <row r="10844" spans="19:20" x14ac:dyDescent="0.25">
      <c r="S10844" s="78">
        <v>38231</v>
      </c>
      <c r="T10844" s="29">
        <v>4.75</v>
      </c>
    </row>
    <row r="10845" spans="19:20" x14ac:dyDescent="0.25">
      <c r="S10845" s="78">
        <v>38232</v>
      </c>
      <c r="T10845" s="29">
        <v>4.75</v>
      </c>
    </row>
    <row r="10846" spans="19:20" x14ac:dyDescent="0.25">
      <c r="S10846" s="78">
        <v>38233</v>
      </c>
      <c r="T10846" s="29">
        <v>4.75</v>
      </c>
    </row>
    <row r="10847" spans="19:20" x14ac:dyDescent="0.25">
      <c r="S10847" s="78">
        <v>38234</v>
      </c>
      <c r="T10847" s="29">
        <v>4.75</v>
      </c>
    </row>
    <row r="10848" spans="19:20" x14ac:dyDescent="0.25">
      <c r="S10848" s="78">
        <v>38235</v>
      </c>
      <c r="T10848" s="29">
        <v>4.75</v>
      </c>
    </row>
    <row r="10849" spans="19:20" x14ac:dyDescent="0.25">
      <c r="S10849" s="78">
        <v>38236</v>
      </c>
      <c r="T10849" s="29">
        <v>4.75</v>
      </c>
    </row>
    <row r="10850" spans="19:20" x14ac:dyDescent="0.25">
      <c r="S10850" s="78">
        <v>38237</v>
      </c>
      <c r="T10850" s="29">
        <v>4.75</v>
      </c>
    </row>
    <row r="10851" spans="19:20" x14ac:dyDescent="0.25">
      <c r="S10851" s="78">
        <v>38238</v>
      </c>
      <c r="T10851" s="29">
        <v>4.75</v>
      </c>
    </row>
    <row r="10852" spans="19:20" x14ac:dyDescent="0.25">
      <c r="S10852" s="78">
        <v>38239</v>
      </c>
      <c r="T10852" s="29">
        <v>4.75</v>
      </c>
    </row>
    <row r="10853" spans="19:20" x14ac:dyDescent="0.25">
      <c r="S10853" s="78">
        <v>38240</v>
      </c>
      <c r="T10853" s="29">
        <v>4.75</v>
      </c>
    </row>
    <row r="10854" spans="19:20" x14ac:dyDescent="0.25">
      <c r="S10854" s="78">
        <v>38241</v>
      </c>
      <c r="T10854" s="29">
        <v>4.75</v>
      </c>
    </row>
    <row r="10855" spans="19:20" x14ac:dyDescent="0.25">
      <c r="S10855" s="78">
        <v>38242</v>
      </c>
      <c r="T10855" s="29">
        <v>4.75</v>
      </c>
    </row>
    <row r="10856" spans="19:20" x14ac:dyDescent="0.25">
      <c r="S10856" s="78">
        <v>38243</v>
      </c>
      <c r="T10856" s="29">
        <v>4.75</v>
      </c>
    </row>
    <row r="10857" spans="19:20" x14ac:dyDescent="0.25">
      <c r="S10857" s="78">
        <v>38244</v>
      </c>
      <c r="T10857" s="29">
        <v>4.75</v>
      </c>
    </row>
    <row r="10858" spans="19:20" x14ac:dyDescent="0.25">
      <c r="S10858" s="78">
        <v>38245</v>
      </c>
      <c r="T10858" s="29">
        <v>4.75</v>
      </c>
    </row>
    <row r="10859" spans="19:20" x14ac:dyDescent="0.25">
      <c r="S10859" s="78">
        <v>38246</v>
      </c>
      <c r="T10859" s="29">
        <v>4.75</v>
      </c>
    </row>
    <row r="10860" spans="19:20" x14ac:dyDescent="0.25">
      <c r="S10860" s="78">
        <v>38247</v>
      </c>
      <c r="T10860" s="29">
        <v>4.75</v>
      </c>
    </row>
    <row r="10861" spans="19:20" x14ac:dyDescent="0.25">
      <c r="S10861" s="78">
        <v>38248</v>
      </c>
      <c r="T10861" s="29">
        <v>4.75</v>
      </c>
    </row>
    <row r="10862" spans="19:20" x14ac:dyDescent="0.25">
      <c r="S10862" s="78">
        <v>38249</v>
      </c>
      <c r="T10862" s="29">
        <v>4.75</v>
      </c>
    </row>
    <row r="10863" spans="19:20" x14ac:dyDescent="0.25">
      <c r="S10863" s="78">
        <v>38250</v>
      </c>
      <c r="T10863" s="29">
        <v>4.75</v>
      </c>
    </row>
    <row r="10864" spans="19:20" x14ac:dyDescent="0.25">
      <c r="S10864" s="78">
        <v>38251</v>
      </c>
      <c r="T10864" s="29">
        <v>4.75</v>
      </c>
    </row>
    <row r="10865" spans="19:21" x14ac:dyDescent="0.25">
      <c r="S10865" s="78">
        <v>38252</v>
      </c>
      <c r="T10865" s="29">
        <v>4.75</v>
      </c>
    </row>
    <row r="10866" spans="19:21" x14ac:dyDescent="0.25">
      <c r="S10866" s="78">
        <v>38253</v>
      </c>
      <c r="T10866" s="29">
        <v>4.75</v>
      </c>
    </row>
    <row r="10867" spans="19:21" x14ac:dyDescent="0.25">
      <c r="S10867" s="78">
        <v>38254</v>
      </c>
      <c r="T10867" s="29">
        <v>4.75</v>
      </c>
    </row>
    <row r="10868" spans="19:21" x14ac:dyDescent="0.25">
      <c r="S10868" s="78">
        <v>38255</v>
      </c>
      <c r="T10868" s="29">
        <v>4.75</v>
      </c>
    </row>
    <row r="10869" spans="19:21" x14ac:dyDescent="0.25">
      <c r="S10869" s="78">
        <v>38256</v>
      </c>
      <c r="T10869" s="29">
        <v>4.75</v>
      </c>
    </row>
    <row r="10870" spans="19:21" x14ac:dyDescent="0.25">
      <c r="S10870" s="78">
        <v>38257</v>
      </c>
      <c r="T10870" s="29">
        <v>4.75</v>
      </c>
    </row>
    <row r="10871" spans="19:21" x14ac:dyDescent="0.25">
      <c r="S10871" s="78">
        <v>38258</v>
      </c>
      <c r="T10871" s="29">
        <v>4.75</v>
      </c>
    </row>
    <row r="10872" spans="19:21" x14ac:dyDescent="0.25">
      <c r="S10872" s="78">
        <v>38259</v>
      </c>
      <c r="T10872" s="29">
        <v>4.75</v>
      </c>
      <c r="U10872" s="40"/>
    </row>
    <row r="10873" spans="19:21" x14ac:dyDescent="0.25">
      <c r="S10873" s="78">
        <v>38260</v>
      </c>
      <c r="T10873" s="29">
        <v>4.75</v>
      </c>
      <c r="U10873" s="40">
        <f>AVERAGE(T10782:T10873)</f>
        <v>4.6548913043478262</v>
      </c>
    </row>
    <row r="10874" spans="19:21" x14ac:dyDescent="0.25">
      <c r="S10874" s="78">
        <v>38261</v>
      </c>
      <c r="T10874" s="29">
        <v>4.75</v>
      </c>
    </row>
    <row r="10875" spans="19:21" x14ac:dyDescent="0.25">
      <c r="S10875" s="78">
        <v>38262</v>
      </c>
      <c r="T10875" s="29">
        <v>4.75</v>
      </c>
    </row>
    <row r="10876" spans="19:21" x14ac:dyDescent="0.25">
      <c r="S10876" s="78">
        <v>38263</v>
      </c>
      <c r="T10876" s="29">
        <v>4.75</v>
      </c>
    </row>
    <row r="10877" spans="19:21" x14ac:dyDescent="0.25">
      <c r="S10877" s="78">
        <v>38264</v>
      </c>
      <c r="T10877" s="29">
        <v>4.75</v>
      </c>
    </row>
    <row r="10878" spans="19:21" x14ac:dyDescent="0.25">
      <c r="S10878" s="78">
        <v>38265</v>
      </c>
      <c r="T10878" s="29">
        <v>4.75</v>
      </c>
    </row>
    <row r="10879" spans="19:21" x14ac:dyDescent="0.25">
      <c r="S10879" s="78">
        <v>38266</v>
      </c>
      <c r="T10879" s="29">
        <v>4.75</v>
      </c>
    </row>
    <row r="10880" spans="19:21" x14ac:dyDescent="0.25">
      <c r="S10880" s="78">
        <v>38267</v>
      </c>
      <c r="T10880" s="29">
        <v>4.75</v>
      </c>
    </row>
    <row r="10881" spans="19:20" x14ac:dyDescent="0.25">
      <c r="S10881" s="78">
        <v>38268</v>
      </c>
      <c r="T10881" s="29">
        <v>4.75</v>
      </c>
    </row>
    <row r="10882" spans="19:20" x14ac:dyDescent="0.25">
      <c r="S10882" s="78">
        <v>38269</v>
      </c>
      <c r="T10882" s="29">
        <v>4.75</v>
      </c>
    </row>
    <row r="10883" spans="19:20" x14ac:dyDescent="0.25">
      <c r="S10883" s="78">
        <v>38270</v>
      </c>
      <c r="T10883" s="29">
        <v>4.75</v>
      </c>
    </row>
    <row r="10884" spans="19:20" x14ac:dyDescent="0.25">
      <c r="S10884" s="78">
        <v>38271</v>
      </c>
      <c r="T10884" s="29">
        <v>4.75</v>
      </c>
    </row>
    <row r="10885" spans="19:20" x14ac:dyDescent="0.25">
      <c r="S10885" s="78">
        <v>38272</v>
      </c>
      <c r="T10885" s="29">
        <v>4.75</v>
      </c>
    </row>
    <row r="10886" spans="19:20" x14ac:dyDescent="0.25">
      <c r="S10886" s="78">
        <v>38273</v>
      </c>
      <c r="T10886" s="29">
        <v>4.75</v>
      </c>
    </row>
    <row r="10887" spans="19:20" x14ac:dyDescent="0.25">
      <c r="S10887" s="78">
        <v>38274</v>
      </c>
      <c r="T10887" s="29">
        <v>4.75</v>
      </c>
    </row>
    <row r="10888" spans="19:20" x14ac:dyDescent="0.25">
      <c r="S10888" s="78">
        <v>38275</v>
      </c>
      <c r="T10888" s="29">
        <v>4.75</v>
      </c>
    </row>
    <row r="10889" spans="19:20" x14ac:dyDescent="0.25">
      <c r="S10889" s="78">
        <v>38276</v>
      </c>
      <c r="T10889" s="29">
        <v>4.75</v>
      </c>
    </row>
    <row r="10890" spans="19:20" x14ac:dyDescent="0.25">
      <c r="S10890" s="78">
        <v>38277</v>
      </c>
      <c r="T10890" s="29">
        <v>4.75</v>
      </c>
    </row>
    <row r="10891" spans="19:20" x14ac:dyDescent="0.25">
      <c r="S10891" s="78">
        <v>38278</v>
      </c>
      <c r="T10891" s="29">
        <v>4.75</v>
      </c>
    </row>
    <row r="10892" spans="19:20" x14ac:dyDescent="0.25">
      <c r="S10892" s="78">
        <v>38279</v>
      </c>
      <c r="T10892" s="29">
        <v>4.75</v>
      </c>
    </row>
    <row r="10893" spans="19:20" x14ac:dyDescent="0.25">
      <c r="S10893" s="78">
        <v>38280</v>
      </c>
      <c r="T10893" s="29">
        <v>4.75</v>
      </c>
    </row>
    <row r="10894" spans="19:20" x14ac:dyDescent="0.25">
      <c r="S10894" s="78">
        <v>38281</v>
      </c>
      <c r="T10894" s="29">
        <v>4.75</v>
      </c>
    </row>
    <row r="10895" spans="19:20" x14ac:dyDescent="0.25">
      <c r="S10895" s="78">
        <v>38282</v>
      </c>
      <c r="T10895" s="29">
        <v>4.75</v>
      </c>
    </row>
    <row r="10896" spans="19:20" x14ac:dyDescent="0.25">
      <c r="S10896" s="78">
        <v>38283</v>
      </c>
      <c r="T10896" s="29">
        <v>4.75</v>
      </c>
    </row>
    <row r="10897" spans="19:20" x14ac:dyDescent="0.25">
      <c r="S10897" s="78">
        <v>38284</v>
      </c>
      <c r="T10897" s="29">
        <v>4.75</v>
      </c>
    </row>
    <row r="10898" spans="19:20" x14ac:dyDescent="0.25">
      <c r="S10898" s="78">
        <v>38285</v>
      </c>
      <c r="T10898" s="29">
        <v>4.75</v>
      </c>
    </row>
    <row r="10899" spans="19:20" x14ac:dyDescent="0.25">
      <c r="S10899" s="78">
        <v>38286</v>
      </c>
      <c r="T10899" s="29">
        <v>4.75</v>
      </c>
    </row>
    <row r="10900" spans="19:20" x14ac:dyDescent="0.25">
      <c r="S10900" s="78">
        <v>38287</v>
      </c>
      <c r="T10900" s="29">
        <v>4.75</v>
      </c>
    </row>
    <row r="10901" spans="19:20" x14ac:dyDescent="0.25">
      <c r="S10901" s="78">
        <v>38288</v>
      </c>
      <c r="T10901" s="29">
        <v>4.75</v>
      </c>
    </row>
    <row r="10902" spans="19:20" x14ac:dyDescent="0.25">
      <c r="S10902" s="78">
        <v>38289</v>
      </c>
      <c r="T10902" s="29">
        <v>4.75</v>
      </c>
    </row>
    <row r="10903" spans="19:20" x14ac:dyDescent="0.25">
      <c r="S10903" s="78">
        <v>38290</v>
      </c>
      <c r="T10903" s="29">
        <v>4.75</v>
      </c>
    </row>
    <row r="10904" spans="19:20" x14ac:dyDescent="0.25">
      <c r="S10904" s="78">
        <v>38291</v>
      </c>
      <c r="T10904" s="29">
        <v>4.75</v>
      </c>
    </row>
    <row r="10905" spans="19:20" x14ac:dyDescent="0.25">
      <c r="S10905" s="78">
        <v>38292</v>
      </c>
      <c r="T10905" s="29">
        <v>4.75</v>
      </c>
    </row>
    <row r="10906" spans="19:20" x14ac:dyDescent="0.25">
      <c r="S10906" s="78">
        <v>38293</v>
      </c>
      <c r="T10906" s="29">
        <v>4.75</v>
      </c>
    </row>
    <row r="10907" spans="19:20" x14ac:dyDescent="0.25">
      <c r="S10907" s="78">
        <v>38294</v>
      </c>
      <c r="T10907" s="29">
        <v>4.75</v>
      </c>
    </row>
    <row r="10908" spans="19:20" x14ac:dyDescent="0.25">
      <c r="S10908" s="78">
        <v>38295</v>
      </c>
      <c r="T10908" s="29">
        <v>4.75</v>
      </c>
    </row>
    <row r="10909" spans="19:20" x14ac:dyDescent="0.25">
      <c r="S10909" s="78">
        <v>38296</v>
      </c>
      <c r="T10909" s="29">
        <v>4.75</v>
      </c>
    </row>
    <row r="10910" spans="19:20" x14ac:dyDescent="0.25">
      <c r="S10910" s="78">
        <v>38297</v>
      </c>
      <c r="T10910" s="29">
        <v>4.75</v>
      </c>
    </row>
    <row r="10911" spans="19:20" x14ac:dyDescent="0.25">
      <c r="S10911" s="78">
        <v>38298</v>
      </c>
      <c r="T10911" s="29">
        <v>4.75</v>
      </c>
    </row>
    <row r="10912" spans="19:20" x14ac:dyDescent="0.25">
      <c r="S10912" s="78">
        <v>38299</v>
      </c>
      <c r="T10912" s="29">
        <v>4.75</v>
      </c>
    </row>
    <row r="10913" spans="19:20" x14ac:dyDescent="0.25">
      <c r="S10913" s="78">
        <v>38300</v>
      </c>
      <c r="T10913" s="29">
        <v>4.75</v>
      </c>
    </row>
    <row r="10914" spans="19:20" x14ac:dyDescent="0.25">
      <c r="S10914" s="78">
        <v>38301</v>
      </c>
      <c r="T10914" s="29">
        <v>4.75</v>
      </c>
    </row>
    <row r="10915" spans="19:20" x14ac:dyDescent="0.25">
      <c r="S10915" s="78">
        <v>38302</v>
      </c>
      <c r="T10915" s="29">
        <v>4.75</v>
      </c>
    </row>
    <row r="10916" spans="19:20" x14ac:dyDescent="0.25">
      <c r="S10916" s="78">
        <v>38303</v>
      </c>
      <c r="T10916" s="29">
        <v>4.75</v>
      </c>
    </row>
    <row r="10917" spans="19:20" x14ac:dyDescent="0.25">
      <c r="S10917" s="78">
        <v>38304</v>
      </c>
      <c r="T10917" s="29">
        <v>4.75</v>
      </c>
    </row>
    <row r="10918" spans="19:20" x14ac:dyDescent="0.25">
      <c r="S10918" s="78">
        <v>38305</v>
      </c>
      <c r="T10918" s="29">
        <v>4.75</v>
      </c>
    </row>
    <row r="10919" spans="19:20" x14ac:dyDescent="0.25">
      <c r="S10919" s="78">
        <v>38306</v>
      </c>
      <c r="T10919" s="29">
        <v>4.75</v>
      </c>
    </row>
    <row r="10920" spans="19:20" x14ac:dyDescent="0.25">
      <c r="S10920" s="78">
        <v>38307</v>
      </c>
      <c r="T10920" s="29">
        <v>4.75</v>
      </c>
    </row>
    <row r="10921" spans="19:20" x14ac:dyDescent="0.25">
      <c r="S10921" s="78">
        <v>38308</v>
      </c>
      <c r="T10921" s="29">
        <v>4.75</v>
      </c>
    </row>
    <row r="10922" spans="19:20" x14ac:dyDescent="0.25">
      <c r="S10922" s="78">
        <v>38309</v>
      </c>
      <c r="T10922" s="29">
        <v>4.75</v>
      </c>
    </row>
    <row r="10923" spans="19:20" x14ac:dyDescent="0.25">
      <c r="S10923" s="78">
        <v>38310</v>
      </c>
      <c r="T10923" s="29">
        <v>4.75</v>
      </c>
    </row>
    <row r="10924" spans="19:20" x14ac:dyDescent="0.25">
      <c r="S10924" s="78">
        <v>38311</v>
      </c>
      <c r="T10924" s="29">
        <v>4.75</v>
      </c>
    </row>
    <row r="10925" spans="19:20" x14ac:dyDescent="0.25">
      <c r="S10925" s="78">
        <v>38312</v>
      </c>
      <c r="T10925" s="29">
        <v>4.75</v>
      </c>
    </row>
    <row r="10926" spans="19:20" x14ac:dyDescent="0.25">
      <c r="S10926" s="78">
        <v>38313</v>
      </c>
      <c r="T10926" s="29">
        <v>4.75</v>
      </c>
    </row>
    <row r="10927" spans="19:20" x14ac:dyDescent="0.25">
      <c r="S10927" s="78">
        <v>38314</v>
      </c>
      <c r="T10927" s="29">
        <v>4.75</v>
      </c>
    </row>
    <row r="10928" spans="19:20" x14ac:dyDescent="0.25">
      <c r="S10928" s="78">
        <v>38315</v>
      </c>
      <c r="T10928" s="29">
        <v>4.75</v>
      </c>
    </row>
    <row r="10929" spans="19:20" x14ac:dyDescent="0.25">
      <c r="S10929" s="78">
        <v>38316</v>
      </c>
      <c r="T10929" s="29">
        <v>4.75</v>
      </c>
    </row>
    <row r="10930" spans="19:20" x14ac:dyDescent="0.25">
      <c r="S10930" s="78">
        <v>38317</v>
      </c>
      <c r="T10930" s="29">
        <v>4.75</v>
      </c>
    </row>
    <row r="10931" spans="19:20" x14ac:dyDescent="0.25">
      <c r="S10931" s="78">
        <v>38318</v>
      </c>
      <c r="T10931" s="29">
        <v>4.75</v>
      </c>
    </row>
    <row r="10932" spans="19:20" x14ac:dyDescent="0.25">
      <c r="S10932" s="78">
        <v>38319</v>
      </c>
      <c r="T10932" s="29">
        <v>4.75</v>
      </c>
    </row>
    <row r="10933" spans="19:20" x14ac:dyDescent="0.25">
      <c r="S10933" s="78">
        <v>38320</v>
      </c>
      <c r="T10933" s="29">
        <v>4.75</v>
      </c>
    </row>
    <row r="10934" spans="19:20" x14ac:dyDescent="0.25">
      <c r="S10934" s="78">
        <v>38321</v>
      </c>
      <c r="T10934" s="29">
        <v>4.75</v>
      </c>
    </row>
    <row r="10935" spans="19:20" x14ac:dyDescent="0.25">
      <c r="S10935" s="78">
        <v>38322</v>
      </c>
      <c r="T10935" s="29">
        <v>4.75</v>
      </c>
    </row>
    <row r="10936" spans="19:20" x14ac:dyDescent="0.25">
      <c r="S10936" s="78">
        <v>38323</v>
      </c>
      <c r="T10936" s="29">
        <v>4.75</v>
      </c>
    </row>
    <row r="10937" spans="19:20" x14ac:dyDescent="0.25">
      <c r="S10937" s="78">
        <v>38324</v>
      </c>
      <c r="T10937" s="29">
        <v>4.75</v>
      </c>
    </row>
    <row r="10938" spans="19:20" x14ac:dyDescent="0.25">
      <c r="S10938" s="78">
        <v>38325</v>
      </c>
      <c r="T10938" s="29">
        <v>4.75</v>
      </c>
    </row>
    <row r="10939" spans="19:20" x14ac:dyDescent="0.25">
      <c r="S10939" s="78">
        <v>38326</v>
      </c>
      <c r="T10939" s="29">
        <v>4.75</v>
      </c>
    </row>
    <row r="10940" spans="19:20" x14ac:dyDescent="0.25">
      <c r="S10940" s="78">
        <v>38327</v>
      </c>
      <c r="T10940" s="29">
        <v>4.75</v>
      </c>
    </row>
    <row r="10941" spans="19:20" x14ac:dyDescent="0.25">
      <c r="S10941" s="78">
        <v>38328</v>
      </c>
      <c r="T10941" s="29">
        <v>4.75</v>
      </c>
    </row>
    <row r="10942" spans="19:20" x14ac:dyDescent="0.25">
      <c r="S10942" s="78">
        <v>38329</v>
      </c>
      <c r="T10942" s="29">
        <v>4.75</v>
      </c>
    </row>
    <row r="10943" spans="19:20" x14ac:dyDescent="0.25">
      <c r="S10943" s="78">
        <v>38330</v>
      </c>
      <c r="T10943" s="29">
        <v>4.75</v>
      </c>
    </row>
    <row r="10944" spans="19:20" x14ac:dyDescent="0.25">
      <c r="S10944" s="78">
        <v>38331</v>
      </c>
      <c r="T10944" s="29">
        <v>4.75</v>
      </c>
    </row>
    <row r="10945" spans="19:20" x14ac:dyDescent="0.25">
      <c r="S10945" s="78">
        <v>38332</v>
      </c>
      <c r="T10945" s="29">
        <v>4.75</v>
      </c>
    </row>
    <row r="10946" spans="19:20" x14ac:dyDescent="0.25">
      <c r="S10946" s="78">
        <v>38333</v>
      </c>
      <c r="T10946" s="29">
        <v>4.75</v>
      </c>
    </row>
    <row r="10947" spans="19:20" x14ac:dyDescent="0.25">
      <c r="S10947" s="78">
        <v>38334</v>
      </c>
      <c r="T10947" s="29">
        <v>4.75</v>
      </c>
    </row>
    <row r="10948" spans="19:20" x14ac:dyDescent="0.25">
      <c r="S10948" s="78">
        <v>38335</v>
      </c>
      <c r="T10948" s="29">
        <v>4.75</v>
      </c>
    </row>
    <row r="10949" spans="19:20" x14ac:dyDescent="0.25">
      <c r="S10949" s="78">
        <v>38336</v>
      </c>
      <c r="T10949" s="29">
        <v>4.75</v>
      </c>
    </row>
    <row r="10950" spans="19:20" x14ac:dyDescent="0.25">
      <c r="S10950" s="78">
        <v>38337</v>
      </c>
      <c r="T10950" s="29">
        <v>4.75</v>
      </c>
    </row>
    <row r="10951" spans="19:20" x14ac:dyDescent="0.25">
      <c r="S10951" s="78">
        <v>38338</v>
      </c>
      <c r="T10951" s="29">
        <v>4.75</v>
      </c>
    </row>
    <row r="10952" spans="19:20" x14ac:dyDescent="0.25">
      <c r="S10952" s="78">
        <v>38339</v>
      </c>
      <c r="T10952" s="29">
        <v>4.75</v>
      </c>
    </row>
    <row r="10953" spans="19:20" x14ac:dyDescent="0.25">
      <c r="S10953" s="78">
        <v>38340</v>
      </c>
      <c r="T10953" s="29">
        <v>4.75</v>
      </c>
    </row>
    <row r="10954" spans="19:20" x14ac:dyDescent="0.25">
      <c r="S10954" s="78">
        <v>38341</v>
      </c>
      <c r="T10954" s="29">
        <v>4.75</v>
      </c>
    </row>
    <row r="10955" spans="19:20" x14ac:dyDescent="0.25">
      <c r="S10955" s="78">
        <v>38342</v>
      </c>
      <c r="T10955" s="29">
        <v>4.75</v>
      </c>
    </row>
    <row r="10956" spans="19:20" x14ac:dyDescent="0.25">
      <c r="S10956" s="78">
        <v>38343</v>
      </c>
      <c r="T10956" s="29">
        <v>4.75</v>
      </c>
    </row>
    <row r="10957" spans="19:20" x14ac:dyDescent="0.25">
      <c r="S10957" s="78">
        <v>38344</v>
      </c>
      <c r="T10957" s="29">
        <v>4.75</v>
      </c>
    </row>
    <row r="10958" spans="19:20" x14ac:dyDescent="0.25">
      <c r="S10958" s="78">
        <v>38345</v>
      </c>
      <c r="T10958" s="29">
        <v>4.75</v>
      </c>
    </row>
    <row r="10959" spans="19:20" x14ac:dyDescent="0.25">
      <c r="S10959" s="78">
        <v>38346</v>
      </c>
      <c r="T10959" s="29">
        <v>4.75</v>
      </c>
    </row>
    <row r="10960" spans="19:20" x14ac:dyDescent="0.25">
      <c r="S10960" s="78">
        <v>38347</v>
      </c>
      <c r="T10960" s="29">
        <v>4.75</v>
      </c>
    </row>
    <row r="10961" spans="19:21" x14ac:dyDescent="0.25">
      <c r="S10961" s="78">
        <v>38348</v>
      </c>
      <c r="T10961" s="29">
        <v>4.75</v>
      </c>
    </row>
    <row r="10962" spans="19:21" x14ac:dyDescent="0.25">
      <c r="S10962" s="78">
        <v>38349</v>
      </c>
      <c r="T10962" s="29">
        <v>4.75</v>
      </c>
    </row>
    <row r="10963" spans="19:21" x14ac:dyDescent="0.25">
      <c r="S10963" s="78">
        <v>38350</v>
      </c>
      <c r="T10963" s="29">
        <v>4.75</v>
      </c>
    </row>
    <row r="10964" spans="19:21" x14ac:dyDescent="0.25">
      <c r="S10964" s="78">
        <v>38351</v>
      </c>
      <c r="T10964" s="29">
        <v>4.75</v>
      </c>
      <c r="U10964" s="40"/>
    </row>
    <row r="10965" spans="19:21" x14ac:dyDescent="0.25">
      <c r="S10965" s="78">
        <v>38352</v>
      </c>
      <c r="T10965" s="29">
        <v>4.75</v>
      </c>
      <c r="U10965" s="40">
        <f>AVERAGE(T10874:T10965)</f>
        <v>4.75</v>
      </c>
    </row>
    <row r="10966" spans="19:21" x14ac:dyDescent="0.25">
      <c r="S10966" s="78">
        <v>38353</v>
      </c>
      <c r="T10966" s="29">
        <v>4.75</v>
      </c>
    </row>
    <row r="10967" spans="19:21" x14ac:dyDescent="0.25">
      <c r="S10967" s="78">
        <v>38354</v>
      </c>
      <c r="T10967" s="29">
        <v>4.75</v>
      </c>
    </row>
    <row r="10968" spans="19:21" x14ac:dyDescent="0.25">
      <c r="S10968" s="78">
        <v>38355</v>
      </c>
      <c r="T10968" s="29">
        <v>4.75</v>
      </c>
    </row>
    <row r="10969" spans="19:21" x14ac:dyDescent="0.25">
      <c r="S10969" s="78">
        <v>38356</v>
      </c>
      <c r="T10969" s="29">
        <v>4.75</v>
      </c>
    </row>
    <row r="10970" spans="19:21" x14ac:dyDescent="0.25">
      <c r="S10970" s="78">
        <v>38357</v>
      </c>
      <c r="T10970" s="29">
        <v>4.75</v>
      </c>
    </row>
    <row r="10971" spans="19:21" x14ac:dyDescent="0.25">
      <c r="S10971" s="78">
        <v>38358</v>
      </c>
      <c r="T10971" s="29">
        <v>4.75</v>
      </c>
    </row>
    <row r="10972" spans="19:21" x14ac:dyDescent="0.25">
      <c r="S10972" s="78">
        <v>38359</v>
      </c>
      <c r="T10972" s="29">
        <v>4.75</v>
      </c>
    </row>
    <row r="10973" spans="19:21" x14ac:dyDescent="0.25">
      <c r="S10973" s="78">
        <v>38360</v>
      </c>
      <c r="T10973" s="29">
        <v>4.75</v>
      </c>
    </row>
    <row r="10974" spans="19:21" x14ac:dyDescent="0.25">
      <c r="S10974" s="78">
        <v>38361</v>
      </c>
      <c r="T10974" s="29">
        <v>4.75</v>
      </c>
    </row>
    <row r="10975" spans="19:21" x14ac:dyDescent="0.25">
      <c r="S10975" s="78">
        <v>38362</v>
      </c>
      <c r="T10975" s="29">
        <v>4.75</v>
      </c>
    </row>
    <row r="10976" spans="19:21" x14ac:dyDescent="0.25">
      <c r="S10976" s="78">
        <v>38363</v>
      </c>
      <c r="T10976" s="29">
        <v>4.75</v>
      </c>
    </row>
    <row r="10977" spans="19:20" x14ac:dyDescent="0.25">
      <c r="S10977" s="78">
        <v>38364</v>
      </c>
      <c r="T10977" s="29">
        <v>4.75</v>
      </c>
    </row>
    <row r="10978" spans="19:20" x14ac:dyDescent="0.25">
      <c r="S10978" s="78">
        <v>38365</v>
      </c>
      <c r="T10978" s="29">
        <v>4.75</v>
      </c>
    </row>
    <row r="10979" spans="19:20" x14ac:dyDescent="0.25">
      <c r="S10979" s="78">
        <v>38366</v>
      </c>
      <c r="T10979" s="29">
        <v>4.75</v>
      </c>
    </row>
    <row r="10980" spans="19:20" x14ac:dyDescent="0.25">
      <c r="S10980" s="78">
        <v>38367</v>
      </c>
      <c r="T10980" s="29">
        <v>4.75</v>
      </c>
    </row>
    <row r="10981" spans="19:20" x14ac:dyDescent="0.25">
      <c r="S10981" s="78">
        <v>38368</v>
      </c>
      <c r="T10981" s="29">
        <v>4.75</v>
      </c>
    </row>
    <row r="10982" spans="19:20" x14ac:dyDescent="0.25">
      <c r="S10982" s="78">
        <v>38369</v>
      </c>
      <c r="T10982" s="29">
        <v>4.75</v>
      </c>
    </row>
    <row r="10983" spans="19:20" x14ac:dyDescent="0.25">
      <c r="S10983" s="78">
        <v>38370</v>
      </c>
      <c r="T10983" s="29">
        <v>4.75</v>
      </c>
    </row>
    <row r="10984" spans="19:20" x14ac:dyDescent="0.25">
      <c r="S10984" s="78">
        <v>38371</v>
      </c>
      <c r="T10984" s="29">
        <v>4.75</v>
      </c>
    </row>
    <row r="10985" spans="19:20" x14ac:dyDescent="0.25">
      <c r="S10985" s="78">
        <v>38372</v>
      </c>
      <c r="T10985" s="29">
        <v>4.75</v>
      </c>
    </row>
    <row r="10986" spans="19:20" x14ac:dyDescent="0.25">
      <c r="S10986" s="78">
        <v>38373</v>
      </c>
      <c r="T10986" s="29">
        <v>4.75</v>
      </c>
    </row>
    <row r="10987" spans="19:20" x14ac:dyDescent="0.25">
      <c r="S10987" s="78">
        <v>38374</v>
      </c>
      <c r="T10987" s="29">
        <v>4.75</v>
      </c>
    </row>
    <row r="10988" spans="19:20" x14ac:dyDescent="0.25">
      <c r="S10988" s="78">
        <v>38375</v>
      </c>
      <c r="T10988" s="29">
        <v>4.75</v>
      </c>
    </row>
    <row r="10989" spans="19:20" x14ac:dyDescent="0.25">
      <c r="S10989" s="78">
        <v>38376</v>
      </c>
      <c r="T10989" s="29">
        <v>4.75</v>
      </c>
    </row>
    <row r="10990" spans="19:20" x14ac:dyDescent="0.25">
      <c r="S10990" s="78">
        <v>38377</v>
      </c>
      <c r="T10990" s="29">
        <v>4.75</v>
      </c>
    </row>
    <row r="10991" spans="19:20" x14ac:dyDescent="0.25">
      <c r="S10991" s="78">
        <v>38378</v>
      </c>
      <c r="T10991" s="29">
        <v>4.75</v>
      </c>
    </row>
    <row r="10992" spans="19:20" x14ac:dyDescent="0.25">
      <c r="S10992" s="78">
        <v>38379</v>
      </c>
      <c r="T10992" s="29">
        <v>4.75</v>
      </c>
    </row>
    <row r="10993" spans="19:20" x14ac:dyDescent="0.25">
      <c r="S10993" s="78">
        <v>38380</v>
      </c>
      <c r="T10993" s="29">
        <v>4.75</v>
      </c>
    </row>
    <row r="10994" spans="19:20" x14ac:dyDescent="0.25">
      <c r="S10994" s="78">
        <v>38381</v>
      </c>
      <c r="T10994" s="29">
        <v>4.75</v>
      </c>
    </row>
    <row r="10995" spans="19:20" x14ac:dyDescent="0.25">
      <c r="S10995" s="78">
        <v>38382</v>
      </c>
      <c r="T10995" s="29">
        <v>4.75</v>
      </c>
    </row>
    <row r="10996" spans="19:20" x14ac:dyDescent="0.25">
      <c r="S10996" s="78">
        <v>38383</v>
      </c>
      <c r="T10996" s="29">
        <v>4.75</v>
      </c>
    </row>
    <row r="10997" spans="19:20" x14ac:dyDescent="0.25">
      <c r="S10997" s="78">
        <v>38384</v>
      </c>
      <c r="T10997" s="29">
        <v>4.75</v>
      </c>
    </row>
    <row r="10998" spans="19:20" x14ac:dyDescent="0.25">
      <c r="S10998" s="78">
        <v>38385</v>
      </c>
      <c r="T10998" s="29">
        <v>4.75</v>
      </c>
    </row>
    <row r="10999" spans="19:20" x14ac:dyDescent="0.25">
      <c r="S10999" s="78">
        <v>38386</v>
      </c>
      <c r="T10999" s="29">
        <v>4.75</v>
      </c>
    </row>
    <row r="11000" spans="19:20" x14ac:dyDescent="0.25">
      <c r="S11000" s="78">
        <v>38387</v>
      </c>
      <c r="T11000" s="29">
        <v>4.75</v>
      </c>
    </row>
    <row r="11001" spans="19:20" x14ac:dyDescent="0.25">
      <c r="S11001" s="78">
        <v>38388</v>
      </c>
      <c r="T11001" s="29">
        <v>4.75</v>
      </c>
    </row>
    <row r="11002" spans="19:20" x14ac:dyDescent="0.25">
      <c r="S11002" s="78">
        <v>38389</v>
      </c>
      <c r="T11002" s="29">
        <v>4.75</v>
      </c>
    </row>
    <row r="11003" spans="19:20" x14ac:dyDescent="0.25">
      <c r="S11003" s="78">
        <v>38390</v>
      </c>
      <c r="T11003" s="29">
        <v>4.75</v>
      </c>
    </row>
    <row r="11004" spans="19:20" x14ac:dyDescent="0.25">
      <c r="S11004" s="78">
        <v>38391</v>
      </c>
      <c r="T11004" s="29">
        <v>4.75</v>
      </c>
    </row>
    <row r="11005" spans="19:20" x14ac:dyDescent="0.25">
      <c r="S11005" s="78">
        <v>38392</v>
      </c>
      <c r="T11005" s="29">
        <v>4.75</v>
      </c>
    </row>
    <row r="11006" spans="19:20" x14ac:dyDescent="0.25">
      <c r="S11006" s="78">
        <v>38393</v>
      </c>
      <c r="T11006" s="29">
        <v>4.75</v>
      </c>
    </row>
    <row r="11007" spans="19:20" x14ac:dyDescent="0.25">
      <c r="S11007" s="78">
        <v>38394</v>
      </c>
      <c r="T11007" s="29">
        <v>4.75</v>
      </c>
    </row>
    <row r="11008" spans="19:20" x14ac:dyDescent="0.25">
      <c r="S11008" s="78">
        <v>38395</v>
      </c>
      <c r="T11008" s="29">
        <v>4.75</v>
      </c>
    </row>
    <row r="11009" spans="19:20" x14ac:dyDescent="0.25">
      <c r="S11009" s="78">
        <v>38396</v>
      </c>
      <c r="T11009" s="29">
        <v>4.75</v>
      </c>
    </row>
    <row r="11010" spans="19:20" x14ac:dyDescent="0.25">
      <c r="S11010" s="78">
        <v>38397</v>
      </c>
      <c r="T11010" s="29">
        <v>4.75</v>
      </c>
    </row>
    <row r="11011" spans="19:20" x14ac:dyDescent="0.25">
      <c r="S11011" s="78">
        <v>38398</v>
      </c>
      <c r="T11011" s="29">
        <v>4.75</v>
      </c>
    </row>
    <row r="11012" spans="19:20" x14ac:dyDescent="0.25">
      <c r="S11012" s="78">
        <v>38399</v>
      </c>
      <c r="T11012" s="29">
        <v>4.75</v>
      </c>
    </row>
    <row r="11013" spans="19:20" x14ac:dyDescent="0.25">
      <c r="S11013" s="78">
        <v>38400</v>
      </c>
      <c r="T11013" s="29">
        <v>4.75</v>
      </c>
    </row>
    <row r="11014" spans="19:20" x14ac:dyDescent="0.25">
      <c r="S11014" s="78">
        <v>38401</v>
      </c>
      <c r="T11014" s="29">
        <v>4.75</v>
      </c>
    </row>
    <row r="11015" spans="19:20" x14ac:dyDescent="0.25">
      <c r="S11015" s="78">
        <v>38402</v>
      </c>
      <c r="T11015" s="29">
        <v>4.75</v>
      </c>
    </row>
    <row r="11016" spans="19:20" x14ac:dyDescent="0.25">
      <c r="S11016" s="78">
        <v>38403</v>
      </c>
      <c r="T11016" s="29">
        <v>4.75</v>
      </c>
    </row>
    <row r="11017" spans="19:20" x14ac:dyDescent="0.25">
      <c r="S11017" s="78">
        <v>38404</v>
      </c>
      <c r="T11017" s="29">
        <v>4.75</v>
      </c>
    </row>
    <row r="11018" spans="19:20" x14ac:dyDescent="0.25">
      <c r="S11018" s="78">
        <v>38405</v>
      </c>
      <c r="T11018" s="29">
        <v>4.75</v>
      </c>
    </row>
    <row r="11019" spans="19:20" x14ac:dyDescent="0.25">
      <c r="S11019" s="78">
        <v>38406</v>
      </c>
      <c r="T11019" s="29">
        <v>4.75</v>
      </c>
    </row>
    <row r="11020" spans="19:20" x14ac:dyDescent="0.25">
      <c r="S11020" s="78">
        <v>38407</v>
      </c>
      <c r="T11020" s="29">
        <v>4.75</v>
      </c>
    </row>
    <row r="11021" spans="19:20" x14ac:dyDescent="0.25">
      <c r="S11021" s="78">
        <v>38408</v>
      </c>
      <c r="T11021" s="29">
        <v>4.75</v>
      </c>
    </row>
    <row r="11022" spans="19:20" x14ac:dyDescent="0.25">
      <c r="S11022" s="78">
        <v>38409</v>
      </c>
      <c r="T11022" s="29">
        <v>4.75</v>
      </c>
    </row>
    <row r="11023" spans="19:20" x14ac:dyDescent="0.25">
      <c r="S11023" s="78">
        <v>38410</v>
      </c>
      <c r="T11023" s="29">
        <v>4.75</v>
      </c>
    </row>
    <row r="11024" spans="19:20" x14ac:dyDescent="0.25">
      <c r="S11024" s="78">
        <v>38411</v>
      </c>
      <c r="T11024" s="29">
        <v>4.75</v>
      </c>
    </row>
    <row r="11025" spans="19:20" x14ac:dyDescent="0.25">
      <c r="S11025" s="78">
        <v>38412</v>
      </c>
      <c r="T11025" s="29">
        <v>4.75</v>
      </c>
    </row>
    <row r="11026" spans="19:20" x14ac:dyDescent="0.25">
      <c r="S11026" s="78">
        <v>38413</v>
      </c>
      <c r="T11026" s="29">
        <v>4.75</v>
      </c>
    </row>
    <row r="11027" spans="19:20" x14ac:dyDescent="0.25">
      <c r="S11027" s="78">
        <v>38414</v>
      </c>
      <c r="T11027" s="29">
        <v>4.75</v>
      </c>
    </row>
    <row r="11028" spans="19:20" x14ac:dyDescent="0.25">
      <c r="S11028" s="78">
        <v>38415</v>
      </c>
      <c r="T11028" s="29">
        <v>4.75</v>
      </c>
    </row>
    <row r="11029" spans="19:20" x14ac:dyDescent="0.25">
      <c r="S11029" s="78">
        <v>38416</v>
      </c>
      <c r="T11029" s="29">
        <v>4.75</v>
      </c>
    </row>
    <row r="11030" spans="19:20" x14ac:dyDescent="0.25">
      <c r="S11030" s="78">
        <v>38417</v>
      </c>
      <c r="T11030" s="29">
        <v>4.75</v>
      </c>
    </row>
    <row r="11031" spans="19:20" x14ac:dyDescent="0.25">
      <c r="S11031" s="78">
        <v>38418</v>
      </c>
      <c r="T11031" s="29">
        <v>4.75</v>
      </c>
    </row>
    <row r="11032" spans="19:20" x14ac:dyDescent="0.25">
      <c r="S11032" s="78">
        <v>38419</v>
      </c>
      <c r="T11032" s="29">
        <v>4.75</v>
      </c>
    </row>
    <row r="11033" spans="19:20" x14ac:dyDescent="0.25">
      <c r="S11033" s="78">
        <v>38420</v>
      </c>
      <c r="T11033" s="29">
        <v>4.75</v>
      </c>
    </row>
    <row r="11034" spans="19:20" x14ac:dyDescent="0.25">
      <c r="S11034" s="78">
        <v>38421</v>
      </c>
      <c r="T11034" s="29">
        <v>4.75</v>
      </c>
    </row>
    <row r="11035" spans="19:20" x14ac:dyDescent="0.25">
      <c r="S11035" s="78">
        <v>38422</v>
      </c>
      <c r="T11035" s="29">
        <v>4.75</v>
      </c>
    </row>
    <row r="11036" spans="19:20" x14ac:dyDescent="0.25">
      <c r="S11036" s="78">
        <v>38423</v>
      </c>
      <c r="T11036" s="29">
        <v>4.75</v>
      </c>
    </row>
    <row r="11037" spans="19:20" x14ac:dyDescent="0.25">
      <c r="S11037" s="78">
        <v>38424</v>
      </c>
      <c r="T11037" s="29">
        <v>4.75</v>
      </c>
    </row>
    <row r="11038" spans="19:20" x14ac:dyDescent="0.25">
      <c r="S11038" s="78">
        <v>38425</v>
      </c>
      <c r="T11038" s="29">
        <v>4.75</v>
      </c>
    </row>
    <row r="11039" spans="19:20" x14ac:dyDescent="0.25">
      <c r="S11039" s="78">
        <v>38426</v>
      </c>
      <c r="T11039" s="29">
        <v>4.75</v>
      </c>
    </row>
    <row r="11040" spans="19:20" x14ac:dyDescent="0.25">
      <c r="S11040" s="78">
        <v>38427</v>
      </c>
      <c r="T11040" s="29">
        <v>4.75</v>
      </c>
    </row>
    <row r="11041" spans="19:21" x14ac:dyDescent="0.25">
      <c r="S11041" s="78">
        <v>38428</v>
      </c>
      <c r="T11041" s="29">
        <v>4.75</v>
      </c>
    </row>
    <row r="11042" spans="19:21" x14ac:dyDescent="0.25">
      <c r="S11042" s="78">
        <v>38429</v>
      </c>
      <c r="T11042" s="29">
        <v>4.75</v>
      </c>
    </row>
    <row r="11043" spans="19:21" x14ac:dyDescent="0.25">
      <c r="S11043" s="78">
        <v>38430</v>
      </c>
      <c r="T11043" s="29">
        <v>4.75</v>
      </c>
    </row>
    <row r="11044" spans="19:21" x14ac:dyDescent="0.25">
      <c r="S11044" s="78">
        <v>38431</v>
      </c>
      <c r="T11044" s="29">
        <v>4.75</v>
      </c>
    </row>
    <row r="11045" spans="19:21" x14ac:dyDescent="0.25">
      <c r="S11045" s="78">
        <v>38432</v>
      </c>
      <c r="T11045" s="29">
        <v>4.75</v>
      </c>
    </row>
    <row r="11046" spans="19:21" x14ac:dyDescent="0.25">
      <c r="S11046" s="78">
        <v>38433</v>
      </c>
      <c r="T11046" s="29">
        <v>4.75</v>
      </c>
    </row>
    <row r="11047" spans="19:21" x14ac:dyDescent="0.25">
      <c r="S11047" s="78">
        <v>38434</v>
      </c>
      <c r="T11047" s="29">
        <v>4.75</v>
      </c>
    </row>
    <row r="11048" spans="19:21" x14ac:dyDescent="0.25">
      <c r="S11048" s="78">
        <v>38435</v>
      </c>
      <c r="T11048" s="29">
        <v>4.75</v>
      </c>
    </row>
    <row r="11049" spans="19:21" x14ac:dyDescent="0.25">
      <c r="S11049" s="78">
        <v>38436</v>
      </c>
      <c r="T11049" s="29">
        <v>4.75</v>
      </c>
    </row>
    <row r="11050" spans="19:21" x14ac:dyDescent="0.25">
      <c r="S11050" s="78">
        <v>38437</v>
      </c>
      <c r="T11050" s="29">
        <v>4.75</v>
      </c>
    </row>
    <row r="11051" spans="19:21" x14ac:dyDescent="0.25">
      <c r="S11051" s="78">
        <v>38438</v>
      </c>
      <c r="T11051" s="29">
        <v>4.75</v>
      </c>
    </row>
    <row r="11052" spans="19:21" x14ac:dyDescent="0.25">
      <c r="S11052" s="78">
        <v>38439</v>
      </c>
      <c r="T11052" s="29">
        <v>4.75</v>
      </c>
    </row>
    <row r="11053" spans="19:21" x14ac:dyDescent="0.25">
      <c r="S11053" s="78">
        <v>38440</v>
      </c>
      <c r="T11053" s="29">
        <v>4.75</v>
      </c>
    </row>
    <row r="11054" spans="19:21" x14ac:dyDescent="0.25">
      <c r="S11054" s="78">
        <v>38441</v>
      </c>
      <c r="T11054" s="29">
        <v>4.75</v>
      </c>
    </row>
    <row r="11055" spans="19:21" x14ac:dyDescent="0.25">
      <c r="S11055" s="78">
        <v>38442</v>
      </c>
      <c r="T11055" s="29">
        <v>4.75</v>
      </c>
      <c r="U11055" s="39">
        <f>AVERAGE(T10966:T11055)</f>
        <v>4.75</v>
      </c>
    </row>
    <row r="11056" spans="19:21" x14ac:dyDescent="0.25">
      <c r="S11056" s="78">
        <v>38443</v>
      </c>
      <c r="T11056" s="29">
        <v>4.75</v>
      </c>
    </row>
    <row r="11057" spans="19:20" x14ac:dyDescent="0.25">
      <c r="S11057" s="78">
        <v>38444</v>
      </c>
      <c r="T11057" s="29">
        <v>4.75</v>
      </c>
    </row>
    <row r="11058" spans="19:20" x14ac:dyDescent="0.25">
      <c r="S11058" s="78">
        <v>38445</v>
      </c>
      <c r="T11058" s="29">
        <v>4.75</v>
      </c>
    </row>
    <row r="11059" spans="19:20" x14ac:dyDescent="0.25">
      <c r="S11059" s="78">
        <v>38446</v>
      </c>
      <c r="T11059" s="29">
        <v>4.75</v>
      </c>
    </row>
    <row r="11060" spans="19:20" x14ac:dyDescent="0.25">
      <c r="S11060" s="78">
        <v>38447</v>
      </c>
      <c r="T11060" s="29">
        <v>4.75</v>
      </c>
    </row>
    <row r="11061" spans="19:20" x14ac:dyDescent="0.25">
      <c r="S11061" s="78">
        <v>38448</v>
      </c>
      <c r="T11061" s="29">
        <v>4.75</v>
      </c>
    </row>
    <row r="11062" spans="19:20" x14ac:dyDescent="0.25">
      <c r="S11062" s="78">
        <v>38449</v>
      </c>
      <c r="T11062" s="29">
        <v>4.75</v>
      </c>
    </row>
    <row r="11063" spans="19:20" x14ac:dyDescent="0.25">
      <c r="S11063" s="78">
        <v>38450</v>
      </c>
      <c r="T11063" s="29">
        <v>4.75</v>
      </c>
    </row>
    <row r="11064" spans="19:20" x14ac:dyDescent="0.25">
      <c r="S11064" s="78">
        <v>38451</v>
      </c>
      <c r="T11064" s="29">
        <v>4.75</v>
      </c>
    </row>
    <row r="11065" spans="19:20" x14ac:dyDescent="0.25">
      <c r="S11065" s="78">
        <v>38452</v>
      </c>
      <c r="T11065" s="29">
        <v>4.75</v>
      </c>
    </row>
    <row r="11066" spans="19:20" x14ac:dyDescent="0.25">
      <c r="S11066" s="78">
        <v>38453</v>
      </c>
      <c r="T11066" s="29">
        <v>4.75</v>
      </c>
    </row>
    <row r="11067" spans="19:20" x14ac:dyDescent="0.25">
      <c r="S11067" s="78">
        <v>38454</v>
      </c>
      <c r="T11067" s="29">
        <v>4.75</v>
      </c>
    </row>
    <row r="11068" spans="19:20" x14ac:dyDescent="0.25">
      <c r="S11068" s="78">
        <v>38455</v>
      </c>
      <c r="T11068" s="29">
        <v>4.75</v>
      </c>
    </row>
    <row r="11069" spans="19:20" x14ac:dyDescent="0.25">
      <c r="S11069" s="78">
        <v>38456</v>
      </c>
      <c r="T11069" s="29">
        <v>4.75</v>
      </c>
    </row>
    <row r="11070" spans="19:20" x14ac:dyDescent="0.25">
      <c r="S11070" s="78">
        <v>38457</v>
      </c>
      <c r="T11070" s="29">
        <v>4.75</v>
      </c>
    </row>
    <row r="11071" spans="19:20" x14ac:dyDescent="0.25">
      <c r="S11071" s="78">
        <v>38458</v>
      </c>
      <c r="T11071" s="29">
        <v>4.75</v>
      </c>
    </row>
    <row r="11072" spans="19:20" x14ac:dyDescent="0.25">
      <c r="S11072" s="78">
        <v>38459</v>
      </c>
      <c r="T11072" s="29">
        <v>4.75</v>
      </c>
    </row>
    <row r="11073" spans="19:20" x14ac:dyDescent="0.25">
      <c r="S11073" s="78">
        <v>38460</v>
      </c>
      <c r="T11073" s="29">
        <v>4.75</v>
      </c>
    </row>
    <row r="11074" spans="19:20" x14ac:dyDescent="0.25">
      <c r="S11074" s="78">
        <v>38461</v>
      </c>
      <c r="T11074" s="29">
        <v>4.75</v>
      </c>
    </row>
    <row r="11075" spans="19:20" x14ac:dyDescent="0.25">
      <c r="S11075" s="78">
        <v>38462</v>
      </c>
      <c r="T11075" s="29">
        <v>4.75</v>
      </c>
    </row>
    <row r="11076" spans="19:20" x14ac:dyDescent="0.25">
      <c r="S11076" s="78">
        <v>38463</v>
      </c>
      <c r="T11076" s="29">
        <v>4.75</v>
      </c>
    </row>
    <row r="11077" spans="19:20" x14ac:dyDescent="0.25">
      <c r="S11077" s="78">
        <v>38464</v>
      </c>
      <c r="T11077" s="29">
        <v>4.75</v>
      </c>
    </row>
    <row r="11078" spans="19:20" x14ac:dyDescent="0.25">
      <c r="S11078" s="78">
        <v>38465</v>
      </c>
      <c r="T11078" s="29">
        <v>4.75</v>
      </c>
    </row>
    <row r="11079" spans="19:20" x14ac:dyDescent="0.25">
      <c r="S11079" s="78">
        <v>38466</v>
      </c>
      <c r="T11079" s="29">
        <v>4.75</v>
      </c>
    </row>
    <row r="11080" spans="19:20" x14ac:dyDescent="0.25">
      <c r="S11080" s="78">
        <v>38467</v>
      </c>
      <c r="T11080" s="29">
        <v>4.75</v>
      </c>
    </row>
    <row r="11081" spans="19:20" x14ac:dyDescent="0.25">
      <c r="S11081" s="78">
        <v>38468</v>
      </c>
      <c r="T11081" s="29">
        <v>4.75</v>
      </c>
    </row>
    <row r="11082" spans="19:20" x14ac:dyDescent="0.25">
      <c r="S11082" s="78">
        <v>38469</v>
      </c>
      <c r="T11082" s="29">
        <v>4.75</v>
      </c>
    </row>
    <row r="11083" spans="19:20" x14ac:dyDescent="0.25">
      <c r="S11083" s="78">
        <v>38470</v>
      </c>
      <c r="T11083" s="29">
        <v>4.75</v>
      </c>
    </row>
    <row r="11084" spans="19:20" x14ac:dyDescent="0.25">
      <c r="S11084" s="78">
        <v>38471</v>
      </c>
      <c r="T11084" s="29">
        <v>4.75</v>
      </c>
    </row>
    <row r="11085" spans="19:20" x14ac:dyDescent="0.25">
      <c r="S11085" s="78">
        <v>38472</v>
      </c>
      <c r="T11085" s="29">
        <v>4.75</v>
      </c>
    </row>
    <row r="11086" spans="19:20" x14ac:dyDescent="0.25">
      <c r="S11086" s="78">
        <v>38473</v>
      </c>
      <c r="T11086" s="29">
        <v>4.75</v>
      </c>
    </row>
    <row r="11087" spans="19:20" x14ac:dyDescent="0.25">
      <c r="S11087" s="78">
        <v>38474</v>
      </c>
      <c r="T11087" s="29">
        <v>4.75</v>
      </c>
    </row>
    <row r="11088" spans="19:20" x14ac:dyDescent="0.25">
      <c r="S11088" s="78">
        <v>38475</v>
      </c>
      <c r="T11088" s="29">
        <v>4.75</v>
      </c>
    </row>
    <row r="11089" spans="19:20" x14ac:dyDescent="0.25">
      <c r="S11089" s="78">
        <v>38476</v>
      </c>
      <c r="T11089" s="29">
        <v>4.75</v>
      </c>
    </row>
    <row r="11090" spans="19:20" x14ac:dyDescent="0.25">
      <c r="S11090" s="78">
        <v>38477</v>
      </c>
      <c r="T11090" s="29">
        <v>4.75</v>
      </c>
    </row>
    <row r="11091" spans="19:20" x14ac:dyDescent="0.25">
      <c r="S11091" s="78">
        <v>38478</v>
      </c>
      <c r="T11091" s="29">
        <v>4.75</v>
      </c>
    </row>
    <row r="11092" spans="19:20" x14ac:dyDescent="0.25">
      <c r="S11092" s="78">
        <v>38479</v>
      </c>
      <c r="T11092" s="29">
        <v>4.75</v>
      </c>
    </row>
    <row r="11093" spans="19:20" x14ac:dyDescent="0.25">
      <c r="S11093" s="78">
        <v>38480</v>
      </c>
      <c r="T11093" s="29">
        <v>4.75</v>
      </c>
    </row>
    <row r="11094" spans="19:20" x14ac:dyDescent="0.25">
      <c r="S11094" s="78">
        <v>38481</v>
      </c>
      <c r="T11094" s="29">
        <v>4.75</v>
      </c>
    </row>
    <row r="11095" spans="19:20" x14ac:dyDescent="0.25">
      <c r="S11095" s="78">
        <v>38482</v>
      </c>
      <c r="T11095" s="29">
        <v>4.75</v>
      </c>
    </row>
    <row r="11096" spans="19:20" x14ac:dyDescent="0.25">
      <c r="S11096" s="78">
        <v>38483</v>
      </c>
      <c r="T11096" s="29">
        <v>4.75</v>
      </c>
    </row>
    <row r="11097" spans="19:20" x14ac:dyDescent="0.25">
      <c r="S11097" s="78">
        <v>38484</v>
      </c>
      <c r="T11097" s="29">
        <v>4.75</v>
      </c>
    </row>
    <row r="11098" spans="19:20" x14ac:dyDescent="0.25">
      <c r="S11098" s="78">
        <v>38485</v>
      </c>
      <c r="T11098" s="29">
        <v>4.75</v>
      </c>
    </row>
    <row r="11099" spans="19:20" x14ac:dyDescent="0.25">
      <c r="S11099" s="78">
        <v>38486</v>
      </c>
      <c r="T11099" s="29">
        <v>4.75</v>
      </c>
    </row>
    <row r="11100" spans="19:20" x14ac:dyDescent="0.25">
      <c r="S11100" s="78">
        <v>38487</v>
      </c>
      <c r="T11100" s="29">
        <v>4.75</v>
      </c>
    </row>
    <row r="11101" spans="19:20" x14ac:dyDescent="0.25">
      <c r="S11101" s="78">
        <v>38488</v>
      </c>
      <c r="T11101" s="29">
        <v>4.75</v>
      </c>
    </row>
    <row r="11102" spans="19:20" x14ac:dyDescent="0.25">
      <c r="S11102" s="78">
        <v>38489</v>
      </c>
      <c r="T11102" s="29">
        <v>4.75</v>
      </c>
    </row>
    <row r="11103" spans="19:20" x14ac:dyDescent="0.25">
      <c r="S11103" s="78">
        <v>38490</v>
      </c>
      <c r="T11103" s="29">
        <v>4.75</v>
      </c>
    </row>
    <row r="11104" spans="19:20" x14ac:dyDescent="0.25">
      <c r="S11104" s="78">
        <v>38491</v>
      </c>
      <c r="T11104" s="29">
        <v>4.75</v>
      </c>
    </row>
    <row r="11105" spans="19:20" x14ac:dyDescent="0.25">
      <c r="S11105" s="78">
        <v>38492</v>
      </c>
      <c r="T11105" s="29">
        <v>4.75</v>
      </c>
    </row>
    <row r="11106" spans="19:20" x14ac:dyDescent="0.25">
      <c r="S11106" s="78">
        <v>38493</v>
      </c>
      <c r="T11106" s="29">
        <v>4.75</v>
      </c>
    </row>
    <row r="11107" spans="19:20" x14ac:dyDescent="0.25">
      <c r="S11107" s="78">
        <v>38494</v>
      </c>
      <c r="T11107" s="29">
        <v>4.75</v>
      </c>
    </row>
    <row r="11108" spans="19:20" x14ac:dyDescent="0.25">
      <c r="S11108" s="78">
        <v>38495</v>
      </c>
      <c r="T11108" s="29">
        <v>4.75</v>
      </c>
    </row>
    <row r="11109" spans="19:20" x14ac:dyDescent="0.25">
      <c r="S11109" s="78">
        <v>38496</v>
      </c>
      <c r="T11109" s="29">
        <v>4.75</v>
      </c>
    </row>
    <row r="11110" spans="19:20" x14ac:dyDescent="0.25">
      <c r="S11110" s="78">
        <v>38497</v>
      </c>
      <c r="T11110" s="29">
        <v>4.75</v>
      </c>
    </row>
    <row r="11111" spans="19:20" x14ac:dyDescent="0.25">
      <c r="S11111" s="78">
        <v>38498</v>
      </c>
      <c r="T11111" s="29">
        <v>4.75</v>
      </c>
    </row>
    <row r="11112" spans="19:20" x14ac:dyDescent="0.25">
      <c r="S11112" s="78">
        <v>38499</v>
      </c>
      <c r="T11112" s="29">
        <v>4.75</v>
      </c>
    </row>
    <row r="11113" spans="19:20" x14ac:dyDescent="0.25">
      <c r="S11113" s="78">
        <v>38500</v>
      </c>
      <c r="T11113" s="29">
        <v>4.75</v>
      </c>
    </row>
    <row r="11114" spans="19:20" x14ac:dyDescent="0.25">
      <c r="S11114" s="78">
        <v>38501</v>
      </c>
      <c r="T11114" s="29">
        <v>4.75</v>
      </c>
    </row>
    <row r="11115" spans="19:20" x14ac:dyDescent="0.25">
      <c r="S11115" s="78">
        <v>38502</v>
      </c>
      <c r="T11115" s="29">
        <v>4.75</v>
      </c>
    </row>
    <row r="11116" spans="19:20" x14ac:dyDescent="0.25">
      <c r="S11116" s="78">
        <v>38503</v>
      </c>
      <c r="T11116" s="29">
        <v>4.75</v>
      </c>
    </row>
    <row r="11117" spans="19:20" x14ac:dyDescent="0.25">
      <c r="S11117" s="78">
        <v>38504</v>
      </c>
      <c r="T11117" s="29">
        <v>4.75</v>
      </c>
    </row>
    <row r="11118" spans="19:20" x14ac:dyDescent="0.25">
      <c r="S11118" s="78">
        <v>38505</v>
      </c>
      <c r="T11118" s="29">
        <v>4.75</v>
      </c>
    </row>
    <row r="11119" spans="19:20" x14ac:dyDescent="0.25">
      <c r="S11119" s="78">
        <v>38506</v>
      </c>
      <c r="T11119" s="29">
        <v>4.75</v>
      </c>
    </row>
    <row r="11120" spans="19:20" x14ac:dyDescent="0.25">
      <c r="S11120" s="78">
        <v>38507</v>
      </c>
      <c r="T11120" s="29">
        <v>4.75</v>
      </c>
    </row>
    <row r="11121" spans="19:20" x14ac:dyDescent="0.25">
      <c r="S11121" s="78">
        <v>38508</v>
      </c>
      <c r="T11121" s="29">
        <v>4.75</v>
      </c>
    </row>
    <row r="11122" spans="19:20" x14ac:dyDescent="0.25">
      <c r="S11122" s="78">
        <v>38509</v>
      </c>
      <c r="T11122" s="29">
        <v>4.75</v>
      </c>
    </row>
    <row r="11123" spans="19:20" x14ac:dyDescent="0.25">
      <c r="S11123" s="78">
        <v>38510</v>
      </c>
      <c r="T11123" s="29">
        <v>4.75</v>
      </c>
    </row>
    <row r="11124" spans="19:20" x14ac:dyDescent="0.25">
      <c r="S11124" s="78">
        <v>38511</v>
      </c>
      <c r="T11124" s="29">
        <v>4.75</v>
      </c>
    </row>
    <row r="11125" spans="19:20" x14ac:dyDescent="0.25">
      <c r="S11125" s="78">
        <v>38512</v>
      </c>
      <c r="T11125" s="29">
        <v>4.75</v>
      </c>
    </row>
    <row r="11126" spans="19:20" x14ac:dyDescent="0.25">
      <c r="S11126" s="78">
        <v>38513</v>
      </c>
      <c r="T11126" s="29">
        <v>4.75</v>
      </c>
    </row>
    <row r="11127" spans="19:20" x14ac:dyDescent="0.25">
      <c r="S11127" s="78">
        <v>38514</v>
      </c>
      <c r="T11127" s="29">
        <v>4.75</v>
      </c>
    </row>
    <row r="11128" spans="19:20" x14ac:dyDescent="0.25">
      <c r="S11128" s="78">
        <v>38515</v>
      </c>
      <c r="T11128" s="29">
        <v>4.75</v>
      </c>
    </row>
    <row r="11129" spans="19:20" x14ac:dyDescent="0.25">
      <c r="S11129" s="78">
        <v>38516</v>
      </c>
      <c r="T11129" s="29">
        <v>4.75</v>
      </c>
    </row>
    <row r="11130" spans="19:20" x14ac:dyDescent="0.25">
      <c r="S11130" s="78">
        <v>38517</v>
      </c>
      <c r="T11130" s="29">
        <v>4.75</v>
      </c>
    </row>
    <row r="11131" spans="19:20" x14ac:dyDescent="0.25">
      <c r="S11131" s="78">
        <v>38518</v>
      </c>
      <c r="T11131" s="29">
        <v>4.75</v>
      </c>
    </row>
    <row r="11132" spans="19:20" x14ac:dyDescent="0.25">
      <c r="S11132" s="78">
        <v>38519</v>
      </c>
      <c r="T11132" s="29">
        <v>4.75</v>
      </c>
    </row>
    <row r="11133" spans="19:20" x14ac:dyDescent="0.25">
      <c r="S11133" s="78">
        <v>38520</v>
      </c>
      <c r="T11133" s="29">
        <v>4.75</v>
      </c>
    </row>
    <row r="11134" spans="19:20" x14ac:dyDescent="0.25">
      <c r="S11134" s="78">
        <v>38521</v>
      </c>
      <c r="T11134" s="29">
        <v>4.75</v>
      </c>
    </row>
    <row r="11135" spans="19:20" x14ac:dyDescent="0.25">
      <c r="S11135" s="78">
        <v>38522</v>
      </c>
      <c r="T11135" s="29">
        <v>4.75</v>
      </c>
    </row>
    <row r="11136" spans="19:20" x14ac:dyDescent="0.25">
      <c r="S11136" s="78">
        <v>38523</v>
      </c>
      <c r="T11136" s="29">
        <v>4.75</v>
      </c>
    </row>
    <row r="11137" spans="19:21" x14ac:dyDescent="0.25">
      <c r="S11137" s="78">
        <v>38524</v>
      </c>
      <c r="T11137" s="29">
        <v>4.75</v>
      </c>
    </row>
    <row r="11138" spans="19:21" x14ac:dyDescent="0.25">
      <c r="S11138" s="78">
        <v>38525</v>
      </c>
      <c r="T11138" s="29">
        <v>4.75</v>
      </c>
    </row>
    <row r="11139" spans="19:21" x14ac:dyDescent="0.25">
      <c r="S11139" s="78">
        <v>38526</v>
      </c>
      <c r="T11139" s="29">
        <v>4.75</v>
      </c>
    </row>
    <row r="11140" spans="19:21" x14ac:dyDescent="0.25">
      <c r="S11140" s="78">
        <v>38527</v>
      </c>
      <c r="T11140" s="29">
        <v>4.75</v>
      </c>
    </row>
    <row r="11141" spans="19:21" x14ac:dyDescent="0.25">
      <c r="S11141" s="78">
        <v>38528</v>
      </c>
      <c r="T11141" s="29">
        <v>4.75</v>
      </c>
    </row>
    <row r="11142" spans="19:21" x14ac:dyDescent="0.25">
      <c r="S11142" s="78">
        <v>38529</v>
      </c>
      <c r="T11142" s="29">
        <v>4.75</v>
      </c>
    </row>
    <row r="11143" spans="19:21" x14ac:dyDescent="0.25">
      <c r="S11143" s="78">
        <v>38530</v>
      </c>
      <c r="T11143" s="29">
        <v>4.75</v>
      </c>
    </row>
    <row r="11144" spans="19:21" x14ac:dyDescent="0.25">
      <c r="S11144" s="78">
        <v>38531</v>
      </c>
      <c r="T11144" s="29">
        <v>4.75</v>
      </c>
    </row>
    <row r="11145" spans="19:21" x14ac:dyDescent="0.25">
      <c r="S11145" s="78">
        <v>38532</v>
      </c>
      <c r="T11145" s="29">
        <v>4.75</v>
      </c>
    </row>
    <row r="11146" spans="19:21" x14ac:dyDescent="0.25">
      <c r="S11146" s="78">
        <v>38533</v>
      </c>
      <c r="T11146" s="29">
        <v>4.75</v>
      </c>
      <c r="U11146" s="40">
        <f>AVERAGE(T11056:T11146)</f>
        <v>4.75</v>
      </c>
    </row>
    <row r="11147" spans="19:21" x14ac:dyDescent="0.25">
      <c r="S11147" s="78">
        <v>38534</v>
      </c>
      <c r="T11147" s="29">
        <v>4.75</v>
      </c>
    </row>
    <row r="11148" spans="19:21" x14ac:dyDescent="0.25">
      <c r="S11148" s="78">
        <v>38535</v>
      </c>
      <c r="T11148" s="29">
        <v>4.75</v>
      </c>
    </row>
    <row r="11149" spans="19:21" x14ac:dyDescent="0.25">
      <c r="S11149" s="78">
        <v>38536</v>
      </c>
      <c r="T11149" s="29">
        <v>4.75</v>
      </c>
    </row>
    <row r="11150" spans="19:21" x14ac:dyDescent="0.25">
      <c r="S11150" s="78">
        <v>38537</v>
      </c>
      <c r="T11150" s="29">
        <v>4.75</v>
      </c>
    </row>
    <row r="11151" spans="19:21" x14ac:dyDescent="0.25">
      <c r="S11151" s="78">
        <v>38538</v>
      </c>
      <c r="T11151" s="29">
        <v>4.75</v>
      </c>
    </row>
    <row r="11152" spans="19:21" x14ac:dyDescent="0.25">
      <c r="S11152" s="78">
        <v>38539</v>
      </c>
      <c r="T11152" s="29">
        <v>4.75</v>
      </c>
    </row>
    <row r="11153" spans="19:20" x14ac:dyDescent="0.25">
      <c r="S11153" s="78">
        <v>38540</v>
      </c>
      <c r="T11153" s="29">
        <v>4.75</v>
      </c>
    </row>
    <row r="11154" spans="19:20" x14ac:dyDescent="0.25">
      <c r="S11154" s="78">
        <v>38541</v>
      </c>
      <c r="T11154" s="29">
        <v>4.75</v>
      </c>
    </row>
    <row r="11155" spans="19:20" x14ac:dyDescent="0.25">
      <c r="S11155" s="78">
        <v>38542</v>
      </c>
      <c r="T11155" s="29">
        <v>4.75</v>
      </c>
    </row>
    <row r="11156" spans="19:20" x14ac:dyDescent="0.25">
      <c r="S11156" s="78">
        <v>38543</v>
      </c>
      <c r="T11156" s="29">
        <v>4.75</v>
      </c>
    </row>
    <row r="11157" spans="19:20" x14ac:dyDescent="0.25">
      <c r="S11157" s="78">
        <v>38544</v>
      </c>
      <c r="T11157" s="29">
        <v>4.75</v>
      </c>
    </row>
    <row r="11158" spans="19:20" x14ac:dyDescent="0.25">
      <c r="S11158" s="78">
        <v>38545</v>
      </c>
      <c r="T11158" s="29">
        <v>4.75</v>
      </c>
    </row>
    <row r="11159" spans="19:20" x14ac:dyDescent="0.25">
      <c r="S11159" s="78">
        <v>38546</v>
      </c>
      <c r="T11159" s="29">
        <v>4.75</v>
      </c>
    </row>
    <row r="11160" spans="19:20" x14ac:dyDescent="0.25">
      <c r="S11160" s="78">
        <v>38547</v>
      </c>
      <c r="T11160" s="29">
        <v>4.75</v>
      </c>
    </row>
    <row r="11161" spans="19:20" x14ac:dyDescent="0.25">
      <c r="S11161" s="78">
        <v>38548</v>
      </c>
      <c r="T11161" s="29">
        <v>4.75</v>
      </c>
    </row>
    <row r="11162" spans="19:20" x14ac:dyDescent="0.25">
      <c r="S11162" s="78">
        <v>38549</v>
      </c>
      <c r="T11162" s="29">
        <v>4.75</v>
      </c>
    </row>
    <row r="11163" spans="19:20" x14ac:dyDescent="0.25">
      <c r="S11163" s="78">
        <v>38550</v>
      </c>
      <c r="T11163" s="29">
        <v>4.75</v>
      </c>
    </row>
    <row r="11164" spans="19:20" x14ac:dyDescent="0.25">
      <c r="S11164" s="78">
        <v>38551</v>
      </c>
      <c r="T11164" s="29">
        <v>4.75</v>
      </c>
    </row>
    <row r="11165" spans="19:20" x14ac:dyDescent="0.25">
      <c r="S11165" s="78">
        <v>38552</v>
      </c>
      <c r="T11165" s="29">
        <v>4.75</v>
      </c>
    </row>
    <row r="11166" spans="19:20" x14ac:dyDescent="0.25">
      <c r="S11166" s="78">
        <v>38553</v>
      </c>
      <c r="T11166" s="29">
        <v>4.75</v>
      </c>
    </row>
    <row r="11167" spans="19:20" x14ac:dyDescent="0.25">
      <c r="S11167" s="78">
        <v>38554</v>
      </c>
      <c r="T11167" s="29">
        <v>4.75</v>
      </c>
    </row>
    <row r="11168" spans="19:20" x14ac:dyDescent="0.25">
      <c r="S11168" s="78">
        <v>38555</v>
      </c>
      <c r="T11168" s="29">
        <v>4.75</v>
      </c>
    </row>
    <row r="11169" spans="19:20" x14ac:dyDescent="0.25">
      <c r="S11169" s="78">
        <v>38556</v>
      </c>
      <c r="T11169" s="29">
        <v>4.75</v>
      </c>
    </row>
    <row r="11170" spans="19:20" x14ac:dyDescent="0.25">
      <c r="S11170" s="78">
        <v>38557</v>
      </c>
      <c r="T11170" s="29">
        <v>4.75</v>
      </c>
    </row>
    <row r="11171" spans="19:20" x14ac:dyDescent="0.25">
      <c r="S11171" s="78">
        <v>38558</v>
      </c>
      <c r="T11171" s="29">
        <v>4.75</v>
      </c>
    </row>
    <row r="11172" spans="19:20" x14ac:dyDescent="0.25">
      <c r="S11172" s="78">
        <v>38559</v>
      </c>
      <c r="T11172" s="29">
        <v>4.75</v>
      </c>
    </row>
    <row r="11173" spans="19:20" x14ac:dyDescent="0.25">
      <c r="S11173" s="78">
        <v>38560</v>
      </c>
      <c r="T11173" s="29">
        <v>4.75</v>
      </c>
    </row>
    <row r="11174" spans="19:20" x14ac:dyDescent="0.25">
      <c r="S11174" s="78">
        <v>38561</v>
      </c>
      <c r="T11174" s="29">
        <v>4.75</v>
      </c>
    </row>
    <row r="11175" spans="19:20" x14ac:dyDescent="0.25">
      <c r="S11175" s="78">
        <v>38562</v>
      </c>
      <c r="T11175" s="29">
        <v>4.75</v>
      </c>
    </row>
    <row r="11176" spans="19:20" x14ac:dyDescent="0.25">
      <c r="S11176" s="78">
        <v>38563</v>
      </c>
      <c r="T11176" s="29">
        <v>4.75</v>
      </c>
    </row>
    <row r="11177" spans="19:20" x14ac:dyDescent="0.25">
      <c r="S11177" s="78">
        <v>38564</v>
      </c>
      <c r="T11177" s="29">
        <v>4.75</v>
      </c>
    </row>
    <row r="11178" spans="19:20" x14ac:dyDescent="0.25">
      <c r="S11178" s="78">
        <v>38565</v>
      </c>
      <c r="T11178" s="29">
        <v>4.75</v>
      </c>
    </row>
    <row r="11179" spans="19:20" x14ac:dyDescent="0.25">
      <c r="S11179" s="78">
        <v>38566</v>
      </c>
      <c r="T11179" s="29">
        <v>4.75</v>
      </c>
    </row>
    <row r="11180" spans="19:20" x14ac:dyDescent="0.25">
      <c r="S11180" s="78">
        <v>38567</v>
      </c>
      <c r="T11180" s="29">
        <v>4.75</v>
      </c>
    </row>
    <row r="11181" spans="19:20" x14ac:dyDescent="0.25">
      <c r="S11181" s="78">
        <v>38568</v>
      </c>
      <c r="T11181" s="29">
        <v>4.5</v>
      </c>
    </row>
    <row r="11182" spans="19:20" x14ac:dyDescent="0.25">
      <c r="S11182" s="78">
        <v>38569</v>
      </c>
      <c r="T11182" s="29">
        <v>4.5</v>
      </c>
    </row>
    <row r="11183" spans="19:20" x14ac:dyDescent="0.25">
      <c r="S11183" s="78">
        <v>38570</v>
      </c>
      <c r="T11183" s="29">
        <v>4.5</v>
      </c>
    </row>
    <row r="11184" spans="19:20" x14ac:dyDescent="0.25">
      <c r="S11184" s="78">
        <v>38571</v>
      </c>
      <c r="T11184" s="29">
        <v>4.5</v>
      </c>
    </row>
    <row r="11185" spans="19:20" x14ac:dyDescent="0.25">
      <c r="S11185" s="78">
        <v>38572</v>
      </c>
      <c r="T11185" s="29">
        <v>4.5</v>
      </c>
    </row>
    <row r="11186" spans="19:20" x14ac:dyDescent="0.25">
      <c r="S11186" s="78">
        <v>38573</v>
      </c>
      <c r="T11186" s="29">
        <v>4.5</v>
      </c>
    </row>
    <row r="11187" spans="19:20" x14ac:dyDescent="0.25">
      <c r="S11187" s="78">
        <v>38574</v>
      </c>
      <c r="T11187" s="29">
        <v>4.5</v>
      </c>
    </row>
    <row r="11188" spans="19:20" x14ac:dyDescent="0.25">
      <c r="S11188" s="78">
        <v>38575</v>
      </c>
      <c r="T11188" s="29">
        <v>4.5</v>
      </c>
    </row>
    <row r="11189" spans="19:20" x14ac:dyDescent="0.25">
      <c r="S11189" s="78">
        <v>38576</v>
      </c>
      <c r="T11189" s="29">
        <v>4.5</v>
      </c>
    </row>
    <row r="11190" spans="19:20" x14ac:dyDescent="0.25">
      <c r="S11190" s="78">
        <v>38577</v>
      </c>
      <c r="T11190" s="29">
        <v>4.5</v>
      </c>
    </row>
    <row r="11191" spans="19:20" x14ac:dyDescent="0.25">
      <c r="S11191" s="78">
        <v>38578</v>
      </c>
      <c r="T11191" s="29">
        <v>4.5</v>
      </c>
    </row>
    <row r="11192" spans="19:20" x14ac:dyDescent="0.25">
      <c r="S11192" s="78">
        <v>38579</v>
      </c>
      <c r="T11192" s="29">
        <v>4.5</v>
      </c>
    </row>
    <row r="11193" spans="19:20" x14ac:dyDescent="0.25">
      <c r="S11193" s="78">
        <v>38580</v>
      </c>
      <c r="T11193" s="29">
        <v>4.5</v>
      </c>
    </row>
    <row r="11194" spans="19:20" x14ac:dyDescent="0.25">
      <c r="S11194" s="78">
        <v>38581</v>
      </c>
      <c r="T11194" s="29">
        <v>4.5</v>
      </c>
    </row>
    <row r="11195" spans="19:20" x14ac:dyDescent="0.25">
      <c r="S11195" s="78">
        <v>38582</v>
      </c>
      <c r="T11195" s="29">
        <v>4.5</v>
      </c>
    </row>
    <row r="11196" spans="19:20" x14ac:dyDescent="0.25">
      <c r="S11196" s="78">
        <v>38583</v>
      </c>
      <c r="T11196" s="29">
        <v>4.5</v>
      </c>
    </row>
    <row r="11197" spans="19:20" x14ac:dyDescent="0.25">
      <c r="S11197" s="78">
        <v>38584</v>
      </c>
      <c r="T11197" s="29">
        <v>4.5</v>
      </c>
    </row>
    <row r="11198" spans="19:20" x14ac:dyDescent="0.25">
      <c r="S11198" s="78">
        <v>38585</v>
      </c>
      <c r="T11198" s="29">
        <v>4.5</v>
      </c>
    </row>
    <row r="11199" spans="19:20" x14ac:dyDescent="0.25">
      <c r="S11199" s="78">
        <v>38586</v>
      </c>
      <c r="T11199" s="29">
        <v>4.5</v>
      </c>
    </row>
    <row r="11200" spans="19:20" x14ac:dyDescent="0.25">
      <c r="S11200" s="78">
        <v>38587</v>
      </c>
      <c r="T11200" s="29">
        <v>4.5</v>
      </c>
    </row>
    <row r="11201" spans="19:20" x14ac:dyDescent="0.25">
      <c r="S11201" s="78">
        <v>38588</v>
      </c>
      <c r="T11201" s="29">
        <v>4.5</v>
      </c>
    </row>
    <row r="11202" spans="19:20" x14ac:dyDescent="0.25">
      <c r="S11202" s="78">
        <v>38589</v>
      </c>
      <c r="T11202" s="29">
        <v>4.5</v>
      </c>
    </row>
    <row r="11203" spans="19:20" x14ac:dyDescent="0.25">
      <c r="S11203" s="78">
        <v>38590</v>
      </c>
      <c r="T11203" s="29">
        <v>4.5</v>
      </c>
    </row>
    <row r="11204" spans="19:20" x14ac:dyDescent="0.25">
      <c r="S11204" s="78">
        <v>38591</v>
      </c>
      <c r="T11204" s="29">
        <v>4.5</v>
      </c>
    </row>
    <row r="11205" spans="19:20" x14ac:dyDescent="0.25">
      <c r="S11205" s="78">
        <v>38592</v>
      </c>
      <c r="T11205" s="29">
        <v>4.5</v>
      </c>
    </row>
    <row r="11206" spans="19:20" x14ac:dyDescent="0.25">
      <c r="S11206" s="78">
        <v>38593</v>
      </c>
      <c r="T11206" s="29">
        <v>4.5</v>
      </c>
    </row>
    <row r="11207" spans="19:20" x14ac:dyDescent="0.25">
      <c r="S11207" s="78">
        <v>38594</v>
      </c>
      <c r="T11207" s="29">
        <v>4.5</v>
      </c>
    </row>
    <row r="11208" spans="19:20" x14ac:dyDescent="0.25">
      <c r="S11208" s="78">
        <v>38595</v>
      </c>
      <c r="T11208" s="29">
        <v>4.5</v>
      </c>
    </row>
    <row r="11209" spans="19:20" x14ac:dyDescent="0.25">
      <c r="S11209" s="78">
        <v>38596</v>
      </c>
      <c r="T11209" s="29">
        <v>4.5</v>
      </c>
    </row>
    <row r="11210" spans="19:20" x14ac:dyDescent="0.25">
      <c r="S11210" s="78">
        <v>38597</v>
      </c>
      <c r="T11210" s="29">
        <v>4.5</v>
      </c>
    </row>
    <row r="11211" spans="19:20" x14ac:dyDescent="0.25">
      <c r="S11211" s="78">
        <v>38598</v>
      </c>
      <c r="T11211" s="29">
        <v>4.5</v>
      </c>
    </row>
    <row r="11212" spans="19:20" x14ac:dyDescent="0.25">
      <c r="S11212" s="78">
        <v>38599</v>
      </c>
      <c r="T11212" s="29">
        <v>4.5</v>
      </c>
    </row>
    <row r="11213" spans="19:20" x14ac:dyDescent="0.25">
      <c r="S11213" s="78">
        <v>38600</v>
      </c>
      <c r="T11213" s="29">
        <v>4.5</v>
      </c>
    </row>
    <row r="11214" spans="19:20" x14ac:dyDescent="0.25">
      <c r="S11214" s="78">
        <v>38601</v>
      </c>
      <c r="T11214" s="29">
        <v>4.5</v>
      </c>
    </row>
    <row r="11215" spans="19:20" x14ac:dyDescent="0.25">
      <c r="S11215" s="78">
        <v>38602</v>
      </c>
      <c r="T11215" s="29">
        <v>4.5</v>
      </c>
    </row>
    <row r="11216" spans="19:20" x14ac:dyDescent="0.25">
      <c r="S11216" s="78">
        <v>38603</v>
      </c>
      <c r="T11216" s="29">
        <v>4.5</v>
      </c>
    </row>
    <row r="11217" spans="19:20" x14ac:dyDescent="0.25">
      <c r="S11217" s="78">
        <v>38604</v>
      </c>
      <c r="T11217" s="29">
        <v>4.5</v>
      </c>
    </row>
    <row r="11218" spans="19:20" x14ac:dyDescent="0.25">
      <c r="S11218" s="78">
        <v>38605</v>
      </c>
      <c r="T11218" s="29">
        <v>4.5</v>
      </c>
    </row>
    <row r="11219" spans="19:20" x14ac:dyDescent="0.25">
      <c r="S11219" s="78">
        <v>38606</v>
      </c>
      <c r="T11219" s="29">
        <v>4.5</v>
      </c>
    </row>
    <row r="11220" spans="19:20" x14ac:dyDescent="0.25">
      <c r="S11220" s="78">
        <v>38607</v>
      </c>
      <c r="T11220" s="29">
        <v>4.5</v>
      </c>
    </row>
    <row r="11221" spans="19:20" x14ac:dyDescent="0.25">
      <c r="S11221" s="78">
        <v>38608</v>
      </c>
      <c r="T11221" s="29">
        <v>4.5</v>
      </c>
    </row>
    <row r="11222" spans="19:20" x14ac:dyDescent="0.25">
      <c r="S11222" s="78">
        <v>38609</v>
      </c>
      <c r="T11222" s="29">
        <v>4.5</v>
      </c>
    </row>
    <row r="11223" spans="19:20" x14ac:dyDescent="0.25">
      <c r="S11223" s="78">
        <v>38610</v>
      </c>
      <c r="T11223" s="29">
        <v>4.5</v>
      </c>
    </row>
    <row r="11224" spans="19:20" x14ac:dyDescent="0.25">
      <c r="S11224" s="78">
        <v>38611</v>
      </c>
      <c r="T11224" s="29">
        <v>4.5</v>
      </c>
    </row>
    <row r="11225" spans="19:20" x14ac:dyDescent="0.25">
      <c r="S11225" s="78">
        <v>38612</v>
      </c>
      <c r="T11225" s="29">
        <v>4.5</v>
      </c>
    </row>
    <row r="11226" spans="19:20" x14ac:dyDescent="0.25">
      <c r="S11226" s="78">
        <v>38613</v>
      </c>
      <c r="T11226" s="29">
        <v>4.5</v>
      </c>
    </row>
    <row r="11227" spans="19:20" x14ac:dyDescent="0.25">
      <c r="S11227" s="78">
        <v>38614</v>
      </c>
      <c r="T11227" s="29">
        <v>4.5</v>
      </c>
    </row>
    <row r="11228" spans="19:20" x14ac:dyDescent="0.25">
      <c r="S11228" s="78">
        <v>38615</v>
      </c>
      <c r="T11228" s="29">
        <v>4.5</v>
      </c>
    </row>
    <row r="11229" spans="19:20" x14ac:dyDescent="0.25">
      <c r="S11229" s="78">
        <v>38616</v>
      </c>
      <c r="T11229" s="29">
        <v>4.5</v>
      </c>
    </row>
    <row r="11230" spans="19:20" x14ac:dyDescent="0.25">
      <c r="S11230" s="78">
        <v>38617</v>
      </c>
      <c r="T11230" s="29">
        <v>4.5</v>
      </c>
    </row>
    <row r="11231" spans="19:20" x14ac:dyDescent="0.25">
      <c r="S11231" s="78">
        <v>38618</v>
      </c>
      <c r="T11231" s="29">
        <v>4.5</v>
      </c>
    </row>
    <row r="11232" spans="19:20" x14ac:dyDescent="0.25">
      <c r="S11232" s="78">
        <v>38619</v>
      </c>
      <c r="T11232" s="29">
        <v>4.5</v>
      </c>
    </row>
    <row r="11233" spans="19:21" x14ac:dyDescent="0.25">
      <c r="S11233" s="78">
        <v>38620</v>
      </c>
      <c r="T11233" s="29">
        <v>4.5</v>
      </c>
    </row>
    <row r="11234" spans="19:21" x14ac:dyDescent="0.25">
      <c r="S11234" s="78">
        <v>38621</v>
      </c>
      <c r="T11234" s="29">
        <v>4.5</v>
      </c>
    </row>
    <row r="11235" spans="19:21" x14ac:dyDescent="0.25">
      <c r="S11235" s="78">
        <v>38622</v>
      </c>
      <c r="T11235" s="29">
        <v>4.5</v>
      </c>
    </row>
    <row r="11236" spans="19:21" x14ac:dyDescent="0.25">
      <c r="S11236" s="78">
        <v>38623</v>
      </c>
      <c r="T11236" s="29">
        <v>4.5</v>
      </c>
    </row>
    <row r="11237" spans="19:21" x14ac:dyDescent="0.25">
      <c r="S11237" s="78">
        <v>38624</v>
      </c>
      <c r="T11237" s="29">
        <v>4.5</v>
      </c>
    </row>
    <row r="11238" spans="19:21" x14ac:dyDescent="0.25">
      <c r="S11238" s="78">
        <v>38625</v>
      </c>
      <c r="T11238" s="29">
        <v>4.5</v>
      </c>
      <c r="U11238" s="40">
        <f>AVERAGE(T11147:T11238)</f>
        <v>4.5923913043478262</v>
      </c>
    </row>
    <row r="11239" spans="19:21" x14ac:dyDescent="0.25">
      <c r="S11239" s="78">
        <v>38626</v>
      </c>
      <c r="T11239" s="29">
        <v>4.5</v>
      </c>
    </row>
    <row r="11240" spans="19:21" x14ac:dyDescent="0.25">
      <c r="S11240" s="78">
        <v>38627</v>
      </c>
      <c r="T11240" s="29">
        <v>4.5</v>
      </c>
    </row>
    <row r="11241" spans="19:21" x14ac:dyDescent="0.25">
      <c r="S11241" s="78">
        <v>38628</v>
      </c>
      <c r="T11241" s="29">
        <v>4.5</v>
      </c>
    </row>
    <row r="11242" spans="19:21" x14ac:dyDescent="0.25">
      <c r="S11242" s="78">
        <v>38629</v>
      </c>
      <c r="T11242" s="29">
        <v>4.5</v>
      </c>
    </row>
    <row r="11243" spans="19:21" x14ac:dyDescent="0.25">
      <c r="S11243" s="78">
        <v>38630</v>
      </c>
      <c r="T11243" s="29">
        <v>4.5</v>
      </c>
    </row>
    <row r="11244" spans="19:21" x14ac:dyDescent="0.25">
      <c r="S11244" s="78">
        <v>38631</v>
      </c>
      <c r="T11244" s="29">
        <v>4.5</v>
      </c>
    </row>
    <row r="11245" spans="19:21" x14ac:dyDescent="0.25">
      <c r="S11245" s="78">
        <v>38632</v>
      </c>
      <c r="T11245" s="29">
        <v>4.5</v>
      </c>
    </row>
    <row r="11246" spans="19:21" x14ac:dyDescent="0.25">
      <c r="S11246" s="78">
        <v>38633</v>
      </c>
      <c r="T11246" s="29">
        <v>4.5</v>
      </c>
    </row>
    <row r="11247" spans="19:21" x14ac:dyDescent="0.25">
      <c r="S11247" s="78">
        <v>38634</v>
      </c>
      <c r="T11247" s="29">
        <v>4.5</v>
      </c>
    </row>
    <row r="11248" spans="19:21" x14ac:dyDescent="0.25">
      <c r="S11248" s="78">
        <v>38635</v>
      </c>
      <c r="T11248" s="29">
        <v>4.5</v>
      </c>
    </row>
    <row r="11249" spans="19:20" x14ac:dyDescent="0.25">
      <c r="S11249" s="78">
        <v>38636</v>
      </c>
      <c r="T11249" s="29">
        <v>4.5</v>
      </c>
    </row>
    <row r="11250" spans="19:20" x14ac:dyDescent="0.25">
      <c r="S11250" s="78">
        <v>38637</v>
      </c>
      <c r="T11250" s="29">
        <v>4.5</v>
      </c>
    </row>
    <row r="11251" spans="19:20" x14ac:dyDescent="0.25">
      <c r="S11251" s="78">
        <v>38638</v>
      </c>
      <c r="T11251" s="29">
        <v>4.5</v>
      </c>
    </row>
    <row r="11252" spans="19:20" x14ac:dyDescent="0.25">
      <c r="S11252" s="78">
        <v>38639</v>
      </c>
      <c r="T11252" s="29">
        <v>4.5</v>
      </c>
    </row>
    <row r="11253" spans="19:20" x14ac:dyDescent="0.25">
      <c r="S11253" s="78">
        <v>38640</v>
      </c>
      <c r="T11253" s="29">
        <v>4.5</v>
      </c>
    </row>
    <row r="11254" spans="19:20" x14ac:dyDescent="0.25">
      <c r="S11254" s="78">
        <v>38641</v>
      </c>
      <c r="T11254" s="29">
        <v>4.5</v>
      </c>
    </row>
    <row r="11255" spans="19:20" x14ac:dyDescent="0.25">
      <c r="S11255" s="78">
        <v>38642</v>
      </c>
      <c r="T11255" s="29">
        <v>4.5</v>
      </c>
    </row>
    <row r="11256" spans="19:20" x14ac:dyDescent="0.25">
      <c r="S11256" s="78">
        <v>38643</v>
      </c>
      <c r="T11256" s="29">
        <v>4.5</v>
      </c>
    </row>
    <row r="11257" spans="19:20" x14ac:dyDescent="0.25">
      <c r="S11257" s="78">
        <v>38644</v>
      </c>
      <c r="T11257" s="29">
        <v>4.5</v>
      </c>
    </row>
    <row r="11258" spans="19:20" x14ac:dyDescent="0.25">
      <c r="S11258" s="78">
        <v>38645</v>
      </c>
      <c r="T11258" s="29">
        <v>4.5</v>
      </c>
    </row>
    <row r="11259" spans="19:20" x14ac:dyDescent="0.25">
      <c r="S11259" s="78">
        <v>38646</v>
      </c>
      <c r="T11259" s="29">
        <v>4.5</v>
      </c>
    </row>
    <row r="11260" spans="19:20" x14ac:dyDescent="0.25">
      <c r="S11260" s="78">
        <v>38647</v>
      </c>
      <c r="T11260" s="29">
        <v>4.5</v>
      </c>
    </row>
    <row r="11261" spans="19:20" x14ac:dyDescent="0.25">
      <c r="S11261" s="78">
        <v>38648</v>
      </c>
      <c r="T11261" s="29">
        <v>4.5</v>
      </c>
    </row>
    <row r="11262" spans="19:20" x14ac:dyDescent="0.25">
      <c r="S11262" s="78">
        <v>38649</v>
      </c>
      <c r="T11262" s="29">
        <v>4.5</v>
      </c>
    </row>
    <row r="11263" spans="19:20" x14ac:dyDescent="0.25">
      <c r="S11263" s="78">
        <v>38650</v>
      </c>
      <c r="T11263" s="29">
        <v>4.5</v>
      </c>
    </row>
    <row r="11264" spans="19:20" x14ac:dyDescent="0.25">
      <c r="S11264" s="78">
        <v>38651</v>
      </c>
      <c r="T11264" s="29">
        <v>4.5</v>
      </c>
    </row>
    <row r="11265" spans="19:20" x14ac:dyDescent="0.25">
      <c r="S11265" s="78">
        <v>38652</v>
      </c>
      <c r="T11265" s="29">
        <v>4.5</v>
      </c>
    </row>
    <row r="11266" spans="19:20" x14ac:dyDescent="0.25">
      <c r="S11266" s="78">
        <v>38653</v>
      </c>
      <c r="T11266" s="29">
        <v>4.5</v>
      </c>
    </row>
    <row r="11267" spans="19:20" x14ac:dyDescent="0.25">
      <c r="S11267" s="78">
        <v>38654</v>
      </c>
      <c r="T11267" s="29">
        <v>4.5</v>
      </c>
    </row>
    <row r="11268" spans="19:20" x14ac:dyDescent="0.25">
      <c r="S11268" s="78">
        <v>38655</v>
      </c>
      <c r="T11268" s="29">
        <v>4.5</v>
      </c>
    </row>
    <row r="11269" spans="19:20" x14ac:dyDescent="0.25">
      <c r="S11269" s="78">
        <v>38656</v>
      </c>
      <c r="T11269" s="29">
        <v>4.5</v>
      </c>
    </row>
    <row r="11270" spans="19:20" x14ac:dyDescent="0.25">
      <c r="S11270" s="78">
        <v>38657</v>
      </c>
      <c r="T11270" s="29">
        <v>4.5</v>
      </c>
    </row>
    <row r="11271" spans="19:20" x14ac:dyDescent="0.25">
      <c r="S11271" s="78">
        <v>38658</v>
      </c>
      <c r="T11271" s="29">
        <v>4.5</v>
      </c>
    </row>
    <row r="11272" spans="19:20" x14ac:dyDescent="0.25">
      <c r="S11272" s="78">
        <v>38659</v>
      </c>
      <c r="T11272" s="29">
        <v>4.5</v>
      </c>
    </row>
    <row r="11273" spans="19:20" x14ac:dyDescent="0.25">
      <c r="S11273" s="78">
        <v>38660</v>
      </c>
      <c r="T11273" s="29">
        <v>4.5</v>
      </c>
    </row>
    <row r="11274" spans="19:20" x14ac:dyDescent="0.25">
      <c r="S11274" s="78">
        <v>38661</v>
      </c>
      <c r="T11274" s="29">
        <v>4.5</v>
      </c>
    </row>
    <row r="11275" spans="19:20" x14ac:dyDescent="0.25">
      <c r="S11275" s="78">
        <v>38662</v>
      </c>
      <c r="T11275" s="29">
        <v>4.5</v>
      </c>
    </row>
    <row r="11276" spans="19:20" x14ac:dyDescent="0.25">
      <c r="S11276" s="78">
        <v>38663</v>
      </c>
      <c r="T11276" s="29">
        <v>4.5</v>
      </c>
    </row>
    <row r="11277" spans="19:20" x14ac:dyDescent="0.25">
      <c r="S11277" s="78">
        <v>38664</v>
      </c>
      <c r="T11277" s="29">
        <v>4.5</v>
      </c>
    </row>
    <row r="11278" spans="19:20" x14ac:dyDescent="0.25">
      <c r="S11278" s="78">
        <v>38665</v>
      </c>
      <c r="T11278" s="29">
        <v>4.5</v>
      </c>
    </row>
    <row r="11279" spans="19:20" x14ac:dyDescent="0.25">
      <c r="S11279" s="78">
        <v>38666</v>
      </c>
      <c r="T11279" s="29">
        <v>4.5</v>
      </c>
    </row>
    <row r="11280" spans="19:20" x14ac:dyDescent="0.25">
      <c r="S11280" s="78">
        <v>38667</v>
      </c>
      <c r="T11280" s="29">
        <v>4.5</v>
      </c>
    </row>
    <row r="11281" spans="19:20" x14ac:dyDescent="0.25">
      <c r="S11281" s="78">
        <v>38668</v>
      </c>
      <c r="T11281" s="29">
        <v>4.5</v>
      </c>
    </row>
    <row r="11282" spans="19:20" x14ac:dyDescent="0.25">
      <c r="S11282" s="78">
        <v>38669</v>
      </c>
      <c r="T11282" s="29">
        <v>4.5</v>
      </c>
    </row>
    <row r="11283" spans="19:20" x14ac:dyDescent="0.25">
      <c r="S11283" s="78">
        <v>38670</v>
      </c>
      <c r="T11283" s="29">
        <v>4.5</v>
      </c>
    </row>
    <row r="11284" spans="19:20" x14ac:dyDescent="0.25">
      <c r="S11284" s="78">
        <v>38671</v>
      </c>
      <c r="T11284" s="29">
        <v>4.5</v>
      </c>
    </row>
    <row r="11285" spans="19:20" x14ac:dyDescent="0.25">
      <c r="S11285" s="78">
        <v>38672</v>
      </c>
      <c r="T11285" s="29">
        <v>4.5</v>
      </c>
    </row>
    <row r="11286" spans="19:20" x14ac:dyDescent="0.25">
      <c r="S11286" s="78">
        <v>38673</v>
      </c>
      <c r="T11286" s="29">
        <v>4.5</v>
      </c>
    </row>
    <row r="11287" spans="19:20" x14ac:dyDescent="0.25">
      <c r="S11287" s="78">
        <v>38674</v>
      </c>
      <c r="T11287" s="29">
        <v>4.5</v>
      </c>
    </row>
    <row r="11288" spans="19:20" x14ac:dyDescent="0.25">
      <c r="S11288" s="78">
        <v>38675</v>
      </c>
      <c r="T11288" s="29">
        <v>4.5</v>
      </c>
    </row>
    <row r="11289" spans="19:20" x14ac:dyDescent="0.25">
      <c r="S11289" s="78">
        <v>38676</v>
      </c>
      <c r="T11289" s="29">
        <v>4.5</v>
      </c>
    </row>
    <row r="11290" spans="19:20" x14ac:dyDescent="0.25">
      <c r="S11290" s="78">
        <v>38677</v>
      </c>
      <c r="T11290" s="29">
        <v>4.5</v>
      </c>
    </row>
    <row r="11291" spans="19:20" x14ac:dyDescent="0.25">
      <c r="S11291" s="78">
        <v>38678</v>
      </c>
      <c r="T11291" s="29">
        <v>4.5</v>
      </c>
    </row>
    <row r="11292" spans="19:20" x14ac:dyDescent="0.25">
      <c r="S11292" s="78">
        <v>38679</v>
      </c>
      <c r="T11292" s="29">
        <v>4.5</v>
      </c>
    </row>
    <row r="11293" spans="19:20" x14ac:dyDescent="0.25">
      <c r="S11293" s="78">
        <v>38680</v>
      </c>
      <c r="T11293" s="29">
        <v>4.5</v>
      </c>
    </row>
    <row r="11294" spans="19:20" x14ac:dyDescent="0.25">
      <c r="S11294" s="78">
        <v>38681</v>
      </c>
      <c r="T11294" s="29">
        <v>4.5</v>
      </c>
    </row>
    <row r="11295" spans="19:20" x14ac:dyDescent="0.25">
      <c r="S11295" s="78">
        <v>38682</v>
      </c>
      <c r="T11295" s="29">
        <v>4.5</v>
      </c>
    </row>
    <row r="11296" spans="19:20" x14ac:dyDescent="0.25">
      <c r="S11296" s="78">
        <v>38683</v>
      </c>
      <c r="T11296" s="29">
        <v>4.5</v>
      </c>
    </row>
    <row r="11297" spans="19:20" x14ac:dyDescent="0.25">
      <c r="S11297" s="78">
        <v>38684</v>
      </c>
      <c r="T11297" s="29">
        <v>4.5</v>
      </c>
    </row>
    <row r="11298" spans="19:20" x14ac:dyDescent="0.25">
      <c r="S11298" s="78">
        <v>38685</v>
      </c>
      <c r="T11298" s="29">
        <v>4.5</v>
      </c>
    </row>
    <row r="11299" spans="19:20" x14ac:dyDescent="0.25">
      <c r="S11299" s="78">
        <v>38686</v>
      </c>
      <c r="T11299" s="29">
        <v>4.5</v>
      </c>
    </row>
    <row r="11300" spans="19:20" x14ac:dyDescent="0.25">
      <c r="S11300" s="78">
        <v>38687</v>
      </c>
      <c r="T11300" s="29">
        <v>4.5</v>
      </c>
    </row>
    <row r="11301" spans="19:20" x14ac:dyDescent="0.25">
      <c r="S11301" s="78">
        <v>38688</v>
      </c>
      <c r="T11301" s="29">
        <v>4.5</v>
      </c>
    </row>
    <row r="11302" spans="19:20" x14ac:dyDescent="0.25">
      <c r="S11302" s="78">
        <v>38689</v>
      </c>
      <c r="T11302" s="29">
        <v>4.5</v>
      </c>
    </row>
    <row r="11303" spans="19:20" x14ac:dyDescent="0.25">
      <c r="S11303" s="78">
        <v>38690</v>
      </c>
      <c r="T11303" s="29">
        <v>4.5</v>
      </c>
    </row>
    <row r="11304" spans="19:20" x14ac:dyDescent="0.25">
      <c r="S11304" s="78">
        <v>38691</v>
      </c>
      <c r="T11304" s="29">
        <v>4.5</v>
      </c>
    </row>
    <row r="11305" spans="19:20" x14ac:dyDescent="0.25">
      <c r="S11305" s="78">
        <v>38692</v>
      </c>
      <c r="T11305" s="29">
        <v>4.5</v>
      </c>
    </row>
    <row r="11306" spans="19:20" x14ac:dyDescent="0.25">
      <c r="S11306" s="78">
        <v>38693</v>
      </c>
      <c r="T11306" s="29">
        <v>4.5</v>
      </c>
    </row>
    <row r="11307" spans="19:20" x14ac:dyDescent="0.25">
      <c r="S11307" s="78">
        <v>38694</v>
      </c>
      <c r="T11307" s="29">
        <v>4.5</v>
      </c>
    </row>
    <row r="11308" spans="19:20" x14ac:dyDescent="0.25">
      <c r="S11308" s="78">
        <v>38695</v>
      </c>
      <c r="T11308" s="29">
        <v>4.5</v>
      </c>
    </row>
    <row r="11309" spans="19:20" x14ac:dyDescent="0.25">
      <c r="S11309" s="78">
        <v>38696</v>
      </c>
      <c r="T11309" s="29">
        <v>4.5</v>
      </c>
    </row>
    <row r="11310" spans="19:20" x14ac:dyDescent="0.25">
      <c r="S11310" s="78">
        <v>38697</v>
      </c>
      <c r="T11310" s="29">
        <v>4.5</v>
      </c>
    </row>
    <row r="11311" spans="19:20" x14ac:dyDescent="0.25">
      <c r="S11311" s="78">
        <v>38698</v>
      </c>
      <c r="T11311" s="29">
        <v>4.5</v>
      </c>
    </row>
    <row r="11312" spans="19:20" x14ac:dyDescent="0.25">
      <c r="S11312" s="78">
        <v>38699</v>
      </c>
      <c r="T11312" s="29">
        <v>4.5</v>
      </c>
    </row>
    <row r="11313" spans="19:20" x14ac:dyDescent="0.25">
      <c r="S11313" s="78">
        <v>38700</v>
      </c>
      <c r="T11313" s="29">
        <v>4.5</v>
      </c>
    </row>
    <row r="11314" spans="19:20" x14ac:dyDescent="0.25">
      <c r="S11314" s="78">
        <v>38701</v>
      </c>
      <c r="T11314" s="29">
        <v>4.5</v>
      </c>
    </row>
    <row r="11315" spans="19:20" x14ac:dyDescent="0.25">
      <c r="S11315" s="78">
        <v>38702</v>
      </c>
      <c r="T11315" s="29">
        <v>4.5</v>
      </c>
    </row>
    <row r="11316" spans="19:20" x14ac:dyDescent="0.25">
      <c r="S11316" s="78">
        <v>38703</v>
      </c>
      <c r="T11316" s="29">
        <v>4.5</v>
      </c>
    </row>
    <row r="11317" spans="19:20" x14ac:dyDescent="0.25">
      <c r="S11317" s="78">
        <v>38704</v>
      </c>
      <c r="T11317" s="29">
        <v>4.5</v>
      </c>
    </row>
    <row r="11318" spans="19:20" x14ac:dyDescent="0.25">
      <c r="S11318" s="78">
        <v>38705</v>
      </c>
      <c r="T11318" s="29">
        <v>4.5</v>
      </c>
    </row>
    <row r="11319" spans="19:20" x14ac:dyDescent="0.25">
      <c r="S11319" s="78">
        <v>38706</v>
      </c>
      <c r="T11319" s="29">
        <v>4.5</v>
      </c>
    </row>
    <row r="11320" spans="19:20" x14ac:dyDescent="0.25">
      <c r="S11320" s="78">
        <v>38707</v>
      </c>
      <c r="T11320" s="29">
        <v>4.5</v>
      </c>
    </row>
    <row r="11321" spans="19:20" x14ac:dyDescent="0.25">
      <c r="S11321" s="78">
        <v>38708</v>
      </c>
      <c r="T11321" s="29">
        <v>4.5</v>
      </c>
    </row>
    <row r="11322" spans="19:20" x14ac:dyDescent="0.25">
      <c r="S11322" s="78">
        <v>38709</v>
      </c>
      <c r="T11322" s="29">
        <v>4.5</v>
      </c>
    </row>
    <row r="11323" spans="19:20" x14ac:dyDescent="0.25">
      <c r="S11323" s="78">
        <v>38710</v>
      </c>
      <c r="T11323" s="29">
        <v>4.5</v>
      </c>
    </row>
    <row r="11324" spans="19:20" x14ac:dyDescent="0.25">
      <c r="S11324" s="78">
        <v>38711</v>
      </c>
      <c r="T11324" s="29">
        <v>4.5</v>
      </c>
    </row>
    <row r="11325" spans="19:20" x14ac:dyDescent="0.25">
      <c r="S11325" s="78">
        <v>38712</v>
      </c>
      <c r="T11325" s="29">
        <v>4.5</v>
      </c>
    </row>
    <row r="11326" spans="19:20" x14ac:dyDescent="0.25">
      <c r="S11326" s="78">
        <v>38713</v>
      </c>
      <c r="T11326" s="29">
        <v>4.5</v>
      </c>
    </row>
    <row r="11327" spans="19:20" x14ac:dyDescent="0.25">
      <c r="S11327" s="78">
        <v>38714</v>
      </c>
      <c r="T11327" s="29">
        <v>4.5</v>
      </c>
    </row>
    <row r="11328" spans="19:20" x14ac:dyDescent="0.25">
      <c r="S11328" s="78">
        <v>38715</v>
      </c>
      <c r="T11328" s="29">
        <v>4.5</v>
      </c>
    </row>
    <row r="11329" spans="19:21" x14ac:dyDescent="0.25">
      <c r="S11329" s="78">
        <v>38716</v>
      </c>
      <c r="T11329" s="29">
        <v>4.5</v>
      </c>
    </row>
    <row r="11330" spans="19:21" x14ac:dyDescent="0.25">
      <c r="S11330" s="78">
        <v>38717</v>
      </c>
      <c r="T11330" s="29">
        <v>4.5</v>
      </c>
      <c r="U11330" s="40">
        <f>AVERAGE(T11239:T11330)</f>
        <v>4.5</v>
      </c>
    </row>
    <row r="11331" spans="19:21" x14ac:dyDescent="0.25">
      <c r="S11331" s="78">
        <v>38718</v>
      </c>
      <c r="T11331" s="29">
        <v>4.5</v>
      </c>
    </row>
    <row r="11332" spans="19:21" x14ac:dyDescent="0.25">
      <c r="S11332" s="78">
        <v>38719</v>
      </c>
      <c r="T11332" s="29">
        <v>4.5</v>
      </c>
    </row>
    <row r="11333" spans="19:21" x14ac:dyDescent="0.25">
      <c r="S11333" s="78">
        <v>38720</v>
      </c>
      <c r="T11333" s="29">
        <v>4.5</v>
      </c>
    </row>
    <row r="11334" spans="19:21" x14ac:dyDescent="0.25">
      <c r="S11334" s="78">
        <v>38721</v>
      </c>
      <c r="T11334" s="29">
        <v>4.5</v>
      </c>
    </row>
    <row r="11335" spans="19:21" x14ac:dyDescent="0.25">
      <c r="S11335" s="78">
        <v>38722</v>
      </c>
      <c r="T11335" s="29">
        <v>4.5</v>
      </c>
    </row>
    <row r="11336" spans="19:21" x14ac:dyDescent="0.25">
      <c r="S11336" s="78">
        <v>38723</v>
      </c>
      <c r="T11336" s="29">
        <v>4.5</v>
      </c>
    </row>
    <row r="11337" spans="19:21" x14ac:dyDescent="0.25">
      <c r="S11337" s="78">
        <v>38724</v>
      </c>
      <c r="T11337" s="29">
        <v>4.5</v>
      </c>
    </row>
    <row r="11338" spans="19:21" x14ac:dyDescent="0.25">
      <c r="S11338" s="78">
        <v>38725</v>
      </c>
      <c r="T11338" s="29">
        <v>4.5</v>
      </c>
    </row>
    <row r="11339" spans="19:21" x14ac:dyDescent="0.25">
      <c r="S11339" s="78">
        <v>38726</v>
      </c>
      <c r="T11339" s="29">
        <v>4.5</v>
      </c>
    </row>
    <row r="11340" spans="19:21" x14ac:dyDescent="0.25">
      <c r="S11340" s="78">
        <v>38727</v>
      </c>
      <c r="T11340" s="29">
        <v>4.5</v>
      </c>
    </row>
    <row r="11341" spans="19:21" x14ac:dyDescent="0.25">
      <c r="S11341" s="78">
        <v>38728</v>
      </c>
      <c r="T11341" s="29">
        <v>4.5</v>
      </c>
    </row>
    <row r="11342" spans="19:21" x14ac:dyDescent="0.25">
      <c r="S11342" s="78">
        <v>38729</v>
      </c>
      <c r="T11342" s="29">
        <v>4.5</v>
      </c>
    </row>
    <row r="11343" spans="19:21" x14ac:dyDescent="0.25">
      <c r="S11343" s="78">
        <v>38730</v>
      </c>
      <c r="T11343" s="29">
        <v>4.5</v>
      </c>
    </row>
    <row r="11344" spans="19:21" x14ac:dyDescent="0.25">
      <c r="S11344" s="78">
        <v>38731</v>
      </c>
      <c r="T11344" s="29">
        <v>4.5</v>
      </c>
    </row>
    <row r="11345" spans="19:20" x14ac:dyDescent="0.25">
      <c r="S11345" s="78">
        <v>38732</v>
      </c>
      <c r="T11345" s="29">
        <v>4.5</v>
      </c>
    </row>
    <row r="11346" spans="19:20" x14ac:dyDescent="0.25">
      <c r="S11346" s="78">
        <v>38733</v>
      </c>
      <c r="T11346" s="29">
        <v>4.5</v>
      </c>
    </row>
    <row r="11347" spans="19:20" x14ac:dyDescent="0.25">
      <c r="S11347" s="78">
        <v>38734</v>
      </c>
      <c r="T11347" s="29">
        <v>4.5</v>
      </c>
    </row>
    <row r="11348" spans="19:20" x14ac:dyDescent="0.25">
      <c r="S11348" s="78">
        <v>38735</v>
      </c>
      <c r="T11348" s="29">
        <v>4.5</v>
      </c>
    </row>
    <row r="11349" spans="19:20" x14ac:dyDescent="0.25">
      <c r="S11349" s="78">
        <v>38736</v>
      </c>
      <c r="T11349" s="29">
        <v>4.5</v>
      </c>
    </row>
    <row r="11350" spans="19:20" x14ac:dyDescent="0.25">
      <c r="S11350" s="78">
        <v>38737</v>
      </c>
      <c r="T11350" s="29">
        <v>4.5</v>
      </c>
    </row>
    <row r="11351" spans="19:20" x14ac:dyDescent="0.25">
      <c r="S11351" s="78">
        <v>38738</v>
      </c>
      <c r="T11351" s="29">
        <v>4.5</v>
      </c>
    </row>
    <row r="11352" spans="19:20" x14ac:dyDescent="0.25">
      <c r="S11352" s="78">
        <v>38739</v>
      </c>
      <c r="T11352" s="29">
        <v>4.5</v>
      </c>
    </row>
    <row r="11353" spans="19:20" x14ac:dyDescent="0.25">
      <c r="S11353" s="78">
        <v>38740</v>
      </c>
      <c r="T11353" s="29">
        <v>4.5</v>
      </c>
    </row>
    <row r="11354" spans="19:20" x14ac:dyDescent="0.25">
      <c r="S11354" s="78">
        <v>38741</v>
      </c>
      <c r="T11354" s="29">
        <v>4.5</v>
      </c>
    </row>
    <row r="11355" spans="19:20" x14ac:dyDescent="0.25">
      <c r="S11355" s="78">
        <v>38742</v>
      </c>
      <c r="T11355" s="29">
        <v>4.5</v>
      </c>
    </row>
    <row r="11356" spans="19:20" x14ac:dyDescent="0.25">
      <c r="S11356" s="78">
        <v>38743</v>
      </c>
      <c r="T11356" s="29">
        <v>4.5</v>
      </c>
    </row>
    <row r="11357" spans="19:20" x14ac:dyDescent="0.25">
      <c r="S11357" s="78">
        <v>38744</v>
      </c>
      <c r="T11357" s="29">
        <v>4.5</v>
      </c>
    </row>
    <row r="11358" spans="19:20" x14ac:dyDescent="0.25">
      <c r="S11358" s="78">
        <v>38745</v>
      </c>
      <c r="T11358" s="29">
        <v>4.5</v>
      </c>
    </row>
    <row r="11359" spans="19:20" x14ac:dyDescent="0.25">
      <c r="S11359" s="78">
        <v>38746</v>
      </c>
      <c r="T11359" s="29">
        <v>4.5</v>
      </c>
    </row>
    <row r="11360" spans="19:20" x14ac:dyDescent="0.25">
      <c r="S11360" s="78">
        <v>38747</v>
      </c>
      <c r="T11360" s="29">
        <v>4.5</v>
      </c>
    </row>
    <row r="11361" spans="19:20" x14ac:dyDescent="0.25">
      <c r="S11361" s="78">
        <v>38748</v>
      </c>
      <c r="T11361" s="29">
        <v>4.5</v>
      </c>
    </row>
    <row r="11362" spans="19:20" x14ac:dyDescent="0.25">
      <c r="S11362" s="78">
        <v>38749</v>
      </c>
      <c r="T11362" s="29">
        <v>4.5</v>
      </c>
    </row>
    <row r="11363" spans="19:20" x14ac:dyDescent="0.25">
      <c r="S11363" s="78">
        <v>38750</v>
      </c>
      <c r="T11363" s="29">
        <v>4.5</v>
      </c>
    </row>
    <row r="11364" spans="19:20" x14ac:dyDescent="0.25">
      <c r="S11364" s="78">
        <v>38751</v>
      </c>
      <c r="T11364" s="29">
        <v>4.5</v>
      </c>
    </row>
    <row r="11365" spans="19:20" x14ac:dyDescent="0.25">
      <c r="S11365" s="78">
        <v>38752</v>
      </c>
      <c r="T11365" s="29">
        <v>4.5</v>
      </c>
    </row>
    <row r="11366" spans="19:20" x14ac:dyDescent="0.25">
      <c r="S11366" s="78">
        <v>38753</v>
      </c>
      <c r="T11366" s="29">
        <v>4.5</v>
      </c>
    </row>
    <row r="11367" spans="19:20" x14ac:dyDescent="0.25">
      <c r="S11367" s="78">
        <v>38754</v>
      </c>
      <c r="T11367" s="29">
        <v>4.5</v>
      </c>
    </row>
    <row r="11368" spans="19:20" x14ac:dyDescent="0.25">
      <c r="S11368" s="78">
        <v>38755</v>
      </c>
      <c r="T11368" s="29">
        <v>4.5</v>
      </c>
    </row>
    <row r="11369" spans="19:20" x14ac:dyDescent="0.25">
      <c r="S11369" s="78">
        <v>38756</v>
      </c>
      <c r="T11369" s="29">
        <v>4.5</v>
      </c>
    </row>
    <row r="11370" spans="19:20" x14ac:dyDescent="0.25">
      <c r="S11370" s="78">
        <v>38757</v>
      </c>
      <c r="T11370" s="29">
        <v>4.5</v>
      </c>
    </row>
    <row r="11371" spans="19:20" x14ac:dyDescent="0.25">
      <c r="S11371" s="78">
        <v>38758</v>
      </c>
      <c r="T11371" s="29">
        <v>4.5</v>
      </c>
    </row>
    <row r="11372" spans="19:20" x14ac:dyDescent="0.25">
      <c r="S11372" s="78">
        <v>38759</v>
      </c>
      <c r="T11372" s="29">
        <v>4.5</v>
      </c>
    </row>
    <row r="11373" spans="19:20" x14ac:dyDescent="0.25">
      <c r="S11373" s="78">
        <v>38760</v>
      </c>
      <c r="T11373" s="29">
        <v>4.5</v>
      </c>
    </row>
    <row r="11374" spans="19:20" x14ac:dyDescent="0.25">
      <c r="S11374" s="78">
        <v>38761</v>
      </c>
      <c r="T11374" s="29">
        <v>4.5</v>
      </c>
    </row>
    <row r="11375" spans="19:20" x14ac:dyDescent="0.25">
      <c r="S11375" s="78">
        <v>38762</v>
      </c>
      <c r="T11375" s="29">
        <v>4.5</v>
      </c>
    </row>
    <row r="11376" spans="19:20" x14ac:dyDescent="0.25">
      <c r="S11376" s="78">
        <v>38763</v>
      </c>
      <c r="T11376" s="29">
        <v>4.5</v>
      </c>
    </row>
    <row r="11377" spans="19:20" x14ac:dyDescent="0.25">
      <c r="S11377" s="78">
        <v>38764</v>
      </c>
      <c r="T11377" s="29">
        <v>4.5</v>
      </c>
    </row>
    <row r="11378" spans="19:20" x14ac:dyDescent="0.25">
      <c r="S11378" s="78">
        <v>38765</v>
      </c>
      <c r="T11378" s="29">
        <v>4.5</v>
      </c>
    </row>
    <row r="11379" spans="19:20" x14ac:dyDescent="0.25">
      <c r="S11379" s="78">
        <v>38766</v>
      </c>
      <c r="T11379" s="29">
        <v>4.5</v>
      </c>
    </row>
    <row r="11380" spans="19:20" x14ac:dyDescent="0.25">
      <c r="S11380" s="78">
        <v>38767</v>
      </c>
      <c r="T11380" s="29">
        <v>4.5</v>
      </c>
    </row>
    <row r="11381" spans="19:20" x14ac:dyDescent="0.25">
      <c r="S11381" s="78">
        <v>38768</v>
      </c>
      <c r="T11381" s="29">
        <v>4.5</v>
      </c>
    </row>
    <row r="11382" spans="19:20" x14ac:dyDescent="0.25">
      <c r="S11382" s="78">
        <v>38769</v>
      </c>
      <c r="T11382" s="29">
        <v>4.5</v>
      </c>
    </row>
    <row r="11383" spans="19:20" x14ac:dyDescent="0.25">
      <c r="S11383" s="78">
        <v>38770</v>
      </c>
      <c r="T11383" s="29">
        <v>4.5</v>
      </c>
    </row>
    <row r="11384" spans="19:20" x14ac:dyDescent="0.25">
      <c r="S11384" s="78">
        <v>38771</v>
      </c>
      <c r="T11384" s="29">
        <v>4.5</v>
      </c>
    </row>
    <row r="11385" spans="19:20" x14ac:dyDescent="0.25">
      <c r="S11385" s="78">
        <v>38772</v>
      </c>
      <c r="T11385" s="29">
        <v>4.5</v>
      </c>
    </row>
    <row r="11386" spans="19:20" x14ac:dyDescent="0.25">
      <c r="S11386" s="78">
        <v>38773</v>
      </c>
      <c r="T11386" s="29">
        <v>4.5</v>
      </c>
    </row>
    <row r="11387" spans="19:20" x14ac:dyDescent="0.25">
      <c r="S11387" s="78">
        <v>38774</v>
      </c>
      <c r="T11387" s="29">
        <v>4.5</v>
      </c>
    </row>
    <row r="11388" spans="19:20" x14ac:dyDescent="0.25">
      <c r="S11388" s="78">
        <v>38775</v>
      </c>
      <c r="T11388" s="29">
        <v>4.5</v>
      </c>
    </row>
    <row r="11389" spans="19:20" x14ac:dyDescent="0.25">
      <c r="S11389" s="78">
        <v>38776</v>
      </c>
      <c r="T11389" s="29">
        <v>4.5</v>
      </c>
    </row>
    <row r="11390" spans="19:20" x14ac:dyDescent="0.25">
      <c r="S11390" s="78">
        <v>38777</v>
      </c>
      <c r="T11390" s="29">
        <v>4.5</v>
      </c>
    </row>
    <row r="11391" spans="19:20" x14ac:dyDescent="0.25">
      <c r="S11391" s="78">
        <v>38778</v>
      </c>
      <c r="T11391" s="29">
        <v>4.5</v>
      </c>
    </row>
    <row r="11392" spans="19:20" x14ac:dyDescent="0.25">
      <c r="S11392" s="78">
        <v>38779</v>
      </c>
      <c r="T11392" s="29">
        <v>4.5</v>
      </c>
    </row>
    <row r="11393" spans="19:20" x14ac:dyDescent="0.25">
      <c r="S11393" s="78">
        <v>38780</v>
      </c>
      <c r="T11393" s="29">
        <v>4.5</v>
      </c>
    </row>
    <row r="11394" spans="19:20" x14ac:dyDescent="0.25">
      <c r="S11394" s="78">
        <v>38781</v>
      </c>
      <c r="T11394" s="29">
        <v>4.5</v>
      </c>
    </row>
    <row r="11395" spans="19:20" x14ac:dyDescent="0.25">
      <c r="S11395" s="78">
        <v>38782</v>
      </c>
      <c r="T11395" s="29">
        <v>4.5</v>
      </c>
    </row>
    <row r="11396" spans="19:20" x14ac:dyDescent="0.25">
      <c r="S11396" s="78">
        <v>38783</v>
      </c>
      <c r="T11396" s="29">
        <v>4.5</v>
      </c>
    </row>
    <row r="11397" spans="19:20" x14ac:dyDescent="0.25">
      <c r="S11397" s="78">
        <v>38784</v>
      </c>
      <c r="T11397" s="29">
        <v>4.5</v>
      </c>
    </row>
    <row r="11398" spans="19:20" x14ac:dyDescent="0.25">
      <c r="S11398" s="78">
        <v>38785</v>
      </c>
      <c r="T11398" s="29">
        <v>4.5</v>
      </c>
    </row>
    <row r="11399" spans="19:20" x14ac:dyDescent="0.25">
      <c r="S11399" s="78">
        <v>38786</v>
      </c>
      <c r="T11399" s="29">
        <v>4.5</v>
      </c>
    </row>
    <row r="11400" spans="19:20" x14ac:dyDescent="0.25">
      <c r="S11400" s="78">
        <v>38787</v>
      </c>
      <c r="T11400" s="29">
        <v>4.5</v>
      </c>
    </row>
    <row r="11401" spans="19:20" x14ac:dyDescent="0.25">
      <c r="S11401" s="78">
        <v>38788</v>
      </c>
      <c r="T11401" s="29">
        <v>4.5</v>
      </c>
    </row>
    <row r="11402" spans="19:20" x14ac:dyDescent="0.25">
      <c r="S11402" s="78">
        <v>38789</v>
      </c>
      <c r="T11402" s="29">
        <v>4.5</v>
      </c>
    </row>
    <row r="11403" spans="19:20" x14ac:dyDescent="0.25">
      <c r="S11403" s="78">
        <v>38790</v>
      </c>
      <c r="T11403" s="29">
        <v>4.5</v>
      </c>
    </row>
    <row r="11404" spans="19:20" x14ac:dyDescent="0.25">
      <c r="S11404" s="78">
        <v>38791</v>
      </c>
      <c r="T11404" s="29">
        <v>4.5</v>
      </c>
    </row>
    <row r="11405" spans="19:20" x14ac:dyDescent="0.25">
      <c r="S11405" s="78">
        <v>38792</v>
      </c>
      <c r="T11405" s="29">
        <v>4.5</v>
      </c>
    </row>
    <row r="11406" spans="19:20" x14ac:dyDescent="0.25">
      <c r="S11406" s="78">
        <v>38793</v>
      </c>
      <c r="T11406" s="29">
        <v>4.5</v>
      </c>
    </row>
    <row r="11407" spans="19:20" x14ac:dyDescent="0.25">
      <c r="S11407" s="78">
        <v>38794</v>
      </c>
      <c r="T11407" s="29">
        <v>4.5</v>
      </c>
    </row>
    <row r="11408" spans="19:20" x14ac:dyDescent="0.25">
      <c r="S11408" s="78">
        <v>38795</v>
      </c>
      <c r="T11408" s="29">
        <v>4.5</v>
      </c>
    </row>
    <row r="11409" spans="19:21" x14ac:dyDescent="0.25">
      <c r="S11409" s="78">
        <v>38796</v>
      </c>
      <c r="T11409" s="29">
        <v>4.5</v>
      </c>
    </row>
    <row r="11410" spans="19:21" x14ac:dyDescent="0.25">
      <c r="S11410" s="78">
        <v>38797</v>
      </c>
      <c r="T11410" s="29">
        <v>4.5</v>
      </c>
    </row>
    <row r="11411" spans="19:21" x14ac:dyDescent="0.25">
      <c r="S11411" s="78">
        <v>38798</v>
      </c>
      <c r="T11411" s="29">
        <v>4.5</v>
      </c>
    </row>
    <row r="11412" spans="19:21" x14ac:dyDescent="0.25">
      <c r="S11412" s="78">
        <v>38799</v>
      </c>
      <c r="T11412" s="29">
        <v>4.5</v>
      </c>
    </row>
    <row r="11413" spans="19:21" x14ac:dyDescent="0.25">
      <c r="S11413" s="78">
        <v>38800</v>
      </c>
      <c r="T11413" s="29">
        <v>4.5</v>
      </c>
    </row>
    <row r="11414" spans="19:21" x14ac:dyDescent="0.25">
      <c r="S11414" s="78">
        <v>38801</v>
      </c>
      <c r="T11414" s="29">
        <v>4.5</v>
      </c>
    </row>
    <row r="11415" spans="19:21" x14ac:dyDescent="0.25">
      <c r="S11415" s="78">
        <v>38802</v>
      </c>
      <c r="T11415" s="29">
        <v>4.5</v>
      </c>
    </row>
    <row r="11416" spans="19:21" x14ac:dyDescent="0.25">
      <c r="S11416" s="78">
        <v>38803</v>
      </c>
      <c r="T11416" s="29">
        <v>4.5</v>
      </c>
    </row>
    <row r="11417" spans="19:21" x14ac:dyDescent="0.25">
      <c r="S11417" s="78">
        <v>38804</v>
      </c>
      <c r="T11417" s="29">
        <v>4.5</v>
      </c>
    </row>
    <row r="11418" spans="19:21" x14ac:dyDescent="0.25">
      <c r="S11418" s="78">
        <v>38805</v>
      </c>
      <c r="T11418" s="29">
        <v>4.5</v>
      </c>
    </row>
    <row r="11419" spans="19:21" x14ac:dyDescent="0.25">
      <c r="S11419" s="78">
        <v>38806</v>
      </c>
      <c r="T11419" s="29">
        <v>4.5</v>
      </c>
    </row>
    <row r="11420" spans="19:21" x14ac:dyDescent="0.25">
      <c r="S11420" s="78">
        <v>38807</v>
      </c>
      <c r="T11420" s="29">
        <v>4.5</v>
      </c>
      <c r="U11420" s="39">
        <f>AVERAGE(T11331:T11420)</f>
        <v>4.5</v>
      </c>
    </row>
    <row r="11421" spans="19:21" x14ac:dyDescent="0.25">
      <c r="S11421" s="78">
        <v>38808</v>
      </c>
      <c r="T11421" s="29">
        <v>4.5</v>
      </c>
    </row>
    <row r="11422" spans="19:21" x14ac:dyDescent="0.25">
      <c r="S11422" s="78">
        <v>38809</v>
      </c>
      <c r="T11422" s="29">
        <v>4.5</v>
      </c>
    </row>
    <row r="11423" spans="19:21" x14ac:dyDescent="0.25">
      <c r="S11423" s="78">
        <v>38810</v>
      </c>
      <c r="T11423" s="29">
        <v>4.5</v>
      </c>
    </row>
    <row r="11424" spans="19:21" x14ac:dyDescent="0.25">
      <c r="S11424" s="78">
        <v>38811</v>
      </c>
      <c r="T11424" s="29">
        <v>4.5</v>
      </c>
    </row>
    <row r="11425" spans="19:20" x14ac:dyDescent="0.25">
      <c r="S11425" s="78">
        <v>38812</v>
      </c>
      <c r="T11425" s="29">
        <v>4.5</v>
      </c>
    </row>
    <row r="11426" spans="19:20" x14ac:dyDescent="0.25">
      <c r="S11426" s="78">
        <v>38813</v>
      </c>
      <c r="T11426" s="29">
        <v>4.5</v>
      </c>
    </row>
    <row r="11427" spans="19:20" x14ac:dyDescent="0.25">
      <c r="S11427" s="78">
        <v>38814</v>
      </c>
      <c r="T11427" s="29">
        <v>4.5</v>
      </c>
    </row>
    <row r="11428" spans="19:20" x14ac:dyDescent="0.25">
      <c r="S11428" s="78">
        <v>38815</v>
      </c>
      <c r="T11428" s="29">
        <v>4.5</v>
      </c>
    </row>
    <row r="11429" spans="19:20" x14ac:dyDescent="0.25">
      <c r="S11429" s="78">
        <v>38816</v>
      </c>
      <c r="T11429" s="29">
        <v>4.5</v>
      </c>
    </row>
    <row r="11430" spans="19:20" x14ac:dyDescent="0.25">
      <c r="S11430" s="78">
        <v>38817</v>
      </c>
      <c r="T11430" s="29">
        <v>4.5</v>
      </c>
    </row>
    <row r="11431" spans="19:20" x14ac:dyDescent="0.25">
      <c r="S11431" s="78">
        <v>38818</v>
      </c>
      <c r="T11431" s="29">
        <v>4.5</v>
      </c>
    </row>
    <row r="11432" spans="19:20" x14ac:dyDescent="0.25">
      <c r="S11432" s="78">
        <v>38819</v>
      </c>
      <c r="T11432" s="29">
        <v>4.5</v>
      </c>
    </row>
    <row r="11433" spans="19:20" x14ac:dyDescent="0.25">
      <c r="S11433" s="78">
        <v>38820</v>
      </c>
      <c r="T11433" s="29">
        <v>4.5</v>
      </c>
    </row>
    <row r="11434" spans="19:20" x14ac:dyDescent="0.25">
      <c r="S11434" s="78">
        <v>38821</v>
      </c>
      <c r="T11434" s="29">
        <v>4.5</v>
      </c>
    </row>
    <row r="11435" spans="19:20" x14ac:dyDescent="0.25">
      <c r="S11435" s="78">
        <v>38822</v>
      </c>
      <c r="T11435" s="29">
        <v>4.5</v>
      </c>
    </row>
    <row r="11436" spans="19:20" x14ac:dyDescent="0.25">
      <c r="S11436" s="78">
        <v>38823</v>
      </c>
      <c r="T11436" s="29">
        <v>4.5</v>
      </c>
    </row>
    <row r="11437" spans="19:20" x14ac:dyDescent="0.25">
      <c r="S11437" s="78">
        <v>38824</v>
      </c>
      <c r="T11437" s="29">
        <v>4.5</v>
      </c>
    </row>
    <row r="11438" spans="19:20" x14ac:dyDescent="0.25">
      <c r="S11438" s="78">
        <v>38825</v>
      </c>
      <c r="T11438" s="29">
        <v>4.5</v>
      </c>
    </row>
    <row r="11439" spans="19:20" x14ac:dyDescent="0.25">
      <c r="S11439" s="78">
        <v>38826</v>
      </c>
      <c r="T11439" s="29">
        <v>4.5</v>
      </c>
    </row>
    <row r="11440" spans="19:20" x14ac:dyDescent="0.25">
      <c r="S11440" s="78">
        <v>38827</v>
      </c>
      <c r="T11440" s="29">
        <v>4.5</v>
      </c>
    </row>
    <row r="11441" spans="19:20" x14ac:dyDescent="0.25">
      <c r="S11441" s="78">
        <v>38828</v>
      </c>
      <c r="T11441" s="29">
        <v>4.5</v>
      </c>
    </row>
    <row r="11442" spans="19:20" x14ac:dyDescent="0.25">
      <c r="S11442" s="78">
        <v>38829</v>
      </c>
      <c r="T11442" s="29">
        <v>4.5</v>
      </c>
    </row>
    <row r="11443" spans="19:20" x14ac:dyDescent="0.25">
      <c r="S11443" s="78">
        <v>38830</v>
      </c>
      <c r="T11443" s="29">
        <v>4.5</v>
      </c>
    </row>
    <row r="11444" spans="19:20" x14ac:dyDescent="0.25">
      <c r="S11444" s="78">
        <v>38831</v>
      </c>
      <c r="T11444" s="29">
        <v>4.5</v>
      </c>
    </row>
    <row r="11445" spans="19:20" x14ac:dyDescent="0.25">
      <c r="S11445" s="78">
        <v>38832</v>
      </c>
      <c r="T11445" s="29">
        <v>4.5</v>
      </c>
    </row>
    <row r="11446" spans="19:20" x14ac:dyDescent="0.25">
      <c r="S11446" s="78">
        <v>38833</v>
      </c>
      <c r="T11446" s="29">
        <v>4.5</v>
      </c>
    </row>
    <row r="11447" spans="19:20" x14ac:dyDescent="0.25">
      <c r="S11447" s="78">
        <v>38834</v>
      </c>
      <c r="T11447" s="29">
        <v>4.5</v>
      </c>
    </row>
    <row r="11448" spans="19:20" x14ac:dyDescent="0.25">
      <c r="S11448" s="78">
        <v>38835</v>
      </c>
      <c r="T11448" s="29">
        <v>4.5</v>
      </c>
    </row>
    <row r="11449" spans="19:20" x14ac:dyDescent="0.25">
      <c r="S11449" s="78">
        <v>38836</v>
      </c>
      <c r="T11449" s="29">
        <v>4.5</v>
      </c>
    </row>
    <row r="11450" spans="19:20" x14ac:dyDescent="0.25">
      <c r="S11450" s="78">
        <v>38837</v>
      </c>
      <c r="T11450" s="29">
        <v>4.5</v>
      </c>
    </row>
    <row r="11451" spans="19:20" x14ac:dyDescent="0.25">
      <c r="S11451" s="78">
        <v>38838</v>
      </c>
      <c r="T11451" s="29">
        <v>4.5</v>
      </c>
    </row>
    <row r="11452" spans="19:20" x14ac:dyDescent="0.25">
      <c r="S11452" s="78">
        <v>38839</v>
      </c>
      <c r="T11452" s="29">
        <v>4.5</v>
      </c>
    </row>
    <row r="11453" spans="19:20" x14ac:dyDescent="0.25">
      <c r="S11453" s="78">
        <v>38840</v>
      </c>
      <c r="T11453" s="29">
        <v>4.5</v>
      </c>
    </row>
    <row r="11454" spans="19:20" x14ac:dyDescent="0.25">
      <c r="S11454" s="78">
        <v>38841</v>
      </c>
      <c r="T11454" s="29">
        <v>4.5</v>
      </c>
    </row>
    <row r="11455" spans="19:20" x14ac:dyDescent="0.25">
      <c r="S11455" s="78">
        <v>38842</v>
      </c>
      <c r="T11455" s="29">
        <v>4.5</v>
      </c>
    </row>
    <row r="11456" spans="19:20" x14ac:dyDescent="0.25">
      <c r="S11456" s="78">
        <v>38843</v>
      </c>
      <c r="T11456" s="29">
        <v>4.5</v>
      </c>
    </row>
    <row r="11457" spans="19:20" x14ac:dyDescent="0.25">
      <c r="S11457" s="78">
        <v>38844</v>
      </c>
      <c r="T11457" s="29">
        <v>4.5</v>
      </c>
    </row>
    <row r="11458" spans="19:20" x14ac:dyDescent="0.25">
      <c r="S11458" s="78">
        <v>38845</v>
      </c>
      <c r="T11458" s="29">
        <v>4.5</v>
      </c>
    </row>
    <row r="11459" spans="19:20" x14ac:dyDescent="0.25">
      <c r="S11459" s="78">
        <v>38846</v>
      </c>
      <c r="T11459" s="29">
        <v>4.5</v>
      </c>
    </row>
    <row r="11460" spans="19:20" x14ac:dyDescent="0.25">
      <c r="S11460" s="78">
        <v>38847</v>
      </c>
      <c r="T11460" s="29">
        <v>4.5</v>
      </c>
    </row>
    <row r="11461" spans="19:20" x14ac:dyDescent="0.25">
      <c r="S11461" s="78">
        <v>38848</v>
      </c>
      <c r="T11461" s="29">
        <v>4.5</v>
      </c>
    </row>
    <row r="11462" spans="19:20" x14ac:dyDescent="0.25">
      <c r="S11462" s="78">
        <v>38849</v>
      </c>
      <c r="T11462" s="29">
        <v>4.5</v>
      </c>
    </row>
    <row r="11463" spans="19:20" x14ac:dyDescent="0.25">
      <c r="S11463" s="78">
        <v>38850</v>
      </c>
      <c r="T11463" s="29">
        <v>4.5</v>
      </c>
    </row>
    <row r="11464" spans="19:20" x14ac:dyDescent="0.25">
      <c r="S11464" s="78">
        <v>38851</v>
      </c>
      <c r="T11464" s="29">
        <v>4.5</v>
      </c>
    </row>
    <row r="11465" spans="19:20" x14ac:dyDescent="0.25">
      <c r="S11465" s="78">
        <v>38852</v>
      </c>
      <c r="T11465" s="29">
        <v>4.5</v>
      </c>
    </row>
    <row r="11466" spans="19:20" x14ac:dyDescent="0.25">
      <c r="S11466" s="78">
        <v>38853</v>
      </c>
      <c r="T11466" s="29">
        <v>4.5</v>
      </c>
    </row>
    <row r="11467" spans="19:20" x14ac:dyDescent="0.25">
      <c r="S11467" s="78">
        <v>38854</v>
      </c>
      <c r="T11467" s="29">
        <v>4.5</v>
      </c>
    </row>
    <row r="11468" spans="19:20" x14ac:dyDescent="0.25">
      <c r="S11468" s="78">
        <v>38855</v>
      </c>
      <c r="T11468" s="29">
        <v>4.5</v>
      </c>
    </row>
    <row r="11469" spans="19:20" x14ac:dyDescent="0.25">
      <c r="S11469" s="78">
        <v>38856</v>
      </c>
      <c r="T11469" s="29">
        <v>4.5</v>
      </c>
    </row>
    <row r="11470" spans="19:20" x14ac:dyDescent="0.25">
      <c r="S11470" s="78">
        <v>38857</v>
      </c>
      <c r="T11470" s="29">
        <v>4.5</v>
      </c>
    </row>
    <row r="11471" spans="19:20" x14ac:dyDescent="0.25">
      <c r="S11471" s="78">
        <v>38858</v>
      </c>
      <c r="T11471" s="29">
        <v>4.5</v>
      </c>
    </row>
    <row r="11472" spans="19:20" x14ac:dyDescent="0.25">
      <c r="S11472" s="78">
        <v>38859</v>
      </c>
      <c r="T11472" s="29">
        <v>4.5</v>
      </c>
    </row>
    <row r="11473" spans="19:20" x14ac:dyDescent="0.25">
      <c r="S11473" s="78">
        <v>38860</v>
      </c>
      <c r="T11473" s="29">
        <v>4.5</v>
      </c>
    </row>
    <row r="11474" spans="19:20" x14ac:dyDescent="0.25">
      <c r="S11474" s="78">
        <v>38861</v>
      </c>
      <c r="T11474" s="29">
        <v>4.5</v>
      </c>
    </row>
    <row r="11475" spans="19:20" x14ac:dyDescent="0.25">
      <c r="S11475" s="78">
        <v>38862</v>
      </c>
      <c r="T11475" s="29">
        <v>4.5</v>
      </c>
    </row>
    <row r="11476" spans="19:20" x14ac:dyDescent="0.25">
      <c r="S11476" s="78">
        <v>38863</v>
      </c>
      <c r="T11476" s="29">
        <v>4.5</v>
      </c>
    </row>
    <row r="11477" spans="19:20" x14ac:dyDescent="0.25">
      <c r="S11477" s="78">
        <v>38864</v>
      </c>
      <c r="T11477" s="29">
        <v>4.5</v>
      </c>
    </row>
    <row r="11478" spans="19:20" x14ac:dyDescent="0.25">
      <c r="S11478" s="78">
        <v>38865</v>
      </c>
      <c r="T11478" s="29">
        <v>4.5</v>
      </c>
    </row>
    <row r="11479" spans="19:20" x14ac:dyDescent="0.25">
      <c r="S11479" s="78">
        <v>38866</v>
      </c>
      <c r="T11479" s="29">
        <v>4.5</v>
      </c>
    </row>
    <row r="11480" spans="19:20" x14ac:dyDescent="0.25">
      <c r="S11480" s="78">
        <v>38867</v>
      </c>
      <c r="T11480" s="29">
        <v>4.5</v>
      </c>
    </row>
    <row r="11481" spans="19:20" x14ac:dyDescent="0.25">
      <c r="S11481" s="78">
        <v>38868</v>
      </c>
      <c r="T11481" s="29">
        <v>4.5</v>
      </c>
    </row>
    <row r="11482" spans="19:20" x14ac:dyDescent="0.25">
      <c r="S11482" s="78">
        <v>38869</v>
      </c>
      <c r="T11482" s="29">
        <v>4.5</v>
      </c>
    </row>
    <row r="11483" spans="19:20" x14ac:dyDescent="0.25">
      <c r="S11483" s="78">
        <v>38870</v>
      </c>
      <c r="T11483" s="29">
        <v>4.5</v>
      </c>
    </row>
    <row r="11484" spans="19:20" x14ac:dyDescent="0.25">
      <c r="S11484" s="78">
        <v>38871</v>
      </c>
      <c r="T11484" s="29">
        <v>4.5</v>
      </c>
    </row>
    <row r="11485" spans="19:20" x14ac:dyDescent="0.25">
      <c r="S11485" s="78">
        <v>38872</v>
      </c>
      <c r="T11485" s="29">
        <v>4.5</v>
      </c>
    </row>
    <row r="11486" spans="19:20" x14ac:dyDescent="0.25">
      <c r="S11486" s="78">
        <v>38873</v>
      </c>
      <c r="T11486" s="29">
        <v>4.5</v>
      </c>
    </row>
    <row r="11487" spans="19:20" x14ac:dyDescent="0.25">
      <c r="S11487" s="78">
        <v>38874</v>
      </c>
      <c r="T11487" s="29">
        <v>4.5</v>
      </c>
    </row>
    <row r="11488" spans="19:20" x14ac:dyDescent="0.25">
      <c r="S11488" s="78">
        <v>38875</v>
      </c>
      <c r="T11488" s="29">
        <v>4.5</v>
      </c>
    </row>
    <row r="11489" spans="19:20" x14ac:dyDescent="0.25">
      <c r="S11489" s="78">
        <v>38876</v>
      </c>
      <c r="T11489" s="29">
        <v>4.5</v>
      </c>
    </row>
    <row r="11490" spans="19:20" x14ac:dyDescent="0.25">
      <c r="S11490" s="78">
        <v>38877</v>
      </c>
      <c r="T11490" s="29">
        <v>4.5</v>
      </c>
    </row>
    <row r="11491" spans="19:20" x14ac:dyDescent="0.25">
      <c r="S11491" s="78">
        <v>38878</v>
      </c>
      <c r="T11491" s="29">
        <v>4.5</v>
      </c>
    </row>
    <row r="11492" spans="19:20" x14ac:dyDescent="0.25">
      <c r="S11492" s="78">
        <v>38879</v>
      </c>
      <c r="T11492" s="29">
        <v>4.5</v>
      </c>
    </row>
    <row r="11493" spans="19:20" x14ac:dyDescent="0.25">
      <c r="S11493" s="78">
        <v>38880</v>
      </c>
      <c r="T11493" s="29">
        <v>4.5</v>
      </c>
    </row>
    <row r="11494" spans="19:20" x14ac:dyDescent="0.25">
      <c r="S11494" s="78">
        <v>38881</v>
      </c>
      <c r="T11494" s="29">
        <v>4.5</v>
      </c>
    </row>
    <row r="11495" spans="19:20" x14ac:dyDescent="0.25">
      <c r="S11495" s="78">
        <v>38882</v>
      </c>
      <c r="T11495" s="29">
        <v>4.5</v>
      </c>
    </row>
    <row r="11496" spans="19:20" x14ac:dyDescent="0.25">
      <c r="S11496" s="78">
        <v>38883</v>
      </c>
      <c r="T11496" s="29">
        <v>4.5</v>
      </c>
    </row>
    <row r="11497" spans="19:20" x14ac:dyDescent="0.25">
      <c r="S11497" s="78">
        <v>38884</v>
      </c>
      <c r="T11497" s="29">
        <v>4.5</v>
      </c>
    </row>
    <row r="11498" spans="19:20" x14ac:dyDescent="0.25">
      <c r="S11498" s="78">
        <v>38885</v>
      </c>
      <c r="T11498" s="29">
        <v>4.5</v>
      </c>
    </row>
    <row r="11499" spans="19:20" x14ac:dyDescent="0.25">
      <c r="S11499" s="78">
        <v>38886</v>
      </c>
      <c r="T11499" s="29">
        <v>4.5</v>
      </c>
    </row>
    <row r="11500" spans="19:20" x14ac:dyDescent="0.25">
      <c r="S11500" s="78">
        <v>38887</v>
      </c>
      <c r="T11500" s="29">
        <v>4.5</v>
      </c>
    </row>
    <row r="11501" spans="19:20" x14ac:dyDescent="0.25">
      <c r="S11501" s="78">
        <v>38888</v>
      </c>
      <c r="T11501" s="29">
        <v>4.5</v>
      </c>
    </row>
    <row r="11502" spans="19:20" x14ac:dyDescent="0.25">
      <c r="S11502" s="78">
        <v>38889</v>
      </c>
      <c r="T11502" s="29">
        <v>4.5</v>
      </c>
    </row>
    <row r="11503" spans="19:20" x14ac:dyDescent="0.25">
      <c r="S11503" s="78">
        <v>38890</v>
      </c>
      <c r="T11503" s="29">
        <v>4.5</v>
      </c>
    </row>
    <row r="11504" spans="19:20" x14ac:dyDescent="0.25">
      <c r="S11504" s="78">
        <v>38891</v>
      </c>
      <c r="T11504" s="29">
        <v>4.5</v>
      </c>
    </row>
    <row r="11505" spans="19:21" x14ac:dyDescent="0.25">
      <c r="S11505" s="78">
        <v>38892</v>
      </c>
      <c r="T11505" s="29">
        <v>4.5</v>
      </c>
    </row>
    <row r="11506" spans="19:21" x14ac:dyDescent="0.25">
      <c r="S11506" s="78">
        <v>38893</v>
      </c>
      <c r="T11506" s="29">
        <v>4.5</v>
      </c>
    </row>
    <row r="11507" spans="19:21" x14ac:dyDescent="0.25">
      <c r="S11507" s="78">
        <v>38894</v>
      </c>
      <c r="T11507" s="29">
        <v>4.5</v>
      </c>
    </row>
    <row r="11508" spans="19:21" x14ac:dyDescent="0.25">
      <c r="S11508" s="78">
        <v>38895</v>
      </c>
      <c r="T11508" s="29">
        <v>4.5</v>
      </c>
    </row>
    <row r="11509" spans="19:21" x14ac:dyDescent="0.25">
      <c r="S11509" s="78">
        <v>38896</v>
      </c>
      <c r="T11509" s="29">
        <v>4.5</v>
      </c>
    </row>
    <row r="11510" spans="19:21" x14ac:dyDescent="0.25">
      <c r="S11510" s="78">
        <v>38897</v>
      </c>
      <c r="T11510" s="29">
        <v>4.5</v>
      </c>
    </row>
    <row r="11511" spans="19:21" x14ac:dyDescent="0.25">
      <c r="S11511" s="78">
        <v>38898</v>
      </c>
      <c r="T11511" s="29">
        <v>4.5</v>
      </c>
      <c r="U11511" s="40">
        <f>AVERAGE(T11421:T11511)</f>
        <v>4.5</v>
      </c>
    </row>
    <row r="11512" spans="19:21" x14ac:dyDescent="0.25">
      <c r="S11512" s="78">
        <v>38899</v>
      </c>
      <c r="T11512" s="29">
        <v>4.5</v>
      </c>
    </row>
    <row r="11513" spans="19:21" x14ac:dyDescent="0.25">
      <c r="S11513" s="78">
        <v>38900</v>
      </c>
      <c r="T11513" s="29">
        <v>4.5</v>
      </c>
    </row>
    <row r="11514" spans="19:21" x14ac:dyDescent="0.25">
      <c r="S11514" s="78">
        <v>38901</v>
      </c>
      <c r="T11514" s="29">
        <v>4.5</v>
      </c>
    </row>
    <row r="11515" spans="19:21" x14ac:dyDescent="0.25">
      <c r="S11515" s="78">
        <v>38902</v>
      </c>
      <c r="T11515" s="29">
        <v>4.5</v>
      </c>
    </row>
    <row r="11516" spans="19:21" x14ac:dyDescent="0.25">
      <c r="S11516" s="78">
        <v>38903</v>
      </c>
      <c r="T11516" s="29">
        <v>4.5</v>
      </c>
    </row>
    <row r="11517" spans="19:21" x14ac:dyDescent="0.25">
      <c r="S11517" s="78">
        <v>38904</v>
      </c>
      <c r="T11517" s="29">
        <v>4.5</v>
      </c>
    </row>
    <row r="11518" spans="19:21" x14ac:dyDescent="0.25">
      <c r="S11518" s="78">
        <v>38905</v>
      </c>
      <c r="T11518" s="29">
        <v>4.5</v>
      </c>
    </row>
    <row r="11519" spans="19:21" x14ac:dyDescent="0.25">
      <c r="S11519" s="78">
        <v>38906</v>
      </c>
      <c r="T11519" s="29">
        <v>4.5</v>
      </c>
    </row>
    <row r="11520" spans="19:21" x14ac:dyDescent="0.25">
      <c r="S11520" s="78">
        <v>38907</v>
      </c>
      <c r="T11520" s="29">
        <v>4.5</v>
      </c>
    </row>
    <row r="11521" spans="19:20" x14ac:dyDescent="0.25">
      <c r="S11521" s="78">
        <v>38908</v>
      </c>
      <c r="T11521" s="29">
        <v>4.5</v>
      </c>
    </row>
    <row r="11522" spans="19:20" x14ac:dyDescent="0.25">
      <c r="S11522" s="78">
        <v>38909</v>
      </c>
      <c r="T11522" s="29">
        <v>4.5</v>
      </c>
    </row>
    <row r="11523" spans="19:20" x14ac:dyDescent="0.25">
      <c r="S11523" s="78">
        <v>38910</v>
      </c>
      <c r="T11523" s="29">
        <v>4.5</v>
      </c>
    </row>
    <row r="11524" spans="19:20" x14ac:dyDescent="0.25">
      <c r="S11524" s="78">
        <v>38911</v>
      </c>
      <c r="T11524" s="29">
        <v>4.5</v>
      </c>
    </row>
    <row r="11525" spans="19:20" x14ac:dyDescent="0.25">
      <c r="S11525" s="78">
        <v>38912</v>
      </c>
      <c r="T11525" s="29">
        <v>4.5</v>
      </c>
    </row>
    <row r="11526" spans="19:20" x14ac:dyDescent="0.25">
      <c r="S11526" s="78">
        <v>38913</v>
      </c>
      <c r="T11526" s="29">
        <v>4.5</v>
      </c>
    </row>
    <row r="11527" spans="19:20" x14ac:dyDescent="0.25">
      <c r="S11527" s="78">
        <v>38914</v>
      </c>
      <c r="T11527" s="29">
        <v>4.5</v>
      </c>
    </row>
    <row r="11528" spans="19:20" x14ac:dyDescent="0.25">
      <c r="S11528" s="78">
        <v>38915</v>
      </c>
      <c r="T11528" s="29">
        <v>4.5</v>
      </c>
    </row>
    <row r="11529" spans="19:20" x14ac:dyDescent="0.25">
      <c r="S11529" s="78">
        <v>38916</v>
      </c>
      <c r="T11529" s="29">
        <v>4.5</v>
      </c>
    </row>
    <row r="11530" spans="19:20" x14ac:dyDescent="0.25">
      <c r="S11530" s="78">
        <v>38917</v>
      </c>
      <c r="T11530" s="29">
        <v>4.5</v>
      </c>
    </row>
    <row r="11531" spans="19:20" x14ac:dyDescent="0.25">
      <c r="S11531" s="78">
        <v>38918</v>
      </c>
      <c r="T11531" s="29">
        <v>4.5</v>
      </c>
    </row>
    <row r="11532" spans="19:20" x14ac:dyDescent="0.25">
      <c r="S11532" s="78">
        <v>38919</v>
      </c>
      <c r="T11532" s="29">
        <v>4.5</v>
      </c>
    </row>
    <row r="11533" spans="19:20" x14ac:dyDescent="0.25">
      <c r="S11533" s="78">
        <v>38920</v>
      </c>
      <c r="T11533" s="29">
        <v>4.5</v>
      </c>
    </row>
    <row r="11534" spans="19:20" x14ac:dyDescent="0.25">
      <c r="S11534" s="78">
        <v>38921</v>
      </c>
      <c r="T11534" s="29">
        <v>4.5</v>
      </c>
    </row>
    <row r="11535" spans="19:20" x14ac:dyDescent="0.25">
      <c r="S11535" s="78">
        <v>38922</v>
      </c>
      <c r="T11535" s="29">
        <v>4.5</v>
      </c>
    </row>
    <row r="11536" spans="19:20" x14ac:dyDescent="0.25">
      <c r="S11536" s="78">
        <v>38923</v>
      </c>
      <c r="T11536" s="29">
        <v>4.5</v>
      </c>
    </row>
    <row r="11537" spans="19:20" x14ac:dyDescent="0.25">
      <c r="S11537" s="78">
        <v>38924</v>
      </c>
      <c r="T11537" s="29">
        <v>4.5</v>
      </c>
    </row>
    <row r="11538" spans="19:20" x14ac:dyDescent="0.25">
      <c r="S11538" s="78">
        <v>38925</v>
      </c>
      <c r="T11538" s="29">
        <v>4.5</v>
      </c>
    </row>
    <row r="11539" spans="19:20" x14ac:dyDescent="0.25">
      <c r="S11539" s="78">
        <v>38926</v>
      </c>
      <c r="T11539" s="29">
        <v>4.5</v>
      </c>
    </row>
    <row r="11540" spans="19:20" x14ac:dyDescent="0.25">
      <c r="S11540" s="78">
        <v>38927</v>
      </c>
      <c r="T11540" s="29">
        <v>4.5</v>
      </c>
    </row>
    <row r="11541" spans="19:20" x14ac:dyDescent="0.25">
      <c r="S11541" s="78">
        <v>38928</v>
      </c>
      <c r="T11541" s="29">
        <v>4.5</v>
      </c>
    </row>
    <row r="11542" spans="19:20" x14ac:dyDescent="0.25">
      <c r="S11542" s="78">
        <v>38929</v>
      </c>
      <c r="T11542" s="29">
        <v>4.5</v>
      </c>
    </row>
    <row r="11543" spans="19:20" x14ac:dyDescent="0.25">
      <c r="S11543" s="78">
        <v>38930</v>
      </c>
      <c r="T11543" s="29">
        <v>4.5</v>
      </c>
    </row>
    <row r="11544" spans="19:20" x14ac:dyDescent="0.25">
      <c r="S11544" s="78">
        <v>38931</v>
      </c>
      <c r="T11544" s="29">
        <v>4.5</v>
      </c>
    </row>
    <row r="11545" spans="19:20" x14ac:dyDescent="0.25">
      <c r="S11545" s="78">
        <v>38932</v>
      </c>
      <c r="T11545" s="29">
        <v>4.75</v>
      </c>
    </row>
    <row r="11546" spans="19:20" x14ac:dyDescent="0.25">
      <c r="S11546" s="78">
        <v>38933</v>
      </c>
      <c r="T11546" s="29">
        <v>4.75</v>
      </c>
    </row>
    <row r="11547" spans="19:20" x14ac:dyDescent="0.25">
      <c r="S11547" s="78">
        <v>38934</v>
      </c>
      <c r="T11547" s="29">
        <v>4.75</v>
      </c>
    </row>
    <row r="11548" spans="19:20" x14ac:dyDescent="0.25">
      <c r="S11548" s="78">
        <v>38935</v>
      </c>
      <c r="T11548" s="29">
        <v>4.75</v>
      </c>
    </row>
    <row r="11549" spans="19:20" x14ac:dyDescent="0.25">
      <c r="S11549" s="78">
        <v>38936</v>
      </c>
      <c r="T11549" s="29">
        <v>4.75</v>
      </c>
    </row>
    <row r="11550" spans="19:20" x14ac:dyDescent="0.25">
      <c r="S11550" s="78">
        <v>38937</v>
      </c>
      <c r="T11550" s="29">
        <v>4.75</v>
      </c>
    </row>
    <row r="11551" spans="19:20" x14ac:dyDescent="0.25">
      <c r="S11551" s="78">
        <v>38938</v>
      </c>
      <c r="T11551" s="29">
        <v>4.75</v>
      </c>
    </row>
    <row r="11552" spans="19:20" x14ac:dyDescent="0.25">
      <c r="S11552" s="78">
        <v>38939</v>
      </c>
      <c r="T11552" s="29">
        <v>4.75</v>
      </c>
    </row>
    <row r="11553" spans="19:20" x14ac:dyDescent="0.25">
      <c r="S11553" s="78">
        <v>38940</v>
      </c>
      <c r="T11553" s="29">
        <v>4.75</v>
      </c>
    </row>
    <row r="11554" spans="19:20" x14ac:dyDescent="0.25">
      <c r="S11554" s="78">
        <v>38941</v>
      </c>
      <c r="T11554" s="29">
        <v>4.75</v>
      </c>
    </row>
    <row r="11555" spans="19:20" x14ac:dyDescent="0.25">
      <c r="S11555" s="78">
        <v>38942</v>
      </c>
      <c r="T11555" s="29">
        <v>4.75</v>
      </c>
    </row>
    <row r="11556" spans="19:20" x14ac:dyDescent="0.25">
      <c r="S11556" s="78">
        <v>38943</v>
      </c>
      <c r="T11556" s="29">
        <v>4.75</v>
      </c>
    </row>
    <row r="11557" spans="19:20" x14ac:dyDescent="0.25">
      <c r="S11557" s="78">
        <v>38944</v>
      </c>
      <c r="T11557" s="29">
        <v>4.75</v>
      </c>
    </row>
    <row r="11558" spans="19:20" x14ac:dyDescent="0.25">
      <c r="S11558" s="78">
        <v>38945</v>
      </c>
      <c r="T11558" s="29">
        <v>4.75</v>
      </c>
    </row>
    <row r="11559" spans="19:20" x14ac:dyDescent="0.25">
      <c r="S11559" s="78">
        <v>38946</v>
      </c>
      <c r="T11559" s="29">
        <v>4.75</v>
      </c>
    </row>
    <row r="11560" spans="19:20" x14ac:dyDescent="0.25">
      <c r="S11560" s="78">
        <v>38947</v>
      </c>
      <c r="T11560" s="29">
        <v>4.75</v>
      </c>
    </row>
    <row r="11561" spans="19:20" x14ac:dyDescent="0.25">
      <c r="S11561" s="78">
        <v>38948</v>
      </c>
      <c r="T11561" s="29">
        <v>4.75</v>
      </c>
    </row>
    <row r="11562" spans="19:20" x14ac:dyDescent="0.25">
      <c r="S11562" s="78">
        <v>38949</v>
      </c>
      <c r="T11562" s="29">
        <v>4.75</v>
      </c>
    </row>
    <row r="11563" spans="19:20" x14ac:dyDescent="0.25">
      <c r="S11563" s="78">
        <v>38950</v>
      </c>
      <c r="T11563" s="29">
        <v>4.75</v>
      </c>
    </row>
    <row r="11564" spans="19:20" x14ac:dyDescent="0.25">
      <c r="S11564" s="78">
        <v>38951</v>
      </c>
      <c r="T11564" s="29">
        <v>4.75</v>
      </c>
    </row>
    <row r="11565" spans="19:20" x14ac:dyDescent="0.25">
      <c r="S11565" s="78">
        <v>38952</v>
      </c>
      <c r="T11565" s="29">
        <v>4.75</v>
      </c>
    </row>
    <row r="11566" spans="19:20" x14ac:dyDescent="0.25">
      <c r="S11566" s="78">
        <v>38953</v>
      </c>
      <c r="T11566" s="29">
        <v>4.75</v>
      </c>
    </row>
    <row r="11567" spans="19:20" x14ac:dyDescent="0.25">
      <c r="S11567" s="78">
        <v>38954</v>
      </c>
      <c r="T11567" s="29">
        <v>4.75</v>
      </c>
    </row>
    <row r="11568" spans="19:20" x14ac:dyDescent="0.25">
      <c r="S11568" s="78">
        <v>38955</v>
      </c>
      <c r="T11568" s="29">
        <v>4.75</v>
      </c>
    </row>
    <row r="11569" spans="19:20" x14ac:dyDescent="0.25">
      <c r="S11569" s="78">
        <v>38956</v>
      </c>
      <c r="T11569" s="29">
        <v>4.75</v>
      </c>
    </row>
    <row r="11570" spans="19:20" x14ac:dyDescent="0.25">
      <c r="S11570" s="78">
        <v>38957</v>
      </c>
      <c r="T11570" s="29">
        <v>4.75</v>
      </c>
    </row>
    <row r="11571" spans="19:20" x14ac:dyDescent="0.25">
      <c r="S11571" s="78">
        <v>38958</v>
      </c>
      <c r="T11571" s="29">
        <v>4.75</v>
      </c>
    </row>
    <row r="11572" spans="19:20" x14ac:dyDescent="0.25">
      <c r="S11572" s="78">
        <v>38959</v>
      </c>
      <c r="T11572" s="29">
        <v>4.75</v>
      </c>
    </row>
    <row r="11573" spans="19:20" x14ac:dyDescent="0.25">
      <c r="S11573" s="78">
        <v>38960</v>
      </c>
      <c r="T11573" s="29">
        <v>4.75</v>
      </c>
    </row>
    <row r="11574" spans="19:20" x14ac:dyDescent="0.25">
      <c r="S11574" s="78">
        <v>38961</v>
      </c>
      <c r="T11574" s="29">
        <v>4.75</v>
      </c>
    </row>
    <row r="11575" spans="19:20" x14ac:dyDescent="0.25">
      <c r="S11575" s="78">
        <v>38962</v>
      </c>
      <c r="T11575" s="29">
        <v>4.75</v>
      </c>
    </row>
    <row r="11576" spans="19:20" x14ac:dyDescent="0.25">
      <c r="S11576" s="78">
        <v>38963</v>
      </c>
      <c r="T11576" s="29">
        <v>4.75</v>
      </c>
    </row>
    <row r="11577" spans="19:20" x14ac:dyDescent="0.25">
      <c r="S11577" s="78">
        <v>38964</v>
      </c>
      <c r="T11577" s="29">
        <v>4.75</v>
      </c>
    </row>
    <row r="11578" spans="19:20" x14ac:dyDescent="0.25">
      <c r="S11578" s="78">
        <v>38965</v>
      </c>
      <c r="T11578" s="29">
        <v>4.75</v>
      </c>
    </row>
    <row r="11579" spans="19:20" x14ac:dyDescent="0.25">
      <c r="S11579" s="78">
        <v>38966</v>
      </c>
      <c r="T11579" s="29">
        <v>4.75</v>
      </c>
    </row>
    <row r="11580" spans="19:20" x14ac:dyDescent="0.25">
      <c r="S11580" s="78">
        <v>38967</v>
      </c>
      <c r="T11580" s="29">
        <v>4.75</v>
      </c>
    </row>
    <row r="11581" spans="19:20" x14ac:dyDescent="0.25">
      <c r="S11581" s="78">
        <v>38968</v>
      </c>
      <c r="T11581" s="29">
        <v>4.75</v>
      </c>
    </row>
    <row r="11582" spans="19:20" x14ac:dyDescent="0.25">
      <c r="S11582" s="78">
        <v>38969</v>
      </c>
      <c r="T11582" s="29">
        <v>4.75</v>
      </c>
    </row>
    <row r="11583" spans="19:20" x14ac:dyDescent="0.25">
      <c r="S11583" s="78">
        <v>38970</v>
      </c>
      <c r="T11583" s="29">
        <v>4.75</v>
      </c>
    </row>
    <row r="11584" spans="19:20" x14ac:dyDescent="0.25">
      <c r="S11584" s="78">
        <v>38971</v>
      </c>
      <c r="T11584" s="29">
        <v>4.75</v>
      </c>
    </row>
    <row r="11585" spans="19:20" x14ac:dyDescent="0.25">
      <c r="S11585" s="78">
        <v>38972</v>
      </c>
      <c r="T11585" s="29">
        <v>4.75</v>
      </c>
    </row>
    <row r="11586" spans="19:20" x14ac:dyDescent="0.25">
      <c r="S11586" s="78">
        <v>38973</v>
      </c>
      <c r="T11586" s="29">
        <v>4.75</v>
      </c>
    </row>
    <row r="11587" spans="19:20" x14ac:dyDescent="0.25">
      <c r="S11587" s="78">
        <v>38974</v>
      </c>
      <c r="T11587" s="29">
        <v>4.75</v>
      </c>
    </row>
    <row r="11588" spans="19:20" x14ac:dyDescent="0.25">
      <c r="S11588" s="78">
        <v>38975</v>
      </c>
      <c r="T11588" s="29">
        <v>4.75</v>
      </c>
    </row>
    <row r="11589" spans="19:20" x14ac:dyDescent="0.25">
      <c r="S11589" s="78">
        <v>38976</v>
      </c>
      <c r="T11589" s="29">
        <v>4.75</v>
      </c>
    </row>
    <row r="11590" spans="19:20" x14ac:dyDescent="0.25">
      <c r="S11590" s="78">
        <v>38977</v>
      </c>
      <c r="T11590" s="29">
        <v>4.75</v>
      </c>
    </row>
    <row r="11591" spans="19:20" x14ac:dyDescent="0.25">
      <c r="S11591" s="78">
        <v>38978</v>
      </c>
      <c r="T11591" s="29">
        <v>4.75</v>
      </c>
    </row>
    <row r="11592" spans="19:20" x14ac:dyDescent="0.25">
      <c r="S11592" s="78">
        <v>38979</v>
      </c>
      <c r="T11592" s="29">
        <v>4.75</v>
      </c>
    </row>
    <row r="11593" spans="19:20" x14ac:dyDescent="0.25">
      <c r="S11593" s="78">
        <v>38980</v>
      </c>
      <c r="T11593" s="29">
        <v>4.75</v>
      </c>
    </row>
    <row r="11594" spans="19:20" x14ac:dyDescent="0.25">
      <c r="S11594" s="78">
        <v>38981</v>
      </c>
      <c r="T11594" s="29">
        <v>4.75</v>
      </c>
    </row>
    <row r="11595" spans="19:20" x14ac:dyDescent="0.25">
      <c r="S11595" s="78">
        <v>38982</v>
      </c>
      <c r="T11595" s="29">
        <v>4.75</v>
      </c>
    </row>
    <row r="11596" spans="19:20" x14ac:dyDescent="0.25">
      <c r="S11596" s="78">
        <v>38983</v>
      </c>
      <c r="T11596" s="29">
        <v>4.75</v>
      </c>
    </row>
    <row r="11597" spans="19:20" x14ac:dyDescent="0.25">
      <c r="S11597" s="78">
        <v>38984</v>
      </c>
      <c r="T11597" s="29">
        <v>4.75</v>
      </c>
    </row>
    <row r="11598" spans="19:20" x14ac:dyDescent="0.25">
      <c r="S11598" s="78">
        <v>38985</v>
      </c>
      <c r="T11598" s="29">
        <v>4.75</v>
      </c>
    </row>
    <row r="11599" spans="19:20" x14ac:dyDescent="0.25">
      <c r="S11599" s="78">
        <v>38986</v>
      </c>
      <c r="T11599" s="29">
        <v>4.75</v>
      </c>
    </row>
    <row r="11600" spans="19:20" x14ac:dyDescent="0.25">
      <c r="S11600" s="78">
        <v>38987</v>
      </c>
      <c r="T11600" s="29">
        <v>4.75</v>
      </c>
    </row>
    <row r="11601" spans="19:21" x14ac:dyDescent="0.25">
      <c r="S11601" s="78">
        <v>38988</v>
      </c>
      <c r="T11601" s="29">
        <v>4.75</v>
      </c>
    </row>
    <row r="11602" spans="19:21" x14ac:dyDescent="0.25">
      <c r="S11602" s="78">
        <v>38989</v>
      </c>
      <c r="T11602" s="29">
        <v>4.75</v>
      </c>
    </row>
    <row r="11603" spans="19:21" x14ac:dyDescent="0.25">
      <c r="S11603" s="78">
        <v>38990</v>
      </c>
      <c r="T11603" s="29">
        <v>4.75</v>
      </c>
      <c r="U11603" s="40">
        <f>AVERAGE(T11512:T11603)</f>
        <v>4.6603260869565215</v>
      </c>
    </row>
    <row r="11604" spans="19:21" x14ac:dyDescent="0.25">
      <c r="S11604" s="78">
        <v>38991</v>
      </c>
      <c r="T11604" s="29">
        <v>4.75</v>
      </c>
    </row>
    <row r="11605" spans="19:21" x14ac:dyDescent="0.25">
      <c r="S11605" s="78">
        <v>38992</v>
      </c>
      <c r="T11605" s="29">
        <v>4.75</v>
      </c>
    </row>
    <row r="11606" spans="19:21" x14ac:dyDescent="0.25">
      <c r="S11606" s="78">
        <v>38993</v>
      </c>
      <c r="T11606" s="29">
        <v>4.75</v>
      </c>
    </row>
    <row r="11607" spans="19:21" x14ac:dyDescent="0.25">
      <c r="S11607" s="78">
        <v>38994</v>
      </c>
      <c r="T11607" s="29">
        <v>4.75</v>
      </c>
    </row>
    <row r="11608" spans="19:21" x14ac:dyDescent="0.25">
      <c r="S11608" s="78">
        <v>38995</v>
      </c>
      <c r="T11608" s="29">
        <v>4.75</v>
      </c>
    </row>
    <row r="11609" spans="19:21" x14ac:dyDescent="0.25">
      <c r="S11609" s="78">
        <v>38996</v>
      </c>
      <c r="T11609" s="29">
        <v>4.75</v>
      </c>
    </row>
    <row r="11610" spans="19:21" x14ac:dyDescent="0.25">
      <c r="S11610" s="78">
        <v>38997</v>
      </c>
      <c r="T11610" s="29">
        <v>4.75</v>
      </c>
    </row>
    <row r="11611" spans="19:21" x14ac:dyDescent="0.25">
      <c r="S11611" s="78">
        <v>38998</v>
      </c>
      <c r="T11611" s="29">
        <v>4.75</v>
      </c>
    </row>
    <row r="11612" spans="19:21" x14ac:dyDescent="0.25">
      <c r="S11612" s="78">
        <v>38999</v>
      </c>
      <c r="T11612" s="29">
        <v>4.75</v>
      </c>
    </row>
    <row r="11613" spans="19:21" x14ac:dyDescent="0.25">
      <c r="S11613" s="78">
        <v>39000</v>
      </c>
      <c r="T11613" s="29">
        <v>4.75</v>
      </c>
    </row>
    <row r="11614" spans="19:21" x14ac:dyDescent="0.25">
      <c r="S11614" s="78">
        <v>39001</v>
      </c>
      <c r="T11614" s="29">
        <v>4.75</v>
      </c>
    </row>
    <row r="11615" spans="19:21" x14ac:dyDescent="0.25">
      <c r="S11615" s="78">
        <v>39002</v>
      </c>
      <c r="T11615" s="29">
        <v>4.75</v>
      </c>
    </row>
    <row r="11616" spans="19:21" x14ac:dyDescent="0.25">
      <c r="S11616" s="78">
        <v>39003</v>
      </c>
      <c r="T11616" s="29">
        <v>4.75</v>
      </c>
    </row>
    <row r="11617" spans="19:20" x14ac:dyDescent="0.25">
      <c r="S11617" s="78">
        <v>39004</v>
      </c>
      <c r="T11617" s="29">
        <v>4.75</v>
      </c>
    </row>
    <row r="11618" spans="19:20" x14ac:dyDescent="0.25">
      <c r="S11618" s="78">
        <v>39005</v>
      </c>
      <c r="T11618" s="29">
        <v>4.75</v>
      </c>
    </row>
    <row r="11619" spans="19:20" x14ac:dyDescent="0.25">
      <c r="S11619" s="78">
        <v>39006</v>
      </c>
      <c r="T11619" s="29">
        <v>4.75</v>
      </c>
    </row>
    <row r="11620" spans="19:20" x14ac:dyDescent="0.25">
      <c r="S11620" s="78">
        <v>39007</v>
      </c>
      <c r="T11620" s="29">
        <v>4.75</v>
      </c>
    </row>
    <row r="11621" spans="19:20" x14ac:dyDescent="0.25">
      <c r="S11621" s="78">
        <v>39008</v>
      </c>
      <c r="T11621" s="29">
        <v>4.75</v>
      </c>
    </row>
    <row r="11622" spans="19:20" x14ac:dyDescent="0.25">
      <c r="S11622" s="78">
        <v>39009</v>
      </c>
      <c r="T11622" s="29">
        <v>4.75</v>
      </c>
    </row>
    <row r="11623" spans="19:20" x14ac:dyDescent="0.25">
      <c r="S11623" s="78">
        <v>39010</v>
      </c>
      <c r="T11623" s="29">
        <v>4.75</v>
      </c>
    </row>
    <row r="11624" spans="19:20" x14ac:dyDescent="0.25">
      <c r="S11624" s="78">
        <v>39011</v>
      </c>
      <c r="T11624" s="29">
        <v>4.75</v>
      </c>
    </row>
    <row r="11625" spans="19:20" x14ac:dyDescent="0.25">
      <c r="S11625" s="78">
        <v>39012</v>
      </c>
      <c r="T11625" s="29">
        <v>4.75</v>
      </c>
    </row>
    <row r="11626" spans="19:20" x14ac:dyDescent="0.25">
      <c r="S11626" s="78">
        <v>39013</v>
      </c>
      <c r="T11626" s="29">
        <v>4.75</v>
      </c>
    </row>
    <row r="11627" spans="19:20" x14ac:dyDescent="0.25">
      <c r="S11627" s="78">
        <v>39014</v>
      </c>
      <c r="T11627" s="29">
        <v>4.75</v>
      </c>
    </row>
    <row r="11628" spans="19:20" x14ac:dyDescent="0.25">
      <c r="S11628" s="78">
        <v>39015</v>
      </c>
      <c r="T11628" s="29">
        <v>4.75</v>
      </c>
    </row>
    <row r="11629" spans="19:20" x14ac:dyDescent="0.25">
      <c r="S11629" s="78">
        <v>39016</v>
      </c>
      <c r="T11629" s="29">
        <v>4.75</v>
      </c>
    </row>
    <row r="11630" spans="19:20" x14ac:dyDescent="0.25">
      <c r="S11630" s="78">
        <v>39017</v>
      </c>
      <c r="T11630" s="29">
        <v>4.75</v>
      </c>
    </row>
    <row r="11631" spans="19:20" x14ac:dyDescent="0.25">
      <c r="S11631" s="78">
        <v>39018</v>
      </c>
      <c r="T11631" s="29">
        <v>4.75</v>
      </c>
    </row>
    <row r="11632" spans="19:20" x14ac:dyDescent="0.25">
      <c r="S11632" s="78">
        <v>39019</v>
      </c>
      <c r="T11632" s="29">
        <v>4.75</v>
      </c>
    </row>
    <row r="11633" spans="19:20" x14ac:dyDescent="0.25">
      <c r="S11633" s="78">
        <v>39020</v>
      </c>
      <c r="T11633" s="29">
        <v>4.75</v>
      </c>
    </row>
    <row r="11634" spans="19:20" x14ac:dyDescent="0.25">
      <c r="S11634" s="78">
        <v>39021</v>
      </c>
      <c r="T11634" s="29">
        <v>4.75</v>
      </c>
    </row>
    <row r="11635" spans="19:20" x14ac:dyDescent="0.25">
      <c r="S11635" s="78">
        <v>39022</v>
      </c>
      <c r="T11635" s="29">
        <v>4.75</v>
      </c>
    </row>
    <row r="11636" spans="19:20" x14ac:dyDescent="0.25">
      <c r="S11636" s="78">
        <v>39023</v>
      </c>
      <c r="T11636" s="29">
        <v>4.75</v>
      </c>
    </row>
    <row r="11637" spans="19:20" x14ac:dyDescent="0.25">
      <c r="S11637" s="78">
        <v>39024</v>
      </c>
      <c r="T11637" s="29">
        <v>4.75</v>
      </c>
    </row>
    <row r="11638" spans="19:20" x14ac:dyDescent="0.25">
      <c r="S11638" s="78">
        <v>39025</v>
      </c>
      <c r="T11638" s="29">
        <v>4.75</v>
      </c>
    </row>
    <row r="11639" spans="19:20" x14ac:dyDescent="0.25">
      <c r="S11639" s="78">
        <v>39026</v>
      </c>
      <c r="T11639" s="29">
        <v>4.75</v>
      </c>
    </row>
    <row r="11640" spans="19:20" x14ac:dyDescent="0.25">
      <c r="S11640" s="78">
        <v>39027</v>
      </c>
      <c r="T11640" s="29">
        <v>4.75</v>
      </c>
    </row>
    <row r="11641" spans="19:20" x14ac:dyDescent="0.25">
      <c r="S11641" s="78">
        <v>39028</v>
      </c>
      <c r="T11641" s="29">
        <v>4.75</v>
      </c>
    </row>
    <row r="11642" spans="19:20" x14ac:dyDescent="0.25">
      <c r="S11642" s="78">
        <v>39029</v>
      </c>
      <c r="T11642" s="29">
        <v>4.75</v>
      </c>
    </row>
    <row r="11643" spans="19:20" x14ac:dyDescent="0.25">
      <c r="S11643" s="78">
        <v>39030</v>
      </c>
      <c r="T11643" s="29">
        <v>5</v>
      </c>
    </row>
    <row r="11644" spans="19:20" x14ac:dyDescent="0.25">
      <c r="S11644" s="78">
        <v>39031</v>
      </c>
      <c r="T11644" s="29">
        <v>5</v>
      </c>
    </row>
    <row r="11645" spans="19:20" x14ac:dyDescent="0.25">
      <c r="S11645" s="78">
        <v>39032</v>
      </c>
      <c r="T11645" s="29">
        <v>5</v>
      </c>
    </row>
    <row r="11646" spans="19:20" x14ac:dyDescent="0.25">
      <c r="S11646" s="78">
        <v>39033</v>
      </c>
      <c r="T11646" s="29">
        <v>5</v>
      </c>
    </row>
    <row r="11647" spans="19:20" x14ac:dyDescent="0.25">
      <c r="S11647" s="78">
        <v>39034</v>
      </c>
      <c r="T11647" s="29">
        <v>5</v>
      </c>
    </row>
    <row r="11648" spans="19:20" x14ac:dyDescent="0.25">
      <c r="S11648" s="78">
        <v>39035</v>
      </c>
      <c r="T11648" s="29">
        <v>5</v>
      </c>
    </row>
    <row r="11649" spans="19:20" x14ac:dyDescent="0.25">
      <c r="S11649" s="78">
        <v>39036</v>
      </c>
      <c r="T11649" s="29">
        <v>5</v>
      </c>
    </row>
    <row r="11650" spans="19:20" x14ac:dyDescent="0.25">
      <c r="S11650" s="78">
        <v>39037</v>
      </c>
      <c r="T11650" s="29">
        <v>5</v>
      </c>
    </row>
    <row r="11651" spans="19:20" x14ac:dyDescent="0.25">
      <c r="S11651" s="78">
        <v>39038</v>
      </c>
      <c r="T11651" s="29">
        <v>5</v>
      </c>
    </row>
    <row r="11652" spans="19:20" x14ac:dyDescent="0.25">
      <c r="S11652" s="78">
        <v>39039</v>
      </c>
      <c r="T11652" s="29">
        <v>5</v>
      </c>
    </row>
    <row r="11653" spans="19:20" x14ac:dyDescent="0.25">
      <c r="S11653" s="78">
        <v>39040</v>
      </c>
      <c r="T11653" s="29">
        <v>5</v>
      </c>
    </row>
    <row r="11654" spans="19:20" x14ac:dyDescent="0.25">
      <c r="S11654" s="78">
        <v>39041</v>
      </c>
      <c r="T11654" s="29">
        <v>5</v>
      </c>
    </row>
    <row r="11655" spans="19:20" x14ac:dyDescent="0.25">
      <c r="S11655" s="78">
        <v>39042</v>
      </c>
      <c r="T11655" s="29">
        <v>5</v>
      </c>
    </row>
    <row r="11656" spans="19:20" x14ac:dyDescent="0.25">
      <c r="S11656" s="78">
        <v>39043</v>
      </c>
      <c r="T11656" s="29">
        <v>5</v>
      </c>
    </row>
    <row r="11657" spans="19:20" x14ac:dyDescent="0.25">
      <c r="S11657" s="78">
        <v>39044</v>
      </c>
      <c r="T11657" s="29">
        <v>5</v>
      </c>
    </row>
    <row r="11658" spans="19:20" x14ac:dyDescent="0.25">
      <c r="S11658" s="78">
        <v>39045</v>
      </c>
      <c r="T11658" s="29">
        <v>5</v>
      </c>
    </row>
    <row r="11659" spans="19:20" x14ac:dyDescent="0.25">
      <c r="S11659" s="78">
        <v>39046</v>
      </c>
      <c r="T11659" s="29">
        <v>5</v>
      </c>
    </row>
    <row r="11660" spans="19:20" x14ac:dyDescent="0.25">
      <c r="S11660" s="78">
        <v>39047</v>
      </c>
      <c r="T11660" s="29">
        <v>5</v>
      </c>
    </row>
    <row r="11661" spans="19:20" x14ac:dyDescent="0.25">
      <c r="S11661" s="78">
        <v>39048</v>
      </c>
      <c r="T11661" s="29">
        <v>5</v>
      </c>
    </row>
    <row r="11662" spans="19:20" x14ac:dyDescent="0.25">
      <c r="S11662" s="78">
        <v>39049</v>
      </c>
      <c r="T11662" s="29">
        <v>5</v>
      </c>
    </row>
    <row r="11663" spans="19:20" x14ac:dyDescent="0.25">
      <c r="S11663" s="78">
        <v>39050</v>
      </c>
      <c r="T11663" s="29">
        <v>5</v>
      </c>
    </row>
    <row r="11664" spans="19:20" x14ac:dyDescent="0.25">
      <c r="S11664" s="78">
        <v>39051</v>
      </c>
      <c r="T11664" s="29">
        <v>5</v>
      </c>
    </row>
    <row r="11665" spans="19:20" x14ac:dyDescent="0.25">
      <c r="S11665" s="78">
        <v>39052</v>
      </c>
      <c r="T11665" s="29">
        <v>5</v>
      </c>
    </row>
    <row r="11666" spans="19:20" x14ac:dyDescent="0.25">
      <c r="S11666" s="78">
        <v>39053</v>
      </c>
      <c r="T11666" s="29">
        <v>5</v>
      </c>
    </row>
    <row r="11667" spans="19:20" x14ac:dyDescent="0.25">
      <c r="S11667" s="78">
        <v>39054</v>
      </c>
      <c r="T11667" s="29">
        <v>5</v>
      </c>
    </row>
    <row r="11668" spans="19:20" x14ac:dyDescent="0.25">
      <c r="S11668" s="78">
        <v>39055</v>
      </c>
      <c r="T11668" s="29">
        <v>5</v>
      </c>
    </row>
    <row r="11669" spans="19:20" x14ac:dyDescent="0.25">
      <c r="S11669" s="78">
        <v>39056</v>
      </c>
      <c r="T11669" s="29">
        <v>5</v>
      </c>
    </row>
    <row r="11670" spans="19:20" x14ac:dyDescent="0.25">
      <c r="S11670" s="78">
        <v>39057</v>
      </c>
      <c r="T11670" s="29">
        <v>5</v>
      </c>
    </row>
    <row r="11671" spans="19:20" x14ac:dyDescent="0.25">
      <c r="S11671" s="78">
        <v>39058</v>
      </c>
      <c r="T11671" s="29">
        <v>5</v>
      </c>
    </row>
    <row r="11672" spans="19:20" x14ac:dyDescent="0.25">
      <c r="S11672" s="78">
        <v>39059</v>
      </c>
      <c r="T11672" s="29">
        <v>5</v>
      </c>
    </row>
    <row r="11673" spans="19:20" x14ac:dyDescent="0.25">
      <c r="S11673" s="78">
        <v>39060</v>
      </c>
      <c r="T11673" s="29">
        <v>5</v>
      </c>
    </row>
    <row r="11674" spans="19:20" x14ac:dyDescent="0.25">
      <c r="S11674" s="78">
        <v>39061</v>
      </c>
      <c r="T11674" s="29">
        <v>5</v>
      </c>
    </row>
    <row r="11675" spans="19:20" x14ac:dyDescent="0.25">
      <c r="S11675" s="78">
        <v>39062</v>
      </c>
      <c r="T11675" s="29">
        <v>5</v>
      </c>
    </row>
    <row r="11676" spans="19:20" x14ac:dyDescent="0.25">
      <c r="S11676" s="78">
        <v>39063</v>
      </c>
      <c r="T11676" s="29">
        <v>5</v>
      </c>
    </row>
    <row r="11677" spans="19:20" x14ac:dyDescent="0.25">
      <c r="S11677" s="78">
        <v>39064</v>
      </c>
      <c r="T11677" s="29">
        <v>5</v>
      </c>
    </row>
    <row r="11678" spans="19:20" x14ac:dyDescent="0.25">
      <c r="S11678" s="78">
        <v>39065</v>
      </c>
      <c r="T11678" s="29">
        <v>5</v>
      </c>
    </row>
    <row r="11679" spans="19:20" x14ac:dyDescent="0.25">
      <c r="S11679" s="78">
        <v>39066</v>
      </c>
      <c r="T11679" s="29">
        <v>5</v>
      </c>
    </row>
    <row r="11680" spans="19:20" x14ac:dyDescent="0.25">
      <c r="S11680" s="78">
        <v>39067</v>
      </c>
      <c r="T11680" s="29">
        <v>5</v>
      </c>
    </row>
    <row r="11681" spans="19:21" x14ac:dyDescent="0.25">
      <c r="S11681" s="78">
        <v>39068</v>
      </c>
      <c r="T11681" s="29">
        <v>5</v>
      </c>
    </row>
    <row r="11682" spans="19:21" x14ac:dyDescent="0.25">
      <c r="S11682" s="78">
        <v>39069</v>
      </c>
      <c r="T11682" s="29">
        <v>5</v>
      </c>
    </row>
    <row r="11683" spans="19:21" x14ac:dyDescent="0.25">
      <c r="S11683" s="78">
        <v>39070</v>
      </c>
      <c r="T11683" s="29">
        <v>5</v>
      </c>
    </row>
    <row r="11684" spans="19:21" x14ac:dyDescent="0.25">
      <c r="S11684" s="78">
        <v>39071</v>
      </c>
      <c r="T11684" s="29">
        <v>5</v>
      </c>
    </row>
    <row r="11685" spans="19:21" x14ac:dyDescent="0.25">
      <c r="S11685" s="78">
        <v>39072</v>
      </c>
      <c r="T11685" s="29">
        <v>5</v>
      </c>
    </row>
    <row r="11686" spans="19:21" x14ac:dyDescent="0.25">
      <c r="S11686" s="78">
        <v>39073</v>
      </c>
      <c r="T11686" s="29">
        <v>5</v>
      </c>
    </row>
    <row r="11687" spans="19:21" x14ac:dyDescent="0.25">
      <c r="S11687" s="78">
        <v>39074</v>
      </c>
      <c r="T11687" s="29">
        <v>5</v>
      </c>
    </row>
    <row r="11688" spans="19:21" x14ac:dyDescent="0.25">
      <c r="S11688" s="78">
        <v>39075</v>
      </c>
      <c r="T11688" s="29">
        <v>5</v>
      </c>
    </row>
    <row r="11689" spans="19:21" x14ac:dyDescent="0.25">
      <c r="S11689" s="78">
        <v>39076</v>
      </c>
      <c r="T11689" s="29">
        <v>5</v>
      </c>
    </row>
    <row r="11690" spans="19:21" x14ac:dyDescent="0.25">
      <c r="S11690" s="78">
        <v>39077</v>
      </c>
      <c r="T11690" s="29">
        <v>5</v>
      </c>
    </row>
    <row r="11691" spans="19:21" x14ac:dyDescent="0.25">
      <c r="S11691" s="78">
        <v>39078</v>
      </c>
      <c r="T11691" s="29">
        <v>5</v>
      </c>
    </row>
    <row r="11692" spans="19:21" x14ac:dyDescent="0.25">
      <c r="S11692" s="78">
        <v>39079</v>
      </c>
      <c r="T11692" s="29">
        <v>5</v>
      </c>
    </row>
    <row r="11693" spans="19:21" x14ac:dyDescent="0.25">
      <c r="S11693" s="78">
        <v>39080</v>
      </c>
      <c r="T11693" s="29">
        <v>5</v>
      </c>
    </row>
    <row r="11694" spans="19:21" x14ac:dyDescent="0.25">
      <c r="S11694" s="78">
        <v>39081</v>
      </c>
      <c r="T11694" s="29">
        <v>5</v>
      </c>
    </row>
    <row r="11695" spans="19:21" x14ac:dyDescent="0.25">
      <c r="S11695" s="78">
        <v>39082</v>
      </c>
      <c r="T11695" s="29">
        <v>5</v>
      </c>
      <c r="U11695" s="40">
        <f>AVERAGE(T11604:T11695)</f>
        <v>4.8940217391304346</v>
      </c>
    </row>
    <row r="11696" spans="19:21" x14ac:dyDescent="0.25">
      <c r="S11696" s="78">
        <v>39083</v>
      </c>
      <c r="T11696" s="29">
        <v>5</v>
      </c>
    </row>
    <row r="11697" spans="19:20" x14ac:dyDescent="0.25">
      <c r="S11697" s="78">
        <v>39084</v>
      </c>
      <c r="T11697" s="29">
        <v>5</v>
      </c>
    </row>
    <row r="11698" spans="19:20" x14ac:dyDescent="0.25">
      <c r="S11698" s="78">
        <v>39085</v>
      </c>
      <c r="T11698" s="29">
        <v>5</v>
      </c>
    </row>
    <row r="11699" spans="19:20" x14ac:dyDescent="0.25">
      <c r="S11699" s="78">
        <v>39086</v>
      </c>
      <c r="T11699" s="29">
        <v>5</v>
      </c>
    </row>
    <row r="11700" spans="19:20" x14ac:dyDescent="0.25">
      <c r="S11700" s="78">
        <v>39087</v>
      </c>
      <c r="T11700" s="29">
        <v>5</v>
      </c>
    </row>
    <row r="11701" spans="19:20" x14ac:dyDescent="0.25">
      <c r="S11701" s="78">
        <v>39088</v>
      </c>
      <c r="T11701" s="29">
        <v>5</v>
      </c>
    </row>
    <row r="11702" spans="19:20" x14ac:dyDescent="0.25">
      <c r="S11702" s="78">
        <v>39089</v>
      </c>
      <c r="T11702" s="29">
        <v>5</v>
      </c>
    </row>
    <row r="11703" spans="19:20" x14ac:dyDescent="0.25">
      <c r="S11703" s="78">
        <v>39090</v>
      </c>
      <c r="T11703" s="29">
        <v>5</v>
      </c>
    </row>
    <row r="11704" spans="19:20" x14ac:dyDescent="0.25">
      <c r="S11704" s="78">
        <v>39091</v>
      </c>
      <c r="T11704" s="29">
        <v>5</v>
      </c>
    </row>
    <row r="11705" spans="19:20" x14ac:dyDescent="0.25">
      <c r="S11705" s="78">
        <v>39092</v>
      </c>
      <c r="T11705" s="29">
        <v>5</v>
      </c>
    </row>
    <row r="11706" spans="19:20" x14ac:dyDescent="0.25">
      <c r="S11706" s="78">
        <v>39093</v>
      </c>
      <c r="T11706" s="29">
        <v>5.25</v>
      </c>
    </row>
    <row r="11707" spans="19:20" x14ac:dyDescent="0.25">
      <c r="S11707" s="78">
        <v>39094</v>
      </c>
      <c r="T11707" s="29">
        <v>5.25</v>
      </c>
    </row>
    <row r="11708" spans="19:20" x14ac:dyDescent="0.25">
      <c r="S11708" s="78">
        <v>39095</v>
      </c>
      <c r="T11708" s="29">
        <v>5.25</v>
      </c>
    </row>
    <row r="11709" spans="19:20" x14ac:dyDescent="0.25">
      <c r="S11709" s="78">
        <v>39096</v>
      </c>
      <c r="T11709" s="29">
        <v>5.25</v>
      </c>
    </row>
    <row r="11710" spans="19:20" x14ac:dyDescent="0.25">
      <c r="S11710" s="78">
        <v>39097</v>
      </c>
      <c r="T11710" s="29">
        <v>5.25</v>
      </c>
    </row>
    <row r="11711" spans="19:20" x14ac:dyDescent="0.25">
      <c r="S11711" s="78">
        <v>39098</v>
      </c>
      <c r="T11711" s="29">
        <v>5.25</v>
      </c>
    </row>
    <row r="11712" spans="19:20" x14ac:dyDescent="0.25">
      <c r="S11712" s="78">
        <v>39099</v>
      </c>
      <c r="T11712" s="29">
        <v>5.25</v>
      </c>
    </row>
    <row r="11713" spans="19:20" x14ac:dyDescent="0.25">
      <c r="S11713" s="78">
        <v>39100</v>
      </c>
      <c r="T11713" s="29">
        <v>5.25</v>
      </c>
    </row>
    <row r="11714" spans="19:20" x14ac:dyDescent="0.25">
      <c r="S11714" s="78">
        <v>39101</v>
      </c>
      <c r="T11714" s="29">
        <v>5.25</v>
      </c>
    </row>
    <row r="11715" spans="19:20" x14ac:dyDescent="0.25">
      <c r="S11715" s="78">
        <v>39102</v>
      </c>
      <c r="T11715" s="29">
        <v>5.25</v>
      </c>
    </row>
    <row r="11716" spans="19:20" x14ac:dyDescent="0.25">
      <c r="S11716" s="78">
        <v>39103</v>
      </c>
      <c r="T11716" s="29">
        <v>5.25</v>
      </c>
    </row>
    <row r="11717" spans="19:20" x14ac:dyDescent="0.25">
      <c r="S11717" s="78">
        <v>39104</v>
      </c>
      <c r="T11717" s="29">
        <v>5.25</v>
      </c>
    </row>
    <row r="11718" spans="19:20" x14ac:dyDescent="0.25">
      <c r="S11718" s="78">
        <v>39105</v>
      </c>
      <c r="T11718" s="29">
        <v>5.25</v>
      </c>
    </row>
    <row r="11719" spans="19:20" x14ac:dyDescent="0.25">
      <c r="S11719" s="78">
        <v>39106</v>
      </c>
      <c r="T11719" s="29">
        <v>5.25</v>
      </c>
    </row>
    <row r="11720" spans="19:20" x14ac:dyDescent="0.25">
      <c r="S11720" s="78">
        <v>39107</v>
      </c>
      <c r="T11720" s="29">
        <v>5.25</v>
      </c>
    </row>
    <row r="11721" spans="19:20" x14ac:dyDescent="0.25">
      <c r="S11721" s="78">
        <v>39108</v>
      </c>
      <c r="T11721" s="29">
        <v>5.25</v>
      </c>
    </row>
    <row r="11722" spans="19:20" x14ac:dyDescent="0.25">
      <c r="S11722" s="78">
        <v>39109</v>
      </c>
      <c r="T11722" s="29">
        <v>5.25</v>
      </c>
    </row>
    <row r="11723" spans="19:20" x14ac:dyDescent="0.25">
      <c r="S11723" s="78">
        <v>39110</v>
      </c>
      <c r="T11723" s="29">
        <v>5.25</v>
      </c>
    </row>
    <row r="11724" spans="19:20" x14ac:dyDescent="0.25">
      <c r="S11724" s="78">
        <v>39111</v>
      </c>
      <c r="T11724" s="29">
        <v>5.25</v>
      </c>
    </row>
    <row r="11725" spans="19:20" x14ac:dyDescent="0.25">
      <c r="S11725" s="78">
        <v>39112</v>
      </c>
      <c r="T11725" s="29">
        <v>5.25</v>
      </c>
    </row>
    <row r="11726" spans="19:20" x14ac:dyDescent="0.25">
      <c r="S11726" s="78">
        <v>39113</v>
      </c>
      <c r="T11726" s="29">
        <v>5.25</v>
      </c>
    </row>
    <row r="11727" spans="19:20" x14ac:dyDescent="0.25">
      <c r="S11727" s="78">
        <v>39114</v>
      </c>
      <c r="T11727" s="29">
        <v>5.25</v>
      </c>
    </row>
    <row r="11728" spans="19:20" x14ac:dyDescent="0.25">
      <c r="S11728" s="78">
        <v>39115</v>
      </c>
      <c r="T11728" s="29">
        <v>5.25</v>
      </c>
    </row>
    <row r="11729" spans="19:20" x14ac:dyDescent="0.25">
      <c r="S11729" s="78">
        <v>39116</v>
      </c>
      <c r="T11729" s="29">
        <v>5.25</v>
      </c>
    </row>
    <row r="11730" spans="19:20" x14ac:dyDescent="0.25">
      <c r="S11730" s="78">
        <v>39117</v>
      </c>
      <c r="T11730" s="29">
        <v>5.25</v>
      </c>
    </row>
    <row r="11731" spans="19:20" x14ac:dyDescent="0.25">
      <c r="S11731" s="78">
        <v>39118</v>
      </c>
      <c r="T11731" s="29">
        <v>5.25</v>
      </c>
    </row>
    <row r="11732" spans="19:20" x14ac:dyDescent="0.25">
      <c r="S11732" s="78">
        <v>39119</v>
      </c>
      <c r="T11732" s="29">
        <v>5.25</v>
      </c>
    </row>
    <row r="11733" spans="19:20" x14ac:dyDescent="0.25">
      <c r="S11733" s="78">
        <v>39120</v>
      </c>
      <c r="T11733" s="29">
        <v>5.25</v>
      </c>
    </row>
    <row r="11734" spans="19:20" x14ac:dyDescent="0.25">
      <c r="S11734" s="78">
        <v>39121</v>
      </c>
      <c r="T11734" s="29">
        <v>5.25</v>
      </c>
    </row>
    <row r="11735" spans="19:20" x14ac:dyDescent="0.25">
      <c r="S11735" s="78">
        <v>39122</v>
      </c>
      <c r="T11735" s="29">
        <v>5.25</v>
      </c>
    </row>
    <row r="11736" spans="19:20" x14ac:dyDescent="0.25">
      <c r="S11736" s="78">
        <v>39123</v>
      </c>
      <c r="T11736" s="29">
        <v>5.25</v>
      </c>
    </row>
    <row r="11737" spans="19:20" x14ac:dyDescent="0.25">
      <c r="S11737" s="78">
        <v>39124</v>
      </c>
      <c r="T11737" s="29">
        <v>5.25</v>
      </c>
    </row>
    <row r="11738" spans="19:20" x14ac:dyDescent="0.25">
      <c r="S11738" s="78">
        <v>39125</v>
      </c>
      <c r="T11738" s="29">
        <v>5.25</v>
      </c>
    </row>
    <row r="11739" spans="19:20" x14ac:dyDescent="0.25">
      <c r="S11739" s="78">
        <v>39126</v>
      </c>
      <c r="T11739" s="29">
        <v>5.25</v>
      </c>
    </row>
    <row r="11740" spans="19:20" x14ac:dyDescent="0.25">
      <c r="S11740" s="78">
        <v>39127</v>
      </c>
      <c r="T11740" s="29">
        <v>5.25</v>
      </c>
    </row>
    <row r="11741" spans="19:20" x14ac:dyDescent="0.25">
      <c r="S11741" s="78">
        <v>39128</v>
      </c>
      <c r="T11741" s="29">
        <v>5.25</v>
      </c>
    </row>
    <row r="11742" spans="19:20" x14ac:dyDescent="0.25">
      <c r="S11742" s="78">
        <v>39129</v>
      </c>
      <c r="T11742" s="29">
        <v>5.25</v>
      </c>
    </row>
    <row r="11743" spans="19:20" x14ac:dyDescent="0.25">
      <c r="S11743" s="78">
        <v>39130</v>
      </c>
      <c r="T11743" s="29">
        <v>5.25</v>
      </c>
    </row>
    <row r="11744" spans="19:20" x14ac:dyDescent="0.25">
      <c r="S11744" s="78">
        <v>39131</v>
      </c>
      <c r="T11744" s="29">
        <v>5.25</v>
      </c>
    </row>
    <row r="11745" spans="19:20" x14ac:dyDescent="0.25">
      <c r="S11745" s="78">
        <v>39132</v>
      </c>
      <c r="T11745" s="29">
        <v>5.25</v>
      </c>
    </row>
    <row r="11746" spans="19:20" x14ac:dyDescent="0.25">
      <c r="S11746" s="78">
        <v>39133</v>
      </c>
      <c r="T11746" s="29">
        <v>5.25</v>
      </c>
    </row>
    <row r="11747" spans="19:20" x14ac:dyDescent="0.25">
      <c r="S11747" s="78">
        <v>39134</v>
      </c>
      <c r="T11747" s="29">
        <v>5.25</v>
      </c>
    </row>
    <row r="11748" spans="19:20" x14ac:dyDescent="0.25">
      <c r="S11748" s="78">
        <v>39135</v>
      </c>
      <c r="T11748" s="29">
        <v>5.25</v>
      </c>
    </row>
    <row r="11749" spans="19:20" x14ac:dyDescent="0.25">
      <c r="S11749" s="78">
        <v>39136</v>
      </c>
      <c r="T11749" s="29">
        <v>5.25</v>
      </c>
    </row>
    <row r="11750" spans="19:20" x14ac:dyDescent="0.25">
      <c r="S11750" s="78">
        <v>39137</v>
      </c>
      <c r="T11750" s="29">
        <v>5.25</v>
      </c>
    </row>
    <row r="11751" spans="19:20" x14ac:dyDescent="0.25">
      <c r="S11751" s="78">
        <v>39138</v>
      </c>
      <c r="T11751" s="29">
        <v>5.25</v>
      </c>
    </row>
    <row r="11752" spans="19:20" x14ac:dyDescent="0.25">
      <c r="S11752" s="78">
        <v>39139</v>
      </c>
      <c r="T11752" s="29">
        <v>5.25</v>
      </c>
    </row>
    <row r="11753" spans="19:20" x14ac:dyDescent="0.25">
      <c r="S11753" s="78">
        <v>39140</v>
      </c>
      <c r="T11753" s="29">
        <v>5.25</v>
      </c>
    </row>
    <row r="11754" spans="19:20" x14ac:dyDescent="0.25">
      <c r="S11754" s="78">
        <v>39141</v>
      </c>
      <c r="T11754" s="29">
        <v>5.25</v>
      </c>
    </row>
    <row r="11755" spans="19:20" x14ac:dyDescent="0.25">
      <c r="S11755" s="78">
        <v>39142</v>
      </c>
      <c r="T11755" s="29">
        <v>5.25</v>
      </c>
    </row>
    <row r="11756" spans="19:20" x14ac:dyDescent="0.25">
      <c r="S11756" s="78">
        <v>39143</v>
      </c>
      <c r="T11756" s="29">
        <v>5.25</v>
      </c>
    </row>
    <row r="11757" spans="19:20" x14ac:dyDescent="0.25">
      <c r="S11757" s="78">
        <v>39144</v>
      </c>
      <c r="T11757" s="29">
        <v>5.25</v>
      </c>
    </row>
    <row r="11758" spans="19:20" x14ac:dyDescent="0.25">
      <c r="S11758" s="78">
        <v>39145</v>
      </c>
      <c r="T11758" s="29">
        <v>5.25</v>
      </c>
    </row>
    <row r="11759" spans="19:20" x14ac:dyDescent="0.25">
      <c r="S11759" s="78">
        <v>39146</v>
      </c>
      <c r="T11759" s="29">
        <v>5.25</v>
      </c>
    </row>
    <row r="11760" spans="19:20" x14ac:dyDescent="0.25">
      <c r="S11760" s="78">
        <v>39147</v>
      </c>
      <c r="T11760" s="29">
        <v>5.25</v>
      </c>
    </row>
    <row r="11761" spans="19:20" x14ac:dyDescent="0.25">
      <c r="S11761" s="78">
        <v>39148</v>
      </c>
      <c r="T11761" s="29">
        <v>5.25</v>
      </c>
    </row>
    <row r="11762" spans="19:20" x14ac:dyDescent="0.25">
      <c r="S11762" s="78">
        <v>39149</v>
      </c>
      <c r="T11762" s="29">
        <v>5.25</v>
      </c>
    </row>
    <row r="11763" spans="19:20" x14ac:dyDescent="0.25">
      <c r="S11763" s="78">
        <v>39150</v>
      </c>
      <c r="T11763" s="29">
        <v>5.25</v>
      </c>
    </row>
    <row r="11764" spans="19:20" x14ac:dyDescent="0.25">
      <c r="S11764" s="78">
        <v>39151</v>
      </c>
      <c r="T11764" s="29">
        <v>5.25</v>
      </c>
    </row>
    <row r="11765" spans="19:20" x14ac:dyDescent="0.25">
      <c r="S11765" s="78">
        <v>39152</v>
      </c>
      <c r="T11765" s="29">
        <v>5.25</v>
      </c>
    </row>
    <row r="11766" spans="19:20" x14ac:dyDescent="0.25">
      <c r="S11766" s="78">
        <v>39153</v>
      </c>
      <c r="T11766" s="29">
        <v>5.25</v>
      </c>
    </row>
    <row r="11767" spans="19:20" x14ac:dyDescent="0.25">
      <c r="S11767" s="78">
        <v>39154</v>
      </c>
      <c r="T11767" s="29">
        <v>5.25</v>
      </c>
    </row>
    <row r="11768" spans="19:20" x14ac:dyDescent="0.25">
      <c r="S11768" s="78">
        <v>39155</v>
      </c>
      <c r="T11768" s="29">
        <v>5.25</v>
      </c>
    </row>
    <row r="11769" spans="19:20" x14ac:dyDescent="0.25">
      <c r="S11769" s="78">
        <v>39156</v>
      </c>
      <c r="T11769" s="29">
        <v>5.25</v>
      </c>
    </row>
    <row r="11770" spans="19:20" x14ac:dyDescent="0.25">
      <c r="S11770" s="78">
        <v>39157</v>
      </c>
      <c r="T11770" s="29">
        <v>5.25</v>
      </c>
    </row>
    <row r="11771" spans="19:20" x14ac:dyDescent="0.25">
      <c r="S11771" s="78">
        <v>39158</v>
      </c>
      <c r="T11771" s="29">
        <v>5.25</v>
      </c>
    </row>
    <row r="11772" spans="19:20" x14ac:dyDescent="0.25">
      <c r="S11772" s="78">
        <v>39159</v>
      </c>
      <c r="T11772" s="29">
        <v>5.25</v>
      </c>
    </row>
    <row r="11773" spans="19:20" x14ac:dyDescent="0.25">
      <c r="S11773" s="78">
        <v>39160</v>
      </c>
      <c r="T11773" s="29">
        <v>5.25</v>
      </c>
    </row>
    <row r="11774" spans="19:20" x14ac:dyDescent="0.25">
      <c r="S11774" s="78">
        <v>39161</v>
      </c>
      <c r="T11774" s="29">
        <v>5.25</v>
      </c>
    </row>
    <row r="11775" spans="19:20" x14ac:dyDescent="0.25">
      <c r="S11775" s="78">
        <v>39162</v>
      </c>
      <c r="T11775" s="29">
        <v>5.25</v>
      </c>
    </row>
    <row r="11776" spans="19:20" x14ac:dyDescent="0.25">
      <c r="S11776" s="78">
        <v>39163</v>
      </c>
      <c r="T11776" s="29">
        <v>5.25</v>
      </c>
    </row>
    <row r="11777" spans="19:21" x14ac:dyDescent="0.25">
      <c r="S11777" s="78">
        <v>39164</v>
      </c>
      <c r="T11777" s="29">
        <v>5.25</v>
      </c>
    </row>
    <row r="11778" spans="19:21" x14ac:dyDescent="0.25">
      <c r="S11778" s="78">
        <v>39165</v>
      </c>
      <c r="T11778" s="29">
        <v>5.25</v>
      </c>
    </row>
    <row r="11779" spans="19:21" x14ac:dyDescent="0.25">
      <c r="S11779" s="78">
        <v>39166</v>
      </c>
      <c r="T11779" s="29">
        <v>5.25</v>
      </c>
    </row>
    <row r="11780" spans="19:21" x14ac:dyDescent="0.25">
      <c r="S11780" s="78">
        <v>39167</v>
      </c>
      <c r="T11780" s="29">
        <v>5.25</v>
      </c>
    </row>
    <row r="11781" spans="19:21" x14ac:dyDescent="0.25">
      <c r="S11781" s="78">
        <v>39168</v>
      </c>
      <c r="T11781" s="29">
        <v>5.25</v>
      </c>
    </row>
    <row r="11782" spans="19:21" x14ac:dyDescent="0.25">
      <c r="S11782" s="78">
        <v>39169</v>
      </c>
      <c r="T11782" s="29">
        <v>5.25</v>
      </c>
    </row>
    <row r="11783" spans="19:21" x14ac:dyDescent="0.25">
      <c r="S11783" s="78">
        <v>39170</v>
      </c>
      <c r="T11783" s="29">
        <v>5.25</v>
      </c>
    </row>
    <row r="11784" spans="19:21" x14ac:dyDescent="0.25">
      <c r="S11784" s="78">
        <v>39171</v>
      </c>
      <c r="T11784" s="29">
        <v>5.25</v>
      </c>
    </row>
    <row r="11785" spans="19:21" x14ac:dyDescent="0.25">
      <c r="S11785" s="78">
        <v>39172</v>
      </c>
      <c r="T11785" s="29">
        <v>5.25</v>
      </c>
      <c r="U11785" s="39">
        <f>AVERAGE(T11696:T11785)</f>
        <v>5.2222222222222223</v>
      </c>
    </row>
    <row r="11786" spans="19:21" x14ac:dyDescent="0.25">
      <c r="S11786" s="78">
        <v>39173</v>
      </c>
      <c r="T11786" s="29">
        <v>5.25</v>
      </c>
    </row>
    <row r="11787" spans="19:21" x14ac:dyDescent="0.25">
      <c r="S11787" s="78">
        <v>39174</v>
      </c>
      <c r="T11787" s="29">
        <v>5.25</v>
      </c>
    </row>
    <row r="11788" spans="19:21" x14ac:dyDescent="0.25">
      <c r="S11788" s="78">
        <v>39175</v>
      </c>
      <c r="T11788" s="29">
        <v>5.25</v>
      </c>
    </row>
    <row r="11789" spans="19:21" x14ac:dyDescent="0.25">
      <c r="S11789" s="78">
        <v>39176</v>
      </c>
      <c r="T11789" s="29">
        <v>5.25</v>
      </c>
    </row>
    <row r="11790" spans="19:21" x14ac:dyDescent="0.25">
      <c r="S11790" s="78">
        <v>39177</v>
      </c>
      <c r="T11790" s="29">
        <v>5.25</v>
      </c>
    </row>
    <row r="11791" spans="19:21" x14ac:dyDescent="0.25">
      <c r="S11791" s="78">
        <v>39178</v>
      </c>
      <c r="T11791" s="29">
        <v>5.25</v>
      </c>
    </row>
    <row r="11792" spans="19:21" x14ac:dyDescent="0.25">
      <c r="S11792" s="78">
        <v>39179</v>
      </c>
      <c r="T11792" s="29">
        <v>5.25</v>
      </c>
    </row>
    <row r="11793" spans="19:20" x14ac:dyDescent="0.25">
      <c r="S11793" s="78">
        <v>39180</v>
      </c>
      <c r="T11793" s="29">
        <v>5.25</v>
      </c>
    </row>
    <row r="11794" spans="19:20" x14ac:dyDescent="0.25">
      <c r="S11794" s="78">
        <v>39181</v>
      </c>
      <c r="T11794" s="29">
        <v>5.25</v>
      </c>
    </row>
    <row r="11795" spans="19:20" x14ac:dyDescent="0.25">
      <c r="S11795" s="78">
        <v>39182</v>
      </c>
      <c r="T11795" s="29">
        <v>5.25</v>
      </c>
    </row>
    <row r="11796" spans="19:20" x14ac:dyDescent="0.25">
      <c r="S11796" s="78">
        <v>39183</v>
      </c>
      <c r="T11796" s="29">
        <v>5.25</v>
      </c>
    </row>
    <row r="11797" spans="19:20" x14ac:dyDescent="0.25">
      <c r="S11797" s="78">
        <v>39184</v>
      </c>
      <c r="T11797" s="29">
        <v>5.25</v>
      </c>
    </row>
    <row r="11798" spans="19:20" x14ac:dyDescent="0.25">
      <c r="S11798" s="78">
        <v>39185</v>
      </c>
      <c r="T11798" s="29">
        <v>5.25</v>
      </c>
    </row>
    <row r="11799" spans="19:20" x14ac:dyDescent="0.25">
      <c r="S11799" s="78">
        <v>39186</v>
      </c>
      <c r="T11799" s="29">
        <v>5.25</v>
      </c>
    </row>
    <row r="11800" spans="19:20" x14ac:dyDescent="0.25">
      <c r="S11800" s="78">
        <v>39187</v>
      </c>
      <c r="T11800" s="29">
        <v>5.25</v>
      </c>
    </row>
    <row r="11801" spans="19:20" x14ac:dyDescent="0.25">
      <c r="S11801" s="78">
        <v>39188</v>
      </c>
      <c r="T11801" s="29">
        <v>5.25</v>
      </c>
    </row>
    <row r="11802" spans="19:20" x14ac:dyDescent="0.25">
      <c r="S11802" s="78">
        <v>39189</v>
      </c>
      <c r="T11802" s="29">
        <v>5.25</v>
      </c>
    </row>
    <row r="11803" spans="19:20" x14ac:dyDescent="0.25">
      <c r="S11803" s="78">
        <v>39190</v>
      </c>
      <c r="T11803" s="29">
        <v>5.25</v>
      </c>
    </row>
    <row r="11804" spans="19:20" x14ac:dyDescent="0.25">
      <c r="S11804" s="78">
        <v>39191</v>
      </c>
      <c r="T11804" s="29">
        <v>5.25</v>
      </c>
    </row>
    <row r="11805" spans="19:20" x14ac:dyDescent="0.25">
      <c r="S11805" s="78">
        <v>39192</v>
      </c>
      <c r="T11805" s="29">
        <v>5.25</v>
      </c>
    </row>
    <row r="11806" spans="19:20" x14ac:dyDescent="0.25">
      <c r="S11806" s="78">
        <v>39193</v>
      </c>
      <c r="T11806" s="29">
        <v>5.25</v>
      </c>
    </row>
    <row r="11807" spans="19:20" x14ac:dyDescent="0.25">
      <c r="S11807" s="78">
        <v>39194</v>
      </c>
      <c r="T11807" s="29">
        <v>5.25</v>
      </c>
    </row>
    <row r="11808" spans="19:20" x14ac:dyDescent="0.25">
      <c r="S11808" s="78">
        <v>39195</v>
      </c>
      <c r="T11808" s="29">
        <v>5.25</v>
      </c>
    </row>
    <row r="11809" spans="19:20" x14ac:dyDescent="0.25">
      <c r="S11809" s="78">
        <v>39196</v>
      </c>
      <c r="T11809" s="29">
        <v>5.25</v>
      </c>
    </row>
    <row r="11810" spans="19:20" x14ac:dyDescent="0.25">
      <c r="S11810" s="78">
        <v>39197</v>
      </c>
      <c r="T11810" s="29">
        <v>5.25</v>
      </c>
    </row>
    <row r="11811" spans="19:20" x14ac:dyDescent="0.25">
      <c r="S11811" s="78">
        <v>39198</v>
      </c>
      <c r="T11811" s="29">
        <v>5.25</v>
      </c>
    </row>
    <row r="11812" spans="19:20" x14ac:dyDescent="0.25">
      <c r="S11812" s="78">
        <v>39199</v>
      </c>
      <c r="T11812" s="29">
        <v>5.25</v>
      </c>
    </row>
    <row r="11813" spans="19:20" x14ac:dyDescent="0.25">
      <c r="S11813" s="78">
        <v>39200</v>
      </c>
      <c r="T11813" s="29">
        <v>5.25</v>
      </c>
    </row>
    <row r="11814" spans="19:20" x14ac:dyDescent="0.25">
      <c r="S11814" s="78">
        <v>39201</v>
      </c>
      <c r="T11814" s="29">
        <v>5.25</v>
      </c>
    </row>
    <row r="11815" spans="19:20" x14ac:dyDescent="0.25">
      <c r="S11815" s="78">
        <v>39202</v>
      </c>
      <c r="T11815" s="29">
        <v>5.25</v>
      </c>
    </row>
    <row r="11816" spans="19:20" x14ac:dyDescent="0.25">
      <c r="S11816" s="78">
        <v>39203</v>
      </c>
      <c r="T11816" s="29">
        <v>5.25</v>
      </c>
    </row>
    <row r="11817" spans="19:20" x14ac:dyDescent="0.25">
      <c r="S11817" s="78">
        <v>39204</v>
      </c>
      <c r="T11817" s="29">
        <v>5.25</v>
      </c>
    </row>
    <row r="11818" spans="19:20" x14ac:dyDescent="0.25">
      <c r="S11818" s="78">
        <v>39205</v>
      </c>
      <c r="T11818" s="29">
        <v>5.25</v>
      </c>
    </row>
    <row r="11819" spans="19:20" x14ac:dyDescent="0.25">
      <c r="S11819" s="78">
        <v>39206</v>
      </c>
      <c r="T11819" s="29">
        <v>5.25</v>
      </c>
    </row>
    <row r="11820" spans="19:20" x14ac:dyDescent="0.25">
      <c r="S11820" s="78">
        <v>39207</v>
      </c>
      <c r="T11820" s="29">
        <v>5.25</v>
      </c>
    </row>
    <row r="11821" spans="19:20" x14ac:dyDescent="0.25">
      <c r="S11821" s="78">
        <v>39208</v>
      </c>
      <c r="T11821" s="29">
        <v>5.25</v>
      </c>
    </row>
    <row r="11822" spans="19:20" x14ac:dyDescent="0.25">
      <c r="S11822" s="78">
        <v>39209</v>
      </c>
      <c r="T11822" s="29">
        <v>5.25</v>
      </c>
    </row>
    <row r="11823" spans="19:20" x14ac:dyDescent="0.25">
      <c r="S11823" s="78">
        <v>39210</v>
      </c>
      <c r="T11823" s="29">
        <v>5.25</v>
      </c>
    </row>
    <row r="11824" spans="19:20" x14ac:dyDescent="0.25">
      <c r="S11824" s="78">
        <v>39211</v>
      </c>
      <c r="T11824" s="29">
        <v>5.25</v>
      </c>
    </row>
    <row r="11825" spans="19:20" x14ac:dyDescent="0.25">
      <c r="S11825" s="78">
        <v>39212</v>
      </c>
      <c r="T11825" s="29">
        <v>5.5</v>
      </c>
    </row>
    <row r="11826" spans="19:20" x14ac:dyDescent="0.25">
      <c r="S11826" s="78">
        <v>39213</v>
      </c>
      <c r="T11826" s="29">
        <v>5.5</v>
      </c>
    </row>
    <row r="11827" spans="19:20" x14ac:dyDescent="0.25">
      <c r="S11827" s="78">
        <v>39214</v>
      </c>
      <c r="T11827" s="29">
        <v>5.5</v>
      </c>
    </row>
    <row r="11828" spans="19:20" x14ac:dyDescent="0.25">
      <c r="S11828" s="78">
        <v>39215</v>
      </c>
      <c r="T11828" s="29">
        <v>5.5</v>
      </c>
    </row>
    <row r="11829" spans="19:20" x14ac:dyDescent="0.25">
      <c r="S11829" s="78">
        <v>39216</v>
      </c>
      <c r="T11829" s="29">
        <v>5.5</v>
      </c>
    </row>
    <row r="11830" spans="19:20" x14ac:dyDescent="0.25">
      <c r="S11830" s="78">
        <v>39217</v>
      </c>
      <c r="T11830" s="29">
        <v>5.5</v>
      </c>
    </row>
    <row r="11831" spans="19:20" x14ac:dyDescent="0.25">
      <c r="S11831" s="78">
        <v>39218</v>
      </c>
      <c r="T11831" s="29">
        <v>5.5</v>
      </c>
    </row>
    <row r="11832" spans="19:20" x14ac:dyDescent="0.25">
      <c r="S11832" s="78">
        <v>39219</v>
      </c>
      <c r="T11832" s="29">
        <v>5.5</v>
      </c>
    </row>
    <row r="11833" spans="19:20" x14ac:dyDescent="0.25">
      <c r="S11833" s="78">
        <v>39220</v>
      </c>
      <c r="T11833" s="29">
        <v>5.5</v>
      </c>
    </row>
    <row r="11834" spans="19:20" x14ac:dyDescent="0.25">
      <c r="S11834" s="78">
        <v>39221</v>
      </c>
      <c r="T11834" s="29">
        <v>5.5</v>
      </c>
    </row>
    <row r="11835" spans="19:20" x14ac:dyDescent="0.25">
      <c r="S11835" s="78">
        <v>39222</v>
      </c>
      <c r="T11835" s="29">
        <v>5.5</v>
      </c>
    </row>
    <row r="11836" spans="19:20" x14ac:dyDescent="0.25">
      <c r="S11836" s="78">
        <v>39223</v>
      </c>
      <c r="T11836" s="29">
        <v>5.5</v>
      </c>
    </row>
    <row r="11837" spans="19:20" x14ac:dyDescent="0.25">
      <c r="S11837" s="78">
        <v>39224</v>
      </c>
      <c r="T11837" s="29">
        <v>5.5</v>
      </c>
    </row>
    <row r="11838" spans="19:20" x14ac:dyDescent="0.25">
      <c r="S11838" s="78">
        <v>39225</v>
      </c>
      <c r="T11838" s="29">
        <v>5.5</v>
      </c>
    </row>
    <row r="11839" spans="19:20" x14ac:dyDescent="0.25">
      <c r="S11839" s="78">
        <v>39226</v>
      </c>
      <c r="T11839" s="29">
        <v>5.5</v>
      </c>
    </row>
    <row r="11840" spans="19:20" x14ac:dyDescent="0.25">
      <c r="S11840" s="78">
        <v>39227</v>
      </c>
      <c r="T11840" s="29">
        <v>5.5</v>
      </c>
    </row>
    <row r="11841" spans="19:20" x14ac:dyDescent="0.25">
      <c r="S11841" s="78">
        <v>39228</v>
      </c>
      <c r="T11841" s="29">
        <v>5.5</v>
      </c>
    </row>
    <row r="11842" spans="19:20" x14ac:dyDescent="0.25">
      <c r="S11842" s="78">
        <v>39229</v>
      </c>
      <c r="T11842" s="29">
        <v>5.5</v>
      </c>
    </row>
    <row r="11843" spans="19:20" x14ac:dyDescent="0.25">
      <c r="S11843" s="78">
        <v>39230</v>
      </c>
      <c r="T11843" s="29">
        <v>5.5</v>
      </c>
    </row>
    <row r="11844" spans="19:20" x14ac:dyDescent="0.25">
      <c r="S11844" s="78">
        <v>39231</v>
      </c>
      <c r="T11844" s="29">
        <v>5.5</v>
      </c>
    </row>
    <row r="11845" spans="19:20" x14ac:dyDescent="0.25">
      <c r="S11845" s="78">
        <v>39232</v>
      </c>
      <c r="T11845" s="29">
        <v>5.5</v>
      </c>
    </row>
    <row r="11846" spans="19:20" x14ac:dyDescent="0.25">
      <c r="S11846" s="78">
        <v>39233</v>
      </c>
      <c r="T11846" s="29">
        <v>5.5</v>
      </c>
    </row>
    <row r="11847" spans="19:20" x14ac:dyDescent="0.25">
      <c r="S11847" s="78">
        <v>39234</v>
      </c>
      <c r="T11847" s="29">
        <v>5.5</v>
      </c>
    </row>
    <row r="11848" spans="19:20" x14ac:dyDescent="0.25">
      <c r="S11848" s="78">
        <v>39235</v>
      </c>
      <c r="T11848" s="29">
        <v>5.5</v>
      </c>
    </row>
    <row r="11849" spans="19:20" x14ac:dyDescent="0.25">
      <c r="S11849" s="78">
        <v>39236</v>
      </c>
      <c r="T11849" s="29">
        <v>5.5</v>
      </c>
    </row>
    <row r="11850" spans="19:20" x14ac:dyDescent="0.25">
      <c r="S11850" s="78">
        <v>39237</v>
      </c>
      <c r="T11850" s="29">
        <v>5.5</v>
      </c>
    </row>
    <row r="11851" spans="19:20" x14ac:dyDescent="0.25">
      <c r="S11851" s="78">
        <v>39238</v>
      </c>
      <c r="T11851" s="29">
        <v>5.5</v>
      </c>
    </row>
    <row r="11852" spans="19:20" x14ac:dyDescent="0.25">
      <c r="S11852" s="78">
        <v>39239</v>
      </c>
      <c r="T11852" s="29">
        <v>5.5</v>
      </c>
    </row>
    <row r="11853" spans="19:20" x14ac:dyDescent="0.25">
      <c r="S11853" s="78">
        <v>39240</v>
      </c>
      <c r="T11853" s="29">
        <v>5.5</v>
      </c>
    </row>
    <row r="11854" spans="19:20" x14ac:dyDescent="0.25">
      <c r="S11854" s="78">
        <v>39241</v>
      </c>
      <c r="T11854" s="29">
        <v>5.5</v>
      </c>
    </row>
    <row r="11855" spans="19:20" x14ac:dyDescent="0.25">
      <c r="S11855" s="78">
        <v>39242</v>
      </c>
      <c r="T11855" s="29">
        <v>5.5</v>
      </c>
    </row>
    <row r="11856" spans="19:20" x14ac:dyDescent="0.25">
      <c r="S11856" s="78">
        <v>39243</v>
      </c>
      <c r="T11856" s="29">
        <v>5.5</v>
      </c>
    </row>
    <row r="11857" spans="19:20" x14ac:dyDescent="0.25">
      <c r="S11857" s="78">
        <v>39244</v>
      </c>
      <c r="T11857" s="29">
        <v>5.5</v>
      </c>
    </row>
    <row r="11858" spans="19:20" x14ac:dyDescent="0.25">
      <c r="S11858" s="78">
        <v>39245</v>
      </c>
      <c r="T11858" s="29">
        <v>5.5</v>
      </c>
    </row>
    <row r="11859" spans="19:20" x14ac:dyDescent="0.25">
      <c r="S11859" s="78">
        <v>39246</v>
      </c>
      <c r="T11859" s="29">
        <v>5.5</v>
      </c>
    </row>
    <row r="11860" spans="19:20" x14ac:dyDescent="0.25">
      <c r="S11860" s="78">
        <v>39247</v>
      </c>
      <c r="T11860" s="29">
        <v>5.5</v>
      </c>
    </row>
    <row r="11861" spans="19:20" x14ac:dyDescent="0.25">
      <c r="S11861" s="78">
        <v>39248</v>
      </c>
      <c r="T11861" s="29">
        <v>5.5</v>
      </c>
    </row>
    <row r="11862" spans="19:20" x14ac:dyDescent="0.25">
      <c r="S11862" s="78">
        <v>39249</v>
      </c>
      <c r="T11862" s="29">
        <v>5.5</v>
      </c>
    </row>
    <row r="11863" spans="19:20" x14ac:dyDescent="0.25">
      <c r="S11863" s="78">
        <v>39250</v>
      </c>
      <c r="T11863" s="29">
        <v>5.5</v>
      </c>
    </row>
    <row r="11864" spans="19:20" x14ac:dyDescent="0.25">
      <c r="S11864" s="78">
        <v>39251</v>
      </c>
      <c r="T11864" s="29">
        <v>5.5</v>
      </c>
    </row>
    <row r="11865" spans="19:20" x14ac:dyDescent="0.25">
      <c r="S11865" s="78">
        <v>39252</v>
      </c>
      <c r="T11865" s="29">
        <v>5.5</v>
      </c>
    </row>
    <row r="11866" spans="19:20" x14ac:dyDescent="0.25">
      <c r="S11866" s="78">
        <v>39253</v>
      </c>
      <c r="T11866" s="29">
        <v>5.5</v>
      </c>
    </row>
    <row r="11867" spans="19:20" x14ac:dyDescent="0.25">
      <c r="S11867" s="78">
        <v>39254</v>
      </c>
      <c r="T11867" s="29">
        <v>5.5</v>
      </c>
    </row>
    <row r="11868" spans="19:20" x14ac:dyDescent="0.25">
      <c r="S11868" s="78">
        <v>39255</v>
      </c>
      <c r="T11868" s="29">
        <v>5.5</v>
      </c>
    </row>
    <row r="11869" spans="19:20" x14ac:dyDescent="0.25">
      <c r="S11869" s="78">
        <v>39256</v>
      </c>
      <c r="T11869" s="29">
        <v>5.5</v>
      </c>
    </row>
    <row r="11870" spans="19:20" x14ac:dyDescent="0.25">
      <c r="S11870" s="78">
        <v>39257</v>
      </c>
      <c r="T11870" s="29">
        <v>5.5</v>
      </c>
    </row>
    <row r="11871" spans="19:20" x14ac:dyDescent="0.25">
      <c r="S11871" s="78">
        <v>39258</v>
      </c>
      <c r="T11871" s="29">
        <v>5.5</v>
      </c>
    </row>
    <row r="11872" spans="19:20" x14ac:dyDescent="0.25">
      <c r="S11872" s="78">
        <v>39259</v>
      </c>
      <c r="T11872" s="29">
        <v>5.5</v>
      </c>
    </row>
    <row r="11873" spans="19:21" x14ac:dyDescent="0.25">
      <c r="S11873" s="78">
        <v>39260</v>
      </c>
      <c r="T11873" s="29">
        <v>5.5</v>
      </c>
    </row>
    <row r="11874" spans="19:21" x14ac:dyDescent="0.25">
      <c r="S11874" s="78">
        <v>39261</v>
      </c>
      <c r="T11874" s="29">
        <v>5.5</v>
      </c>
    </row>
    <row r="11875" spans="19:21" x14ac:dyDescent="0.25">
      <c r="S11875" s="78">
        <v>39262</v>
      </c>
      <c r="T11875" s="29">
        <v>5.5</v>
      </c>
    </row>
    <row r="11876" spans="19:21" x14ac:dyDescent="0.25">
      <c r="S11876" s="78">
        <v>39263</v>
      </c>
      <c r="T11876" s="29">
        <v>5.5</v>
      </c>
      <c r="U11876" s="40">
        <f>AVERAGE(T11786:T11876)</f>
        <v>5.3928571428571432</v>
      </c>
    </row>
    <row r="11877" spans="19:21" x14ac:dyDescent="0.25">
      <c r="S11877" s="78">
        <v>39264</v>
      </c>
      <c r="T11877" s="29">
        <v>5.5</v>
      </c>
    </row>
    <row r="11878" spans="19:21" x14ac:dyDescent="0.25">
      <c r="S11878" s="78">
        <v>39265</v>
      </c>
      <c r="T11878" s="29">
        <v>5.5</v>
      </c>
    </row>
    <row r="11879" spans="19:21" x14ac:dyDescent="0.25">
      <c r="S11879" s="78">
        <v>39266</v>
      </c>
      <c r="T11879" s="29">
        <v>5.5</v>
      </c>
    </row>
    <row r="11880" spans="19:21" x14ac:dyDescent="0.25">
      <c r="S11880" s="78">
        <v>39267</v>
      </c>
      <c r="T11880" s="29">
        <v>5.5</v>
      </c>
    </row>
    <row r="11881" spans="19:21" x14ac:dyDescent="0.25">
      <c r="S11881" s="78">
        <v>39268</v>
      </c>
      <c r="T11881" s="29">
        <v>5.75</v>
      </c>
    </row>
    <row r="11882" spans="19:21" x14ac:dyDescent="0.25">
      <c r="S11882" s="78">
        <v>39269</v>
      </c>
      <c r="T11882" s="29">
        <v>5.75</v>
      </c>
    </row>
    <row r="11883" spans="19:21" x14ac:dyDescent="0.25">
      <c r="S11883" s="78">
        <v>39270</v>
      </c>
      <c r="T11883" s="29">
        <v>5.75</v>
      </c>
    </row>
    <row r="11884" spans="19:21" x14ac:dyDescent="0.25">
      <c r="S11884" s="78">
        <v>39271</v>
      </c>
      <c r="T11884" s="29">
        <v>5.75</v>
      </c>
    </row>
    <row r="11885" spans="19:21" x14ac:dyDescent="0.25">
      <c r="S11885" s="78">
        <v>39272</v>
      </c>
      <c r="T11885" s="29">
        <v>5.75</v>
      </c>
    </row>
    <row r="11886" spans="19:21" x14ac:dyDescent="0.25">
      <c r="S11886" s="78">
        <v>39273</v>
      </c>
      <c r="T11886" s="29">
        <v>5.75</v>
      </c>
    </row>
    <row r="11887" spans="19:21" x14ac:dyDescent="0.25">
      <c r="S11887" s="78">
        <v>39274</v>
      </c>
      <c r="T11887" s="29">
        <v>5.75</v>
      </c>
    </row>
    <row r="11888" spans="19:21" x14ac:dyDescent="0.25">
      <c r="S11888" s="78">
        <v>39275</v>
      </c>
      <c r="T11888" s="29">
        <v>5.75</v>
      </c>
    </row>
    <row r="11889" spans="19:20" x14ac:dyDescent="0.25">
      <c r="S11889" s="78">
        <v>39276</v>
      </c>
      <c r="T11889" s="29">
        <v>5.75</v>
      </c>
    </row>
    <row r="11890" spans="19:20" x14ac:dyDescent="0.25">
      <c r="S11890" s="78">
        <v>39277</v>
      </c>
      <c r="T11890" s="29">
        <v>5.75</v>
      </c>
    </row>
    <row r="11891" spans="19:20" x14ac:dyDescent="0.25">
      <c r="S11891" s="78">
        <v>39278</v>
      </c>
      <c r="T11891" s="29">
        <v>5.75</v>
      </c>
    </row>
    <row r="11892" spans="19:20" x14ac:dyDescent="0.25">
      <c r="S11892" s="78">
        <v>39279</v>
      </c>
      <c r="T11892" s="29">
        <v>5.75</v>
      </c>
    </row>
    <row r="11893" spans="19:20" x14ac:dyDescent="0.25">
      <c r="S11893" s="78">
        <v>39280</v>
      </c>
      <c r="T11893" s="29">
        <v>5.75</v>
      </c>
    </row>
    <row r="11894" spans="19:20" x14ac:dyDescent="0.25">
      <c r="S11894" s="78">
        <v>39281</v>
      </c>
      <c r="T11894" s="29">
        <v>5.75</v>
      </c>
    </row>
    <row r="11895" spans="19:20" x14ac:dyDescent="0.25">
      <c r="S11895" s="78">
        <v>39282</v>
      </c>
      <c r="T11895" s="29">
        <v>5.75</v>
      </c>
    </row>
    <row r="11896" spans="19:20" x14ac:dyDescent="0.25">
      <c r="S11896" s="78">
        <v>39283</v>
      </c>
      <c r="T11896" s="29">
        <v>5.75</v>
      </c>
    </row>
    <row r="11897" spans="19:20" x14ac:dyDescent="0.25">
      <c r="S11897" s="78">
        <v>39284</v>
      </c>
      <c r="T11897" s="29">
        <v>5.75</v>
      </c>
    </row>
    <row r="11898" spans="19:20" x14ac:dyDescent="0.25">
      <c r="S11898" s="78">
        <v>39285</v>
      </c>
      <c r="T11898" s="29">
        <v>5.75</v>
      </c>
    </row>
    <row r="11899" spans="19:20" x14ac:dyDescent="0.25">
      <c r="S11899" s="78">
        <v>39286</v>
      </c>
      <c r="T11899" s="29">
        <v>5.75</v>
      </c>
    </row>
    <row r="11900" spans="19:20" x14ac:dyDescent="0.25">
      <c r="S11900" s="78">
        <v>39287</v>
      </c>
      <c r="T11900" s="29">
        <v>5.75</v>
      </c>
    </row>
    <row r="11901" spans="19:20" x14ac:dyDescent="0.25">
      <c r="S11901" s="78">
        <v>39288</v>
      </c>
      <c r="T11901" s="29">
        <v>5.75</v>
      </c>
    </row>
    <row r="11902" spans="19:20" x14ac:dyDescent="0.25">
      <c r="S11902" s="78">
        <v>39289</v>
      </c>
      <c r="T11902" s="29">
        <v>5.75</v>
      </c>
    </row>
    <row r="11903" spans="19:20" x14ac:dyDescent="0.25">
      <c r="S11903" s="78">
        <v>39290</v>
      </c>
      <c r="T11903" s="29">
        <v>5.75</v>
      </c>
    </row>
    <row r="11904" spans="19:20" x14ac:dyDescent="0.25">
      <c r="S11904" s="78">
        <v>39291</v>
      </c>
      <c r="T11904" s="29">
        <v>5.75</v>
      </c>
    </row>
    <row r="11905" spans="19:20" x14ac:dyDescent="0.25">
      <c r="S11905" s="78">
        <v>39292</v>
      </c>
      <c r="T11905" s="29">
        <v>5.75</v>
      </c>
    </row>
    <row r="11906" spans="19:20" x14ac:dyDescent="0.25">
      <c r="S11906" s="78">
        <v>39293</v>
      </c>
      <c r="T11906" s="29">
        <v>5.75</v>
      </c>
    </row>
    <row r="11907" spans="19:20" x14ac:dyDescent="0.25">
      <c r="S11907" s="78">
        <v>39294</v>
      </c>
      <c r="T11907" s="29">
        <v>5.75</v>
      </c>
    </row>
    <row r="11908" spans="19:20" x14ac:dyDescent="0.25">
      <c r="S11908" s="78">
        <v>39295</v>
      </c>
      <c r="T11908" s="29">
        <v>5.75</v>
      </c>
    </row>
    <row r="11909" spans="19:20" x14ac:dyDescent="0.25">
      <c r="S11909" s="78">
        <v>39296</v>
      </c>
      <c r="T11909" s="29">
        <v>5.75</v>
      </c>
    </row>
    <row r="11910" spans="19:20" x14ac:dyDescent="0.25">
      <c r="S11910" s="78">
        <v>39297</v>
      </c>
      <c r="T11910" s="29">
        <v>5.75</v>
      </c>
    </row>
    <row r="11911" spans="19:20" x14ac:dyDescent="0.25">
      <c r="S11911" s="78">
        <v>39298</v>
      </c>
      <c r="T11911" s="29">
        <v>5.75</v>
      </c>
    </row>
    <row r="11912" spans="19:20" x14ac:dyDescent="0.25">
      <c r="S11912" s="78">
        <v>39299</v>
      </c>
      <c r="T11912" s="29">
        <v>5.75</v>
      </c>
    </row>
    <row r="11913" spans="19:20" x14ac:dyDescent="0.25">
      <c r="S11913" s="78">
        <v>39300</v>
      </c>
      <c r="T11913" s="29">
        <v>5.75</v>
      </c>
    </row>
    <row r="11914" spans="19:20" x14ac:dyDescent="0.25">
      <c r="S11914" s="78">
        <v>39301</v>
      </c>
      <c r="T11914" s="29">
        <v>5.75</v>
      </c>
    </row>
    <row r="11915" spans="19:20" x14ac:dyDescent="0.25">
      <c r="S11915" s="78">
        <v>39302</v>
      </c>
      <c r="T11915" s="29">
        <v>5.75</v>
      </c>
    </row>
    <row r="11916" spans="19:20" x14ac:dyDescent="0.25">
      <c r="S11916" s="78">
        <v>39303</v>
      </c>
      <c r="T11916" s="29">
        <v>5.75</v>
      </c>
    </row>
    <row r="11917" spans="19:20" x14ac:dyDescent="0.25">
      <c r="S11917" s="78">
        <v>39304</v>
      </c>
      <c r="T11917" s="29">
        <v>5.75</v>
      </c>
    </row>
    <row r="11918" spans="19:20" x14ac:dyDescent="0.25">
      <c r="S11918" s="78">
        <v>39305</v>
      </c>
      <c r="T11918" s="29">
        <v>5.75</v>
      </c>
    </row>
    <row r="11919" spans="19:20" x14ac:dyDescent="0.25">
      <c r="S11919" s="78">
        <v>39306</v>
      </c>
      <c r="T11919" s="29">
        <v>5.75</v>
      </c>
    </row>
    <row r="11920" spans="19:20" x14ac:dyDescent="0.25">
      <c r="S11920" s="78">
        <v>39307</v>
      </c>
      <c r="T11920" s="29">
        <v>5.75</v>
      </c>
    </row>
    <row r="11921" spans="19:20" x14ac:dyDescent="0.25">
      <c r="S11921" s="78">
        <v>39308</v>
      </c>
      <c r="T11921" s="29">
        <v>5.75</v>
      </c>
    </row>
    <row r="11922" spans="19:20" x14ac:dyDescent="0.25">
      <c r="S11922" s="78">
        <v>39309</v>
      </c>
      <c r="T11922" s="29">
        <v>5.75</v>
      </c>
    </row>
    <row r="11923" spans="19:20" x14ac:dyDescent="0.25">
      <c r="S11923" s="78">
        <v>39310</v>
      </c>
      <c r="T11923" s="29">
        <v>5.75</v>
      </c>
    </row>
    <row r="11924" spans="19:20" x14ac:dyDescent="0.25">
      <c r="S11924" s="78">
        <v>39311</v>
      </c>
      <c r="T11924" s="29">
        <v>5.75</v>
      </c>
    </row>
    <row r="11925" spans="19:20" x14ac:dyDescent="0.25">
      <c r="S11925" s="78">
        <v>39312</v>
      </c>
      <c r="T11925" s="29">
        <v>5.75</v>
      </c>
    </row>
    <row r="11926" spans="19:20" x14ac:dyDescent="0.25">
      <c r="S11926" s="78">
        <v>39313</v>
      </c>
      <c r="T11926" s="29">
        <v>5.75</v>
      </c>
    </row>
    <row r="11927" spans="19:20" x14ac:dyDescent="0.25">
      <c r="S11927" s="78">
        <v>39314</v>
      </c>
      <c r="T11927" s="29">
        <v>5.75</v>
      </c>
    </row>
    <row r="11928" spans="19:20" x14ac:dyDescent="0.25">
      <c r="S11928" s="78">
        <v>39315</v>
      </c>
      <c r="T11928" s="29">
        <v>5.75</v>
      </c>
    </row>
    <row r="11929" spans="19:20" x14ac:dyDescent="0.25">
      <c r="S11929" s="78">
        <v>39316</v>
      </c>
      <c r="T11929" s="29">
        <v>5.75</v>
      </c>
    </row>
    <row r="11930" spans="19:20" x14ac:dyDescent="0.25">
      <c r="S11930" s="78">
        <v>39317</v>
      </c>
      <c r="T11930" s="29">
        <v>5.75</v>
      </c>
    </row>
    <row r="11931" spans="19:20" x14ac:dyDescent="0.25">
      <c r="S11931" s="78">
        <v>39318</v>
      </c>
      <c r="T11931" s="29">
        <v>5.75</v>
      </c>
    </row>
    <row r="11932" spans="19:20" x14ac:dyDescent="0.25">
      <c r="S11932" s="78">
        <v>39319</v>
      </c>
      <c r="T11932" s="29">
        <v>5.75</v>
      </c>
    </row>
    <row r="11933" spans="19:20" x14ac:dyDescent="0.25">
      <c r="S11933" s="78">
        <v>39320</v>
      </c>
      <c r="T11933" s="29">
        <v>5.75</v>
      </c>
    </row>
    <row r="11934" spans="19:20" x14ac:dyDescent="0.25">
      <c r="S11934" s="78">
        <v>39321</v>
      </c>
      <c r="T11934" s="29">
        <v>5.75</v>
      </c>
    </row>
    <row r="11935" spans="19:20" x14ac:dyDescent="0.25">
      <c r="S11935" s="78">
        <v>39322</v>
      </c>
      <c r="T11935" s="29">
        <v>5.75</v>
      </c>
    </row>
    <row r="11936" spans="19:20" x14ac:dyDescent="0.25">
      <c r="S11936" s="78">
        <v>39323</v>
      </c>
      <c r="T11936" s="29">
        <v>5.75</v>
      </c>
    </row>
    <row r="11937" spans="19:20" x14ac:dyDescent="0.25">
      <c r="S11937" s="78">
        <v>39324</v>
      </c>
      <c r="T11937" s="29">
        <v>5.75</v>
      </c>
    </row>
    <row r="11938" spans="19:20" x14ac:dyDescent="0.25">
      <c r="S11938" s="78">
        <v>39325</v>
      </c>
      <c r="T11938" s="29">
        <v>5.75</v>
      </c>
    </row>
    <row r="11939" spans="19:20" x14ac:dyDescent="0.25">
      <c r="S11939" s="78">
        <v>39326</v>
      </c>
      <c r="T11939" s="29">
        <v>5.75</v>
      </c>
    </row>
    <row r="11940" spans="19:20" x14ac:dyDescent="0.25">
      <c r="S11940" s="78">
        <v>39327</v>
      </c>
      <c r="T11940" s="29">
        <v>5.75</v>
      </c>
    </row>
    <row r="11941" spans="19:20" x14ac:dyDescent="0.25">
      <c r="S11941" s="78">
        <v>39328</v>
      </c>
      <c r="T11941" s="29">
        <v>5.75</v>
      </c>
    </row>
    <row r="11942" spans="19:20" x14ac:dyDescent="0.25">
      <c r="S11942" s="78">
        <v>39329</v>
      </c>
      <c r="T11942" s="29">
        <v>5.75</v>
      </c>
    </row>
    <row r="11943" spans="19:20" x14ac:dyDescent="0.25">
      <c r="S11943" s="78">
        <v>39330</v>
      </c>
      <c r="T11943" s="29">
        <v>5.75</v>
      </c>
    </row>
    <row r="11944" spans="19:20" x14ac:dyDescent="0.25">
      <c r="S11944" s="78">
        <v>39331</v>
      </c>
      <c r="T11944" s="29">
        <v>5.75</v>
      </c>
    </row>
    <row r="11945" spans="19:20" x14ac:dyDescent="0.25">
      <c r="S11945" s="78">
        <v>39332</v>
      </c>
      <c r="T11945" s="29">
        <v>5.75</v>
      </c>
    </row>
    <row r="11946" spans="19:20" x14ac:dyDescent="0.25">
      <c r="S11946" s="78">
        <v>39333</v>
      </c>
      <c r="T11946" s="29">
        <v>5.75</v>
      </c>
    </row>
    <row r="11947" spans="19:20" x14ac:dyDescent="0.25">
      <c r="S11947" s="78">
        <v>39334</v>
      </c>
      <c r="T11947" s="29">
        <v>5.75</v>
      </c>
    </row>
    <row r="11948" spans="19:20" x14ac:dyDescent="0.25">
      <c r="S11948" s="78">
        <v>39335</v>
      </c>
      <c r="T11948" s="29">
        <v>5.75</v>
      </c>
    </row>
    <row r="11949" spans="19:20" x14ac:dyDescent="0.25">
      <c r="S11949" s="78">
        <v>39336</v>
      </c>
      <c r="T11949" s="29">
        <v>5.75</v>
      </c>
    </row>
    <row r="11950" spans="19:20" x14ac:dyDescent="0.25">
      <c r="S11950" s="78">
        <v>39337</v>
      </c>
      <c r="T11950" s="29">
        <v>5.75</v>
      </c>
    </row>
    <row r="11951" spans="19:20" x14ac:dyDescent="0.25">
      <c r="S11951" s="78">
        <v>39338</v>
      </c>
      <c r="T11951" s="29">
        <v>5.75</v>
      </c>
    </row>
    <row r="11952" spans="19:20" x14ac:dyDescent="0.25">
      <c r="S11952" s="78">
        <v>39339</v>
      </c>
      <c r="T11952" s="29">
        <v>5.75</v>
      </c>
    </row>
    <row r="11953" spans="19:21" x14ac:dyDescent="0.25">
      <c r="S11953" s="78">
        <v>39340</v>
      </c>
      <c r="T11953" s="29">
        <v>5.75</v>
      </c>
    </row>
    <row r="11954" spans="19:21" x14ac:dyDescent="0.25">
      <c r="S11954" s="78">
        <v>39341</v>
      </c>
      <c r="T11954" s="29">
        <v>5.75</v>
      </c>
    </row>
    <row r="11955" spans="19:21" x14ac:dyDescent="0.25">
      <c r="S11955" s="78">
        <v>39342</v>
      </c>
      <c r="T11955" s="29">
        <v>5.75</v>
      </c>
    </row>
    <row r="11956" spans="19:21" x14ac:dyDescent="0.25">
      <c r="S11956" s="78">
        <v>39343</v>
      </c>
      <c r="T11956" s="29">
        <v>5.75</v>
      </c>
    </row>
    <row r="11957" spans="19:21" x14ac:dyDescent="0.25">
      <c r="S11957" s="78">
        <v>39344</v>
      </c>
      <c r="T11957" s="29">
        <v>5.75</v>
      </c>
    </row>
    <row r="11958" spans="19:21" x14ac:dyDescent="0.25">
      <c r="S11958" s="78">
        <v>39345</v>
      </c>
      <c r="T11958" s="29">
        <v>5.75</v>
      </c>
    </row>
    <row r="11959" spans="19:21" x14ac:dyDescent="0.25">
      <c r="S11959" s="78">
        <v>39346</v>
      </c>
      <c r="T11959" s="29">
        <v>5.75</v>
      </c>
    </row>
    <row r="11960" spans="19:21" x14ac:dyDescent="0.25">
      <c r="S11960" s="78">
        <v>39347</v>
      </c>
      <c r="T11960" s="29">
        <v>5.75</v>
      </c>
    </row>
    <row r="11961" spans="19:21" x14ac:dyDescent="0.25">
      <c r="S11961" s="78">
        <v>39348</v>
      </c>
      <c r="T11961" s="29">
        <v>5.75</v>
      </c>
    </row>
    <row r="11962" spans="19:21" x14ac:dyDescent="0.25">
      <c r="S11962" s="78">
        <v>39349</v>
      </c>
      <c r="T11962" s="29">
        <v>5.75</v>
      </c>
    </row>
    <row r="11963" spans="19:21" x14ac:dyDescent="0.25">
      <c r="S11963" s="78">
        <v>39350</v>
      </c>
      <c r="T11963" s="29">
        <v>5.75</v>
      </c>
    </row>
    <row r="11964" spans="19:21" x14ac:dyDescent="0.25">
      <c r="S11964" s="78">
        <v>39351</v>
      </c>
      <c r="T11964" s="29">
        <v>5.75</v>
      </c>
    </row>
    <row r="11965" spans="19:21" x14ac:dyDescent="0.25">
      <c r="S11965" s="78">
        <v>39352</v>
      </c>
      <c r="T11965" s="29">
        <v>5.75</v>
      </c>
    </row>
    <row r="11966" spans="19:21" x14ac:dyDescent="0.25">
      <c r="S11966" s="78">
        <v>39353</v>
      </c>
      <c r="T11966" s="29">
        <v>5.75</v>
      </c>
    </row>
    <row r="11967" spans="19:21" x14ac:dyDescent="0.25">
      <c r="S11967" s="78">
        <v>39354</v>
      </c>
      <c r="T11967" s="29">
        <v>5.75</v>
      </c>
    </row>
    <row r="11968" spans="19:21" x14ac:dyDescent="0.25">
      <c r="S11968" s="78">
        <v>39355</v>
      </c>
      <c r="T11968" s="29">
        <v>5.75</v>
      </c>
      <c r="U11968" s="40">
        <f>AVERAGE(T11877:T11968)</f>
        <v>5.7391304347826084</v>
      </c>
    </row>
    <row r="11969" spans="19:20" x14ac:dyDescent="0.25">
      <c r="S11969" s="78">
        <v>39356</v>
      </c>
      <c r="T11969" s="29">
        <v>5.75</v>
      </c>
    </row>
    <row r="11970" spans="19:20" x14ac:dyDescent="0.25">
      <c r="S11970" s="78">
        <v>39357</v>
      </c>
      <c r="T11970" s="29">
        <v>5.75</v>
      </c>
    </row>
    <row r="11971" spans="19:20" x14ac:dyDescent="0.25">
      <c r="S11971" s="78">
        <v>39358</v>
      </c>
      <c r="T11971" s="29">
        <v>5.75</v>
      </c>
    </row>
    <row r="11972" spans="19:20" x14ac:dyDescent="0.25">
      <c r="S11972" s="78">
        <v>39359</v>
      </c>
      <c r="T11972" s="29">
        <v>5.75</v>
      </c>
    </row>
    <row r="11973" spans="19:20" x14ac:dyDescent="0.25">
      <c r="S11973" s="78">
        <v>39360</v>
      </c>
      <c r="T11973" s="29">
        <v>5.75</v>
      </c>
    </row>
    <row r="11974" spans="19:20" x14ac:dyDescent="0.25">
      <c r="S11974" s="78">
        <v>39361</v>
      </c>
      <c r="T11974" s="29">
        <v>5.75</v>
      </c>
    </row>
    <row r="11975" spans="19:20" x14ac:dyDescent="0.25">
      <c r="S11975" s="78">
        <v>39362</v>
      </c>
      <c r="T11975" s="29">
        <v>5.75</v>
      </c>
    </row>
    <row r="11976" spans="19:20" x14ac:dyDescent="0.25">
      <c r="S11976" s="78">
        <v>39363</v>
      </c>
      <c r="T11976" s="29">
        <v>5.75</v>
      </c>
    </row>
    <row r="11977" spans="19:20" x14ac:dyDescent="0.25">
      <c r="S11977" s="78">
        <v>39364</v>
      </c>
      <c r="T11977" s="29">
        <v>5.75</v>
      </c>
    </row>
    <row r="11978" spans="19:20" x14ac:dyDescent="0.25">
      <c r="S11978" s="78">
        <v>39365</v>
      </c>
      <c r="T11978" s="29">
        <v>5.75</v>
      </c>
    </row>
    <row r="11979" spans="19:20" x14ac:dyDescent="0.25">
      <c r="S11979" s="78">
        <v>39366</v>
      </c>
      <c r="T11979" s="29">
        <v>5.75</v>
      </c>
    </row>
    <row r="11980" spans="19:20" x14ac:dyDescent="0.25">
      <c r="S11980" s="78">
        <v>39367</v>
      </c>
      <c r="T11980" s="29">
        <v>5.75</v>
      </c>
    </row>
    <row r="11981" spans="19:20" x14ac:dyDescent="0.25">
      <c r="S11981" s="78">
        <v>39368</v>
      </c>
      <c r="T11981" s="29">
        <v>5.75</v>
      </c>
    </row>
    <row r="11982" spans="19:20" x14ac:dyDescent="0.25">
      <c r="S11982" s="78">
        <v>39369</v>
      </c>
      <c r="T11982" s="29">
        <v>5.75</v>
      </c>
    </row>
    <row r="11983" spans="19:20" x14ac:dyDescent="0.25">
      <c r="S11983" s="78">
        <v>39370</v>
      </c>
      <c r="T11983" s="29">
        <v>5.75</v>
      </c>
    </row>
    <row r="11984" spans="19:20" x14ac:dyDescent="0.25">
      <c r="S11984" s="78">
        <v>39371</v>
      </c>
      <c r="T11984" s="29">
        <v>5.75</v>
      </c>
    </row>
    <row r="11985" spans="19:20" x14ac:dyDescent="0.25">
      <c r="S11985" s="78">
        <v>39372</v>
      </c>
      <c r="T11985" s="29">
        <v>5.75</v>
      </c>
    </row>
    <row r="11986" spans="19:20" x14ac:dyDescent="0.25">
      <c r="S11986" s="78">
        <v>39373</v>
      </c>
      <c r="T11986" s="29">
        <v>5.75</v>
      </c>
    </row>
    <row r="11987" spans="19:20" x14ac:dyDescent="0.25">
      <c r="S11987" s="78">
        <v>39374</v>
      </c>
      <c r="T11987" s="29">
        <v>5.75</v>
      </c>
    </row>
    <row r="11988" spans="19:20" x14ac:dyDescent="0.25">
      <c r="S11988" s="78">
        <v>39375</v>
      </c>
      <c r="T11988" s="29">
        <v>5.75</v>
      </c>
    </row>
    <row r="11989" spans="19:20" x14ac:dyDescent="0.25">
      <c r="S11989" s="78">
        <v>39376</v>
      </c>
      <c r="T11989" s="29">
        <v>5.75</v>
      </c>
    </row>
    <row r="11990" spans="19:20" x14ac:dyDescent="0.25">
      <c r="S11990" s="78">
        <v>39377</v>
      </c>
      <c r="T11990" s="29">
        <v>5.75</v>
      </c>
    </row>
    <row r="11991" spans="19:20" x14ac:dyDescent="0.25">
      <c r="S11991" s="78">
        <v>39378</v>
      </c>
      <c r="T11991" s="29">
        <v>5.75</v>
      </c>
    </row>
    <row r="11992" spans="19:20" x14ac:dyDescent="0.25">
      <c r="S11992" s="78">
        <v>39379</v>
      </c>
      <c r="T11992" s="29">
        <v>5.75</v>
      </c>
    </row>
    <row r="11993" spans="19:20" x14ac:dyDescent="0.25">
      <c r="S11993" s="78">
        <v>39380</v>
      </c>
      <c r="T11993" s="29">
        <v>5.75</v>
      </c>
    </row>
    <row r="11994" spans="19:20" x14ac:dyDescent="0.25">
      <c r="S11994" s="78">
        <v>39381</v>
      </c>
      <c r="T11994" s="29">
        <v>5.75</v>
      </c>
    </row>
    <row r="11995" spans="19:20" x14ac:dyDescent="0.25">
      <c r="S11995" s="78">
        <v>39382</v>
      </c>
      <c r="T11995" s="29">
        <v>5.75</v>
      </c>
    </row>
    <row r="11996" spans="19:20" x14ac:dyDescent="0.25">
      <c r="S11996" s="78">
        <v>39383</v>
      </c>
      <c r="T11996" s="29">
        <v>5.75</v>
      </c>
    </row>
    <row r="11997" spans="19:20" x14ac:dyDescent="0.25">
      <c r="S11997" s="78">
        <v>39384</v>
      </c>
      <c r="T11997" s="29">
        <v>5.75</v>
      </c>
    </row>
    <row r="11998" spans="19:20" x14ac:dyDescent="0.25">
      <c r="S11998" s="78">
        <v>39385</v>
      </c>
      <c r="T11998" s="29">
        <v>5.75</v>
      </c>
    </row>
    <row r="11999" spans="19:20" x14ac:dyDescent="0.25">
      <c r="S11999" s="78">
        <v>39386</v>
      </c>
      <c r="T11999" s="29">
        <v>5.75</v>
      </c>
    </row>
    <row r="12000" spans="19:20" x14ac:dyDescent="0.25">
      <c r="S12000" s="78">
        <v>39387</v>
      </c>
      <c r="T12000" s="29">
        <v>5.75</v>
      </c>
    </row>
    <row r="12001" spans="19:20" x14ac:dyDescent="0.25">
      <c r="S12001" s="78">
        <v>39388</v>
      </c>
      <c r="T12001" s="29">
        <v>5.75</v>
      </c>
    </row>
    <row r="12002" spans="19:20" x14ac:dyDescent="0.25">
      <c r="S12002" s="78">
        <v>39389</v>
      </c>
      <c r="T12002" s="29">
        <v>5.75</v>
      </c>
    </row>
    <row r="12003" spans="19:20" x14ac:dyDescent="0.25">
      <c r="S12003" s="78">
        <v>39390</v>
      </c>
      <c r="T12003" s="29">
        <v>5.75</v>
      </c>
    </row>
    <row r="12004" spans="19:20" x14ac:dyDescent="0.25">
      <c r="S12004" s="78">
        <v>39391</v>
      </c>
      <c r="T12004" s="29">
        <v>5.75</v>
      </c>
    </row>
    <row r="12005" spans="19:20" x14ac:dyDescent="0.25">
      <c r="S12005" s="78">
        <v>39392</v>
      </c>
      <c r="T12005" s="29">
        <v>5.75</v>
      </c>
    </row>
    <row r="12006" spans="19:20" x14ac:dyDescent="0.25">
      <c r="S12006" s="78">
        <v>39393</v>
      </c>
      <c r="T12006" s="29">
        <v>5.75</v>
      </c>
    </row>
    <row r="12007" spans="19:20" x14ac:dyDescent="0.25">
      <c r="S12007" s="78">
        <v>39394</v>
      </c>
      <c r="T12007" s="29">
        <v>5.75</v>
      </c>
    </row>
    <row r="12008" spans="19:20" x14ac:dyDescent="0.25">
      <c r="S12008" s="78">
        <v>39395</v>
      </c>
      <c r="T12008" s="29">
        <v>5.75</v>
      </c>
    </row>
    <row r="12009" spans="19:20" x14ac:dyDescent="0.25">
      <c r="S12009" s="78">
        <v>39396</v>
      </c>
      <c r="T12009" s="29">
        <v>5.75</v>
      </c>
    </row>
    <row r="12010" spans="19:20" x14ac:dyDescent="0.25">
      <c r="S12010" s="78">
        <v>39397</v>
      </c>
      <c r="T12010" s="29">
        <v>5.75</v>
      </c>
    </row>
    <row r="12011" spans="19:20" x14ac:dyDescent="0.25">
      <c r="S12011" s="78">
        <v>39398</v>
      </c>
      <c r="T12011" s="29">
        <v>5.75</v>
      </c>
    </row>
    <row r="12012" spans="19:20" x14ac:dyDescent="0.25">
      <c r="S12012" s="78">
        <v>39399</v>
      </c>
      <c r="T12012" s="29">
        <v>5.75</v>
      </c>
    </row>
    <row r="12013" spans="19:20" x14ac:dyDescent="0.25">
      <c r="S12013" s="78">
        <v>39400</v>
      </c>
      <c r="T12013" s="29">
        <v>5.75</v>
      </c>
    </row>
    <row r="12014" spans="19:20" x14ac:dyDescent="0.25">
      <c r="S12014" s="78">
        <v>39401</v>
      </c>
      <c r="T12014" s="29">
        <v>5.75</v>
      </c>
    </row>
    <row r="12015" spans="19:20" x14ac:dyDescent="0.25">
      <c r="S12015" s="78">
        <v>39402</v>
      </c>
      <c r="T12015" s="29">
        <v>5.75</v>
      </c>
    </row>
    <row r="12016" spans="19:20" x14ac:dyDescent="0.25">
      <c r="S12016" s="78">
        <v>39403</v>
      </c>
      <c r="T12016" s="29">
        <v>5.75</v>
      </c>
    </row>
    <row r="12017" spans="19:20" x14ac:dyDescent="0.25">
      <c r="S12017" s="78">
        <v>39404</v>
      </c>
      <c r="T12017" s="29">
        <v>5.75</v>
      </c>
    </row>
    <row r="12018" spans="19:20" x14ac:dyDescent="0.25">
      <c r="S12018" s="78">
        <v>39405</v>
      </c>
      <c r="T12018" s="29">
        <v>5.75</v>
      </c>
    </row>
    <row r="12019" spans="19:20" x14ac:dyDescent="0.25">
      <c r="S12019" s="78">
        <v>39406</v>
      </c>
      <c r="T12019" s="29">
        <v>5.75</v>
      </c>
    </row>
    <row r="12020" spans="19:20" x14ac:dyDescent="0.25">
      <c r="S12020" s="78">
        <v>39407</v>
      </c>
      <c r="T12020" s="29">
        <v>5.75</v>
      </c>
    </row>
    <row r="12021" spans="19:20" x14ac:dyDescent="0.25">
      <c r="S12021" s="78">
        <v>39408</v>
      </c>
      <c r="T12021" s="29">
        <v>5.75</v>
      </c>
    </row>
    <row r="12022" spans="19:20" x14ac:dyDescent="0.25">
      <c r="S12022" s="78">
        <v>39409</v>
      </c>
      <c r="T12022" s="29">
        <v>5.75</v>
      </c>
    </row>
    <row r="12023" spans="19:20" x14ac:dyDescent="0.25">
      <c r="S12023" s="78">
        <v>39410</v>
      </c>
      <c r="T12023" s="29">
        <v>5.75</v>
      </c>
    </row>
    <row r="12024" spans="19:20" x14ac:dyDescent="0.25">
      <c r="S12024" s="78">
        <v>39411</v>
      </c>
      <c r="T12024" s="29">
        <v>5.75</v>
      </c>
    </row>
    <row r="12025" spans="19:20" x14ac:dyDescent="0.25">
      <c r="S12025" s="78">
        <v>39412</v>
      </c>
      <c r="T12025" s="29">
        <v>5.75</v>
      </c>
    </row>
    <row r="12026" spans="19:20" x14ac:dyDescent="0.25">
      <c r="S12026" s="78">
        <v>39413</v>
      </c>
      <c r="T12026" s="29">
        <v>5.75</v>
      </c>
    </row>
    <row r="12027" spans="19:20" x14ac:dyDescent="0.25">
      <c r="S12027" s="78">
        <v>39414</v>
      </c>
      <c r="T12027" s="29">
        <v>5.75</v>
      </c>
    </row>
    <row r="12028" spans="19:20" x14ac:dyDescent="0.25">
      <c r="S12028" s="78">
        <v>39415</v>
      </c>
      <c r="T12028" s="29">
        <v>5.75</v>
      </c>
    </row>
    <row r="12029" spans="19:20" x14ac:dyDescent="0.25">
      <c r="S12029" s="78">
        <v>39416</v>
      </c>
      <c r="T12029" s="29">
        <v>5.75</v>
      </c>
    </row>
    <row r="12030" spans="19:20" x14ac:dyDescent="0.25">
      <c r="S12030" s="78">
        <v>39417</v>
      </c>
      <c r="T12030" s="29">
        <v>5.75</v>
      </c>
    </row>
    <row r="12031" spans="19:20" x14ac:dyDescent="0.25">
      <c r="S12031" s="78">
        <v>39418</v>
      </c>
      <c r="T12031" s="29">
        <v>5.75</v>
      </c>
    </row>
    <row r="12032" spans="19:20" x14ac:dyDescent="0.25">
      <c r="S12032" s="78">
        <v>39419</v>
      </c>
      <c r="T12032" s="29">
        <v>5.75</v>
      </c>
    </row>
    <row r="12033" spans="19:20" x14ac:dyDescent="0.25">
      <c r="S12033" s="78">
        <v>39420</v>
      </c>
      <c r="T12033" s="29">
        <v>5.75</v>
      </c>
    </row>
    <row r="12034" spans="19:20" x14ac:dyDescent="0.25">
      <c r="S12034" s="78">
        <v>39421</v>
      </c>
      <c r="T12034" s="29">
        <v>5.75</v>
      </c>
    </row>
    <row r="12035" spans="19:20" x14ac:dyDescent="0.25">
      <c r="S12035" s="78">
        <v>39422</v>
      </c>
      <c r="T12035" s="29">
        <v>5.5</v>
      </c>
    </row>
    <row r="12036" spans="19:20" x14ac:dyDescent="0.25">
      <c r="S12036" s="78">
        <v>39423</v>
      </c>
      <c r="T12036" s="29">
        <v>5.5</v>
      </c>
    </row>
    <row r="12037" spans="19:20" x14ac:dyDescent="0.25">
      <c r="S12037" s="78">
        <v>39424</v>
      </c>
      <c r="T12037" s="29">
        <v>5.5</v>
      </c>
    </row>
    <row r="12038" spans="19:20" x14ac:dyDescent="0.25">
      <c r="S12038" s="78">
        <v>39425</v>
      </c>
      <c r="T12038" s="29">
        <v>5.5</v>
      </c>
    </row>
    <row r="12039" spans="19:20" x14ac:dyDescent="0.25">
      <c r="S12039" s="78">
        <v>39426</v>
      </c>
      <c r="T12039" s="29">
        <v>5.5</v>
      </c>
    </row>
    <row r="12040" spans="19:20" x14ac:dyDescent="0.25">
      <c r="S12040" s="78">
        <v>39427</v>
      </c>
      <c r="T12040" s="29">
        <v>5.5</v>
      </c>
    </row>
    <row r="12041" spans="19:20" x14ac:dyDescent="0.25">
      <c r="S12041" s="78">
        <v>39428</v>
      </c>
      <c r="T12041" s="29">
        <v>5.5</v>
      </c>
    </row>
    <row r="12042" spans="19:20" x14ac:dyDescent="0.25">
      <c r="S12042" s="78">
        <v>39429</v>
      </c>
      <c r="T12042" s="29">
        <v>5.5</v>
      </c>
    </row>
    <row r="12043" spans="19:20" x14ac:dyDescent="0.25">
      <c r="S12043" s="78">
        <v>39430</v>
      </c>
      <c r="T12043" s="29">
        <v>5.5</v>
      </c>
    </row>
    <row r="12044" spans="19:20" x14ac:dyDescent="0.25">
      <c r="S12044" s="78">
        <v>39431</v>
      </c>
      <c r="T12044" s="29">
        <v>5.5</v>
      </c>
    </row>
    <row r="12045" spans="19:20" x14ac:dyDescent="0.25">
      <c r="S12045" s="78">
        <v>39432</v>
      </c>
      <c r="T12045" s="29">
        <v>5.5</v>
      </c>
    </row>
    <row r="12046" spans="19:20" x14ac:dyDescent="0.25">
      <c r="S12046" s="78">
        <v>39433</v>
      </c>
      <c r="T12046" s="29">
        <v>5.5</v>
      </c>
    </row>
    <row r="12047" spans="19:20" x14ac:dyDescent="0.25">
      <c r="S12047" s="78">
        <v>39434</v>
      </c>
      <c r="T12047" s="29">
        <v>5.5</v>
      </c>
    </row>
    <row r="12048" spans="19:20" x14ac:dyDescent="0.25">
      <c r="S12048" s="78">
        <v>39435</v>
      </c>
      <c r="T12048" s="29">
        <v>5.5</v>
      </c>
    </row>
    <row r="12049" spans="19:21" x14ac:dyDescent="0.25">
      <c r="S12049" s="78">
        <v>39436</v>
      </c>
      <c r="T12049" s="29">
        <v>5.5</v>
      </c>
    </row>
    <row r="12050" spans="19:21" x14ac:dyDescent="0.25">
      <c r="S12050" s="78">
        <v>39437</v>
      </c>
      <c r="T12050" s="29">
        <v>5.5</v>
      </c>
    </row>
    <row r="12051" spans="19:21" x14ac:dyDescent="0.25">
      <c r="S12051" s="78">
        <v>39438</v>
      </c>
      <c r="T12051" s="29">
        <v>5.5</v>
      </c>
    </row>
    <row r="12052" spans="19:21" x14ac:dyDescent="0.25">
      <c r="S12052" s="78">
        <v>39439</v>
      </c>
      <c r="T12052" s="29">
        <v>5.5</v>
      </c>
    </row>
    <row r="12053" spans="19:21" x14ac:dyDescent="0.25">
      <c r="S12053" s="78">
        <v>39440</v>
      </c>
      <c r="T12053" s="29">
        <v>5.5</v>
      </c>
    </row>
    <row r="12054" spans="19:21" x14ac:dyDescent="0.25">
      <c r="S12054" s="78">
        <v>39441</v>
      </c>
      <c r="T12054" s="29">
        <v>5.5</v>
      </c>
    </row>
    <row r="12055" spans="19:21" x14ac:dyDescent="0.25">
      <c r="S12055" s="78">
        <v>39442</v>
      </c>
      <c r="T12055" s="29">
        <v>5.5</v>
      </c>
    </row>
    <row r="12056" spans="19:21" x14ac:dyDescent="0.25">
      <c r="S12056" s="78">
        <v>39443</v>
      </c>
      <c r="T12056" s="29">
        <v>5.5</v>
      </c>
    </row>
    <row r="12057" spans="19:21" x14ac:dyDescent="0.25">
      <c r="S12057" s="78">
        <v>39444</v>
      </c>
      <c r="T12057" s="29">
        <v>5.5</v>
      </c>
    </row>
    <row r="12058" spans="19:21" x14ac:dyDescent="0.25">
      <c r="S12058" s="78">
        <v>39445</v>
      </c>
      <c r="T12058" s="29">
        <v>5.5</v>
      </c>
    </row>
    <row r="12059" spans="19:21" x14ac:dyDescent="0.25">
      <c r="S12059" s="78">
        <v>39446</v>
      </c>
      <c r="T12059" s="29">
        <v>5.5</v>
      </c>
    </row>
    <row r="12060" spans="19:21" x14ac:dyDescent="0.25">
      <c r="S12060" s="78">
        <v>39447</v>
      </c>
      <c r="T12060" s="29">
        <v>5.5</v>
      </c>
      <c r="U12060" s="40">
        <f>AVERAGE(T11969:T12060)</f>
        <v>5.6793478260869561</v>
      </c>
    </row>
    <row r="12061" spans="19:21" x14ac:dyDescent="0.25">
      <c r="S12061" s="78">
        <v>39448</v>
      </c>
      <c r="T12061" s="29">
        <v>5.5</v>
      </c>
    </row>
    <row r="12062" spans="19:21" x14ac:dyDescent="0.25">
      <c r="S12062" s="78">
        <v>39449</v>
      </c>
      <c r="T12062" s="29">
        <v>5.5</v>
      </c>
    </row>
    <row r="12063" spans="19:21" x14ac:dyDescent="0.25">
      <c r="S12063" s="78">
        <v>39450</v>
      </c>
      <c r="T12063" s="29">
        <v>5.5</v>
      </c>
    </row>
    <row r="12064" spans="19:21" x14ac:dyDescent="0.25">
      <c r="S12064" s="78">
        <v>39451</v>
      </c>
      <c r="T12064" s="29">
        <v>5.5</v>
      </c>
    </row>
    <row r="12065" spans="19:20" x14ac:dyDescent="0.25">
      <c r="S12065" s="78">
        <v>39452</v>
      </c>
      <c r="T12065" s="29">
        <v>5.5</v>
      </c>
    </row>
    <row r="12066" spans="19:20" x14ac:dyDescent="0.25">
      <c r="S12066" s="78">
        <v>39453</v>
      </c>
      <c r="T12066" s="29">
        <v>5.5</v>
      </c>
    </row>
    <row r="12067" spans="19:20" x14ac:dyDescent="0.25">
      <c r="S12067" s="78">
        <v>39454</v>
      </c>
      <c r="T12067" s="29">
        <v>5.5</v>
      </c>
    </row>
    <row r="12068" spans="19:20" x14ac:dyDescent="0.25">
      <c r="S12068" s="78">
        <v>39455</v>
      </c>
      <c r="T12068" s="29">
        <v>5.5</v>
      </c>
    </row>
    <row r="12069" spans="19:20" x14ac:dyDescent="0.25">
      <c r="S12069" s="78">
        <v>39456</v>
      </c>
      <c r="T12069" s="29">
        <v>5.5</v>
      </c>
    </row>
    <row r="12070" spans="19:20" x14ac:dyDescent="0.25">
      <c r="S12070" s="78">
        <v>39457</v>
      </c>
      <c r="T12070" s="29">
        <v>5.5</v>
      </c>
    </row>
    <row r="12071" spans="19:20" x14ac:dyDescent="0.25">
      <c r="S12071" s="78">
        <v>39458</v>
      </c>
      <c r="T12071" s="29">
        <v>5.5</v>
      </c>
    </row>
    <row r="12072" spans="19:20" x14ac:dyDescent="0.25">
      <c r="S12072" s="78">
        <v>39459</v>
      </c>
      <c r="T12072" s="29">
        <v>5.5</v>
      </c>
    </row>
    <row r="12073" spans="19:20" x14ac:dyDescent="0.25">
      <c r="S12073" s="78">
        <v>39460</v>
      </c>
      <c r="T12073" s="29">
        <v>5.5</v>
      </c>
    </row>
    <row r="12074" spans="19:20" x14ac:dyDescent="0.25">
      <c r="S12074" s="78">
        <v>39461</v>
      </c>
      <c r="T12074" s="29">
        <v>5.5</v>
      </c>
    </row>
    <row r="12075" spans="19:20" x14ac:dyDescent="0.25">
      <c r="S12075" s="78">
        <v>39462</v>
      </c>
      <c r="T12075" s="29">
        <v>5.5</v>
      </c>
    </row>
    <row r="12076" spans="19:20" x14ac:dyDescent="0.25">
      <c r="S12076" s="78">
        <v>39463</v>
      </c>
      <c r="T12076" s="29">
        <v>5.5</v>
      </c>
    </row>
    <row r="12077" spans="19:20" x14ac:dyDescent="0.25">
      <c r="S12077" s="78">
        <v>39464</v>
      </c>
      <c r="T12077" s="29">
        <v>5.5</v>
      </c>
    </row>
    <row r="12078" spans="19:20" x14ac:dyDescent="0.25">
      <c r="S12078" s="78">
        <v>39465</v>
      </c>
      <c r="T12078" s="29">
        <v>5.5</v>
      </c>
    </row>
    <row r="12079" spans="19:20" x14ac:dyDescent="0.25">
      <c r="S12079" s="78">
        <v>39466</v>
      </c>
      <c r="T12079" s="29">
        <v>5.5</v>
      </c>
    </row>
    <row r="12080" spans="19:20" x14ac:dyDescent="0.25">
      <c r="S12080" s="78">
        <v>39467</v>
      </c>
      <c r="T12080" s="29">
        <v>5.5</v>
      </c>
    </row>
    <row r="12081" spans="19:20" x14ac:dyDescent="0.25">
      <c r="S12081" s="78">
        <v>39468</v>
      </c>
      <c r="T12081" s="29">
        <v>5.5</v>
      </c>
    </row>
    <row r="12082" spans="19:20" x14ac:dyDescent="0.25">
      <c r="S12082" s="78">
        <v>39469</v>
      </c>
      <c r="T12082" s="29">
        <v>5.5</v>
      </c>
    </row>
    <row r="12083" spans="19:20" x14ac:dyDescent="0.25">
      <c r="S12083" s="78">
        <v>39470</v>
      </c>
      <c r="T12083" s="29">
        <v>5.5</v>
      </c>
    </row>
    <row r="12084" spans="19:20" x14ac:dyDescent="0.25">
      <c r="S12084" s="78">
        <v>39471</v>
      </c>
      <c r="T12084" s="29">
        <v>5.5</v>
      </c>
    </row>
    <row r="12085" spans="19:20" x14ac:dyDescent="0.25">
      <c r="S12085" s="78">
        <v>39472</v>
      </c>
      <c r="T12085" s="29">
        <v>5.5</v>
      </c>
    </row>
    <row r="12086" spans="19:20" x14ac:dyDescent="0.25">
      <c r="S12086" s="78">
        <v>39473</v>
      </c>
      <c r="T12086" s="29">
        <v>5.5</v>
      </c>
    </row>
    <row r="12087" spans="19:20" x14ac:dyDescent="0.25">
      <c r="S12087" s="78">
        <v>39474</v>
      </c>
      <c r="T12087" s="29">
        <v>5.5</v>
      </c>
    </row>
    <row r="12088" spans="19:20" x14ac:dyDescent="0.25">
      <c r="S12088" s="78">
        <v>39475</v>
      </c>
      <c r="T12088" s="29">
        <v>5.5</v>
      </c>
    </row>
    <row r="12089" spans="19:20" x14ac:dyDescent="0.25">
      <c r="S12089" s="78">
        <v>39476</v>
      </c>
      <c r="T12089" s="29">
        <v>5.5</v>
      </c>
    </row>
    <row r="12090" spans="19:20" x14ac:dyDescent="0.25">
      <c r="S12090" s="78">
        <v>39477</v>
      </c>
      <c r="T12090" s="29">
        <v>5.5</v>
      </c>
    </row>
    <row r="12091" spans="19:20" x14ac:dyDescent="0.25">
      <c r="S12091" s="78">
        <v>39478</v>
      </c>
      <c r="T12091" s="29">
        <v>5.5</v>
      </c>
    </row>
    <row r="12092" spans="19:20" x14ac:dyDescent="0.25">
      <c r="S12092" s="78">
        <v>39479</v>
      </c>
      <c r="T12092" s="29">
        <v>5.5</v>
      </c>
    </row>
    <row r="12093" spans="19:20" x14ac:dyDescent="0.25">
      <c r="S12093" s="78">
        <v>39480</v>
      </c>
      <c r="T12093" s="29">
        <v>5.5</v>
      </c>
    </row>
    <row r="12094" spans="19:20" x14ac:dyDescent="0.25">
      <c r="S12094" s="78">
        <v>39481</v>
      </c>
      <c r="T12094" s="29">
        <v>5.5</v>
      </c>
    </row>
    <row r="12095" spans="19:20" x14ac:dyDescent="0.25">
      <c r="S12095" s="78">
        <v>39482</v>
      </c>
      <c r="T12095" s="29">
        <v>5.5</v>
      </c>
    </row>
    <row r="12096" spans="19:20" x14ac:dyDescent="0.25">
      <c r="S12096" s="78">
        <v>39483</v>
      </c>
      <c r="T12096" s="29">
        <v>5.5</v>
      </c>
    </row>
    <row r="12097" spans="19:20" x14ac:dyDescent="0.25">
      <c r="S12097" s="78">
        <v>39484</v>
      </c>
      <c r="T12097" s="29">
        <v>5.5</v>
      </c>
    </row>
    <row r="12098" spans="19:20" x14ac:dyDescent="0.25">
      <c r="S12098" s="78">
        <v>39485</v>
      </c>
      <c r="T12098" s="29">
        <v>5.25</v>
      </c>
    </row>
    <row r="12099" spans="19:20" x14ac:dyDescent="0.25">
      <c r="S12099" s="78">
        <v>39486</v>
      </c>
      <c r="T12099" s="29">
        <v>5.25</v>
      </c>
    </row>
    <row r="12100" spans="19:20" x14ac:dyDescent="0.25">
      <c r="S12100" s="78">
        <v>39487</v>
      </c>
      <c r="T12100" s="29">
        <v>5.25</v>
      </c>
    </row>
    <row r="12101" spans="19:20" x14ac:dyDescent="0.25">
      <c r="S12101" s="78">
        <v>39488</v>
      </c>
      <c r="T12101" s="29">
        <v>5.25</v>
      </c>
    </row>
    <row r="12102" spans="19:20" x14ac:dyDescent="0.25">
      <c r="S12102" s="78">
        <v>39489</v>
      </c>
      <c r="T12102" s="29">
        <v>5.25</v>
      </c>
    </row>
    <row r="12103" spans="19:20" x14ac:dyDescent="0.25">
      <c r="S12103" s="78">
        <v>39490</v>
      </c>
      <c r="T12103" s="29">
        <v>5.25</v>
      </c>
    </row>
    <row r="12104" spans="19:20" x14ac:dyDescent="0.25">
      <c r="S12104" s="78">
        <v>39491</v>
      </c>
      <c r="T12104" s="29">
        <v>5.25</v>
      </c>
    </row>
    <row r="12105" spans="19:20" x14ac:dyDescent="0.25">
      <c r="S12105" s="78">
        <v>39492</v>
      </c>
      <c r="T12105" s="29">
        <v>5.25</v>
      </c>
    </row>
    <row r="12106" spans="19:20" x14ac:dyDescent="0.25">
      <c r="S12106" s="78">
        <v>39493</v>
      </c>
      <c r="T12106" s="29">
        <v>5.25</v>
      </c>
    </row>
    <row r="12107" spans="19:20" x14ac:dyDescent="0.25">
      <c r="S12107" s="78">
        <v>39494</v>
      </c>
      <c r="T12107" s="29">
        <v>5.25</v>
      </c>
    </row>
    <row r="12108" spans="19:20" x14ac:dyDescent="0.25">
      <c r="S12108" s="78">
        <v>39495</v>
      </c>
      <c r="T12108" s="29">
        <v>5.25</v>
      </c>
    </row>
    <row r="12109" spans="19:20" x14ac:dyDescent="0.25">
      <c r="S12109" s="78">
        <v>39496</v>
      </c>
      <c r="T12109" s="29">
        <v>5.25</v>
      </c>
    </row>
    <row r="12110" spans="19:20" x14ac:dyDescent="0.25">
      <c r="S12110" s="78">
        <v>39497</v>
      </c>
      <c r="T12110" s="29">
        <v>5.25</v>
      </c>
    </row>
    <row r="12111" spans="19:20" x14ac:dyDescent="0.25">
      <c r="S12111" s="78">
        <v>39498</v>
      </c>
      <c r="T12111" s="29">
        <v>5.25</v>
      </c>
    </row>
    <row r="12112" spans="19:20" x14ac:dyDescent="0.25">
      <c r="S12112" s="78">
        <v>39499</v>
      </c>
      <c r="T12112" s="29">
        <v>5.25</v>
      </c>
    </row>
    <row r="12113" spans="19:20" x14ac:dyDescent="0.25">
      <c r="S12113" s="78">
        <v>39500</v>
      </c>
      <c r="T12113" s="29">
        <v>5.25</v>
      </c>
    </row>
    <row r="12114" spans="19:20" x14ac:dyDescent="0.25">
      <c r="S12114" s="78">
        <v>39501</v>
      </c>
      <c r="T12114" s="29">
        <v>5.25</v>
      </c>
    </row>
    <row r="12115" spans="19:20" x14ac:dyDescent="0.25">
      <c r="S12115" s="78">
        <v>39502</v>
      </c>
      <c r="T12115" s="29">
        <v>5.25</v>
      </c>
    </row>
    <row r="12116" spans="19:20" x14ac:dyDescent="0.25">
      <c r="S12116" s="78">
        <v>39503</v>
      </c>
      <c r="T12116" s="29">
        <v>5.25</v>
      </c>
    </row>
    <row r="12117" spans="19:20" x14ac:dyDescent="0.25">
      <c r="S12117" s="78">
        <v>39504</v>
      </c>
      <c r="T12117" s="29">
        <v>5.25</v>
      </c>
    </row>
    <row r="12118" spans="19:20" x14ac:dyDescent="0.25">
      <c r="S12118" s="78">
        <v>39505</v>
      </c>
      <c r="T12118" s="29">
        <v>5.25</v>
      </c>
    </row>
    <row r="12119" spans="19:20" x14ac:dyDescent="0.25">
      <c r="S12119" s="78">
        <v>39506</v>
      </c>
      <c r="T12119" s="29">
        <v>5.25</v>
      </c>
    </row>
    <row r="12120" spans="19:20" x14ac:dyDescent="0.25">
      <c r="S12120" s="78">
        <v>39507</v>
      </c>
      <c r="T12120" s="29">
        <v>5.25</v>
      </c>
    </row>
    <row r="12121" spans="19:20" x14ac:dyDescent="0.25">
      <c r="S12121" s="78">
        <v>39508</v>
      </c>
      <c r="T12121" s="29">
        <v>5.25</v>
      </c>
    </row>
    <row r="12122" spans="19:20" x14ac:dyDescent="0.25">
      <c r="S12122" s="78">
        <v>39509</v>
      </c>
      <c r="T12122" s="29">
        <v>5.25</v>
      </c>
    </row>
    <row r="12123" spans="19:20" x14ac:dyDescent="0.25">
      <c r="S12123" s="78">
        <v>39510</v>
      </c>
      <c r="T12123" s="29">
        <v>5.25</v>
      </c>
    </row>
    <row r="12124" spans="19:20" x14ac:dyDescent="0.25">
      <c r="S12124" s="78">
        <v>39511</v>
      </c>
      <c r="T12124" s="29">
        <v>5.25</v>
      </c>
    </row>
    <row r="12125" spans="19:20" x14ac:dyDescent="0.25">
      <c r="S12125" s="78">
        <v>39512</v>
      </c>
      <c r="T12125" s="29">
        <v>5.25</v>
      </c>
    </row>
    <row r="12126" spans="19:20" x14ac:dyDescent="0.25">
      <c r="S12126" s="78">
        <v>39513</v>
      </c>
      <c r="T12126" s="29">
        <v>5.25</v>
      </c>
    </row>
    <row r="12127" spans="19:20" x14ac:dyDescent="0.25">
      <c r="S12127" s="78">
        <v>39514</v>
      </c>
      <c r="T12127" s="29">
        <v>5.25</v>
      </c>
    </row>
    <row r="12128" spans="19:20" x14ac:dyDescent="0.25">
      <c r="S12128" s="78">
        <v>39515</v>
      </c>
      <c r="T12128" s="29">
        <v>5.25</v>
      </c>
    </row>
    <row r="12129" spans="19:20" x14ac:dyDescent="0.25">
      <c r="S12129" s="78">
        <v>39516</v>
      </c>
      <c r="T12129" s="29">
        <v>5.25</v>
      </c>
    </row>
    <row r="12130" spans="19:20" x14ac:dyDescent="0.25">
      <c r="S12130" s="78">
        <v>39517</v>
      </c>
      <c r="T12130" s="29">
        <v>5.25</v>
      </c>
    </row>
    <row r="12131" spans="19:20" x14ac:dyDescent="0.25">
      <c r="S12131" s="78">
        <v>39518</v>
      </c>
      <c r="T12131" s="29">
        <v>5.25</v>
      </c>
    </row>
    <row r="12132" spans="19:20" x14ac:dyDescent="0.25">
      <c r="S12132" s="78">
        <v>39519</v>
      </c>
      <c r="T12132" s="29">
        <v>5.25</v>
      </c>
    </row>
    <row r="12133" spans="19:20" x14ac:dyDescent="0.25">
      <c r="S12133" s="78">
        <v>39520</v>
      </c>
      <c r="T12133" s="29">
        <v>5.25</v>
      </c>
    </row>
    <row r="12134" spans="19:20" x14ac:dyDescent="0.25">
      <c r="S12134" s="78">
        <v>39521</v>
      </c>
      <c r="T12134" s="29">
        <v>5.25</v>
      </c>
    </row>
    <row r="12135" spans="19:20" x14ac:dyDescent="0.25">
      <c r="S12135" s="78">
        <v>39522</v>
      </c>
      <c r="T12135" s="29">
        <v>5.25</v>
      </c>
    </row>
    <row r="12136" spans="19:20" x14ac:dyDescent="0.25">
      <c r="S12136" s="78">
        <v>39523</v>
      </c>
      <c r="T12136" s="29">
        <v>5.25</v>
      </c>
    </row>
    <row r="12137" spans="19:20" x14ac:dyDescent="0.25">
      <c r="S12137" s="78">
        <v>39524</v>
      </c>
      <c r="T12137" s="29">
        <v>5.25</v>
      </c>
    </row>
    <row r="12138" spans="19:20" x14ac:dyDescent="0.25">
      <c r="S12138" s="78">
        <v>39525</v>
      </c>
      <c r="T12138" s="29">
        <v>5.25</v>
      </c>
    </row>
    <row r="12139" spans="19:20" x14ac:dyDescent="0.25">
      <c r="S12139" s="78">
        <v>39526</v>
      </c>
      <c r="T12139" s="29">
        <v>5.25</v>
      </c>
    </row>
    <row r="12140" spans="19:20" x14ac:dyDescent="0.25">
      <c r="S12140" s="78">
        <v>39527</v>
      </c>
      <c r="T12140" s="29">
        <v>5.25</v>
      </c>
    </row>
    <row r="12141" spans="19:20" x14ac:dyDescent="0.25">
      <c r="S12141" s="78">
        <v>39528</v>
      </c>
      <c r="T12141" s="29">
        <v>5.25</v>
      </c>
    </row>
    <row r="12142" spans="19:20" x14ac:dyDescent="0.25">
      <c r="S12142" s="78">
        <v>39529</v>
      </c>
      <c r="T12142" s="29">
        <v>5.25</v>
      </c>
    </row>
    <row r="12143" spans="19:20" x14ac:dyDescent="0.25">
      <c r="S12143" s="78">
        <v>39530</v>
      </c>
      <c r="T12143" s="29">
        <v>5.25</v>
      </c>
    </row>
    <row r="12144" spans="19:20" x14ac:dyDescent="0.25">
      <c r="S12144" s="78">
        <v>39531</v>
      </c>
      <c r="T12144" s="29">
        <v>5.25</v>
      </c>
    </row>
    <row r="12145" spans="19:21" x14ac:dyDescent="0.25">
      <c r="S12145" s="78">
        <v>39532</v>
      </c>
      <c r="T12145" s="29">
        <v>5.25</v>
      </c>
    </row>
    <row r="12146" spans="19:21" x14ac:dyDescent="0.25">
      <c r="S12146" s="78">
        <v>39533</v>
      </c>
      <c r="T12146" s="29">
        <v>5.25</v>
      </c>
    </row>
    <row r="12147" spans="19:21" x14ac:dyDescent="0.25">
      <c r="S12147" s="78">
        <v>39534</v>
      </c>
      <c r="T12147" s="29">
        <v>5.25</v>
      </c>
    </row>
    <row r="12148" spans="19:21" x14ac:dyDescent="0.25">
      <c r="S12148" s="78">
        <v>39535</v>
      </c>
      <c r="T12148" s="29">
        <v>5.25</v>
      </c>
    </row>
    <row r="12149" spans="19:21" x14ac:dyDescent="0.25">
      <c r="S12149" s="78">
        <v>39536</v>
      </c>
      <c r="T12149" s="29">
        <v>5.25</v>
      </c>
    </row>
    <row r="12150" spans="19:21" x14ac:dyDescent="0.25">
      <c r="S12150" s="78">
        <v>39537</v>
      </c>
      <c r="T12150" s="29">
        <v>5.25</v>
      </c>
    </row>
    <row r="12151" spans="19:21" x14ac:dyDescent="0.25">
      <c r="S12151" s="78">
        <v>39538</v>
      </c>
      <c r="T12151" s="29">
        <v>5.25</v>
      </c>
      <c r="U12151" s="39">
        <f>AVERAGE(T12061:T12151)</f>
        <v>5.3516483516483513</v>
      </c>
    </row>
    <row r="12152" spans="19:21" x14ac:dyDescent="0.25">
      <c r="S12152" s="78">
        <v>39539</v>
      </c>
      <c r="T12152" s="29">
        <v>5.25</v>
      </c>
    </row>
    <row r="12153" spans="19:21" x14ac:dyDescent="0.25">
      <c r="S12153" s="78">
        <v>39540</v>
      </c>
      <c r="T12153" s="29">
        <v>5.25</v>
      </c>
    </row>
    <row r="12154" spans="19:21" x14ac:dyDescent="0.25">
      <c r="S12154" s="78">
        <v>39541</v>
      </c>
      <c r="T12154" s="29">
        <v>5.25</v>
      </c>
    </row>
    <row r="12155" spans="19:21" x14ac:dyDescent="0.25">
      <c r="S12155" s="78">
        <v>39542</v>
      </c>
      <c r="T12155" s="29">
        <v>5.25</v>
      </c>
    </row>
    <row r="12156" spans="19:21" x14ac:dyDescent="0.25">
      <c r="S12156" s="78">
        <v>39543</v>
      </c>
      <c r="T12156" s="29">
        <v>5.25</v>
      </c>
    </row>
    <row r="12157" spans="19:21" x14ac:dyDescent="0.25">
      <c r="S12157" s="78">
        <v>39544</v>
      </c>
      <c r="T12157" s="29">
        <v>5.25</v>
      </c>
    </row>
    <row r="12158" spans="19:21" x14ac:dyDescent="0.25">
      <c r="S12158" s="78">
        <v>39545</v>
      </c>
      <c r="T12158" s="29">
        <v>5.25</v>
      </c>
    </row>
    <row r="12159" spans="19:21" x14ac:dyDescent="0.25">
      <c r="S12159" s="78">
        <v>39546</v>
      </c>
      <c r="T12159" s="29">
        <v>5.25</v>
      </c>
    </row>
    <row r="12160" spans="19:21" x14ac:dyDescent="0.25">
      <c r="S12160" s="78">
        <v>39547</v>
      </c>
      <c r="T12160" s="29">
        <v>5.25</v>
      </c>
    </row>
    <row r="12161" spans="19:20" x14ac:dyDescent="0.25">
      <c r="S12161" s="78">
        <v>39548</v>
      </c>
      <c r="T12161" s="29">
        <v>5</v>
      </c>
    </row>
    <row r="12162" spans="19:20" x14ac:dyDescent="0.25">
      <c r="S12162" s="78">
        <v>39549</v>
      </c>
      <c r="T12162" s="29">
        <v>5</v>
      </c>
    </row>
    <row r="12163" spans="19:20" x14ac:dyDescent="0.25">
      <c r="S12163" s="78">
        <v>39550</v>
      </c>
      <c r="T12163" s="29">
        <v>5</v>
      </c>
    </row>
    <row r="12164" spans="19:20" x14ac:dyDescent="0.25">
      <c r="S12164" s="78">
        <v>39551</v>
      </c>
      <c r="T12164" s="29">
        <v>5</v>
      </c>
    </row>
    <row r="12165" spans="19:20" x14ac:dyDescent="0.25">
      <c r="S12165" s="78">
        <v>39552</v>
      </c>
      <c r="T12165" s="29">
        <v>5</v>
      </c>
    </row>
    <row r="12166" spans="19:20" x14ac:dyDescent="0.25">
      <c r="S12166" s="78">
        <v>39553</v>
      </c>
      <c r="T12166" s="29">
        <v>5</v>
      </c>
    </row>
    <row r="12167" spans="19:20" x14ac:dyDescent="0.25">
      <c r="S12167" s="78">
        <v>39554</v>
      </c>
      <c r="T12167" s="29">
        <v>5</v>
      </c>
    </row>
    <row r="12168" spans="19:20" x14ac:dyDescent="0.25">
      <c r="S12168" s="78">
        <v>39555</v>
      </c>
      <c r="T12168" s="29">
        <v>5</v>
      </c>
    </row>
    <row r="12169" spans="19:20" x14ac:dyDescent="0.25">
      <c r="S12169" s="78">
        <v>39556</v>
      </c>
      <c r="T12169" s="29">
        <v>5</v>
      </c>
    </row>
    <row r="12170" spans="19:20" x14ac:dyDescent="0.25">
      <c r="S12170" s="78">
        <v>39557</v>
      </c>
      <c r="T12170" s="29">
        <v>5</v>
      </c>
    </row>
    <row r="12171" spans="19:20" x14ac:dyDescent="0.25">
      <c r="S12171" s="78">
        <v>39558</v>
      </c>
      <c r="T12171" s="29">
        <v>5</v>
      </c>
    </row>
    <row r="12172" spans="19:20" x14ac:dyDescent="0.25">
      <c r="S12172" s="78">
        <v>39559</v>
      </c>
      <c r="T12172" s="29">
        <v>5</v>
      </c>
    </row>
    <row r="12173" spans="19:20" x14ac:dyDescent="0.25">
      <c r="S12173" s="78">
        <v>39560</v>
      </c>
      <c r="T12173" s="29">
        <v>5</v>
      </c>
    </row>
    <row r="12174" spans="19:20" x14ac:dyDescent="0.25">
      <c r="S12174" s="78">
        <v>39561</v>
      </c>
      <c r="T12174" s="29">
        <v>5</v>
      </c>
    </row>
    <row r="12175" spans="19:20" x14ac:dyDescent="0.25">
      <c r="S12175" s="78">
        <v>39562</v>
      </c>
      <c r="T12175" s="29">
        <v>5</v>
      </c>
    </row>
    <row r="12176" spans="19:20" x14ac:dyDescent="0.25">
      <c r="S12176" s="78">
        <v>39563</v>
      </c>
      <c r="T12176" s="29">
        <v>5</v>
      </c>
    </row>
    <row r="12177" spans="19:20" x14ac:dyDescent="0.25">
      <c r="S12177" s="78">
        <v>39564</v>
      </c>
      <c r="T12177" s="29">
        <v>5</v>
      </c>
    </row>
    <row r="12178" spans="19:20" x14ac:dyDescent="0.25">
      <c r="S12178" s="78">
        <v>39565</v>
      </c>
      <c r="T12178" s="29">
        <v>5</v>
      </c>
    </row>
    <row r="12179" spans="19:20" x14ac:dyDescent="0.25">
      <c r="S12179" s="78">
        <v>39566</v>
      </c>
      <c r="T12179" s="29">
        <v>5</v>
      </c>
    </row>
    <row r="12180" spans="19:20" x14ac:dyDescent="0.25">
      <c r="S12180" s="78">
        <v>39567</v>
      </c>
      <c r="T12180" s="29">
        <v>5</v>
      </c>
    </row>
    <row r="12181" spans="19:20" x14ac:dyDescent="0.25">
      <c r="S12181" s="78">
        <v>39568</v>
      </c>
      <c r="T12181" s="29">
        <v>5</v>
      </c>
    </row>
    <row r="12182" spans="19:20" x14ac:dyDescent="0.25">
      <c r="S12182" s="78">
        <v>39569</v>
      </c>
      <c r="T12182" s="29">
        <v>5</v>
      </c>
    </row>
    <row r="12183" spans="19:20" x14ac:dyDescent="0.25">
      <c r="S12183" s="78">
        <v>39570</v>
      </c>
      <c r="T12183" s="29">
        <v>5</v>
      </c>
    </row>
    <row r="12184" spans="19:20" x14ac:dyDescent="0.25">
      <c r="S12184" s="78">
        <v>39571</v>
      </c>
      <c r="T12184" s="29">
        <v>5</v>
      </c>
    </row>
    <row r="12185" spans="19:20" x14ac:dyDescent="0.25">
      <c r="S12185" s="78">
        <v>39572</v>
      </c>
      <c r="T12185" s="29">
        <v>5</v>
      </c>
    </row>
    <row r="12186" spans="19:20" x14ac:dyDescent="0.25">
      <c r="S12186" s="78">
        <v>39573</v>
      </c>
      <c r="T12186" s="29">
        <v>5</v>
      </c>
    </row>
    <row r="12187" spans="19:20" x14ac:dyDescent="0.25">
      <c r="S12187" s="78">
        <v>39574</v>
      </c>
      <c r="T12187" s="29">
        <v>5</v>
      </c>
    </row>
    <row r="12188" spans="19:20" x14ac:dyDescent="0.25">
      <c r="S12188" s="78">
        <v>39575</v>
      </c>
      <c r="T12188" s="29">
        <v>5</v>
      </c>
    </row>
    <row r="12189" spans="19:20" x14ac:dyDescent="0.25">
      <c r="S12189" s="78">
        <v>39576</v>
      </c>
      <c r="T12189" s="29">
        <v>5</v>
      </c>
    </row>
    <row r="12190" spans="19:20" x14ac:dyDescent="0.25">
      <c r="S12190" s="78">
        <v>39577</v>
      </c>
      <c r="T12190" s="29">
        <v>5</v>
      </c>
    </row>
    <row r="12191" spans="19:20" x14ac:dyDescent="0.25">
      <c r="S12191" s="78">
        <v>39578</v>
      </c>
      <c r="T12191" s="29">
        <v>5</v>
      </c>
    </row>
    <row r="12192" spans="19:20" x14ac:dyDescent="0.25">
      <c r="S12192" s="78">
        <v>39579</v>
      </c>
      <c r="T12192" s="29">
        <v>5</v>
      </c>
    </row>
    <row r="12193" spans="19:20" x14ac:dyDescent="0.25">
      <c r="S12193" s="78">
        <v>39580</v>
      </c>
      <c r="T12193" s="29">
        <v>5</v>
      </c>
    </row>
    <row r="12194" spans="19:20" x14ac:dyDescent="0.25">
      <c r="S12194" s="78">
        <v>39581</v>
      </c>
      <c r="T12194" s="29">
        <v>5</v>
      </c>
    </row>
    <row r="12195" spans="19:20" x14ac:dyDescent="0.25">
      <c r="S12195" s="78">
        <v>39582</v>
      </c>
      <c r="T12195" s="29">
        <v>5</v>
      </c>
    </row>
    <row r="12196" spans="19:20" x14ac:dyDescent="0.25">
      <c r="S12196" s="78">
        <v>39583</v>
      </c>
      <c r="T12196" s="29">
        <v>5</v>
      </c>
    </row>
    <row r="12197" spans="19:20" x14ac:dyDescent="0.25">
      <c r="S12197" s="78">
        <v>39584</v>
      </c>
      <c r="T12197" s="29">
        <v>5</v>
      </c>
    </row>
    <row r="12198" spans="19:20" x14ac:dyDescent="0.25">
      <c r="S12198" s="78">
        <v>39585</v>
      </c>
      <c r="T12198" s="29">
        <v>5</v>
      </c>
    </row>
    <row r="12199" spans="19:20" x14ac:dyDescent="0.25">
      <c r="S12199" s="78">
        <v>39586</v>
      </c>
      <c r="T12199" s="29">
        <v>5</v>
      </c>
    </row>
    <row r="12200" spans="19:20" x14ac:dyDescent="0.25">
      <c r="S12200" s="78">
        <v>39587</v>
      </c>
      <c r="T12200" s="29">
        <v>5</v>
      </c>
    </row>
    <row r="12201" spans="19:20" x14ac:dyDescent="0.25">
      <c r="S12201" s="78">
        <v>39588</v>
      </c>
      <c r="T12201" s="29">
        <v>5</v>
      </c>
    </row>
    <row r="12202" spans="19:20" x14ac:dyDescent="0.25">
      <c r="S12202" s="78">
        <v>39589</v>
      </c>
      <c r="T12202" s="29">
        <v>5</v>
      </c>
    </row>
    <row r="12203" spans="19:20" x14ac:dyDescent="0.25">
      <c r="S12203" s="78">
        <v>39590</v>
      </c>
      <c r="T12203" s="29">
        <v>5</v>
      </c>
    </row>
    <row r="12204" spans="19:20" x14ac:dyDescent="0.25">
      <c r="S12204" s="78">
        <v>39591</v>
      </c>
      <c r="T12204" s="29">
        <v>5</v>
      </c>
    </row>
    <row r="12205" spans="19:20" x14ac:dyDescent="0.25">
      <c r="S12205" s="78">
        <v>39592</v>
      </c>
      <c r="T12205" s="29">
        <v>5</v>
      </c>
    </row>
    <row r="12206" spans="19:20" x14ac:dyDescent="0.25">
      <c r="S12206" s="78">
        <v>39593</v>
      </c>
      <c r="T12206" s="29">
        <v>5</v>
      </c>
    </row>
    <row r="12207" spans="19:20" x14ac:dyDescent="0.25">
      <c r="S12207" s="78">
        <v>39594</v>
      </c>
      <c r="T12207" s="29">
        <v>5</v>
      </c>
    </row>
    <row r="12208" spans="19:20" x14ac:dyDescent="0.25">
      <c r="S12208" s="78">
        <v>39595</v>
      </c>
      <c r="T12208" s="29">
        <v>5</v>
      </c>
    </row>
    <row r="12209" spans="19:20" x14ac:dyDescent="0.25">
      <c r="S12209" s="78">
        <v>39596</v>
      </c>
      <c r="T12209" s="29">
        <v>5</v>
      </c>
    </row>
    <row r="12210" spans="19:20" x14ac:dyDescent="0.25">
      <c r="S12210" s="78">
        <v>39597</v>
      </c>
      <c r="T12210" s="29">
        <v>5</v>
      </c>
    </row>
    <row r="12211" spans="19:20" x14ac:dyDescent="0.25">
      <c r="S12211" s="78">
        <v>39598</v>
      </c>
      <c r="T12211" s="29">
        <v>5</v>
      </c>
    </row>
    <row r="12212" spans="19:20" x14ac:dyDescent="0.25">
      <c r="S12212" s="78">
        <v>39599</v>
      </c>
      <c r="T12212" s="29">
        <v>5</v>
      </c>
    </row>
    <row r="12213" spans="19:20" x14ac:dyDescent="0.25">
      <c r="S12213" s="78">
        <v>39600</v>
      </c>
      <c r="T12213" s="29">
        <v>5</v>
      </c>
    </row>
    <row r="12214" spans="19:20" x14ac:dyDescent="0.25">
      <c r="S12214" s="78">
        <v>39601</v>
      </c>
      <c r="T12214" s="29">
        <v>5</v>
      </c>
    </row>
    <row r="12215" spans="19:20" x14ac:dyDescent="0.25">
      <c r="S12215" s="78">
        <v>39602</v>
      </c>
      <c r="T12215" s="29">
        <v>5</v>
      </c>
    </row>
    <row r="12216" spans="19:20" x14ac:dyDescent="0.25">
      <c r="S12216" s="78">
        <v>39603</v>
      </c>
      <c r="T12216" s="29">
        <v>5</v>
      </c>
    </row>
    <row r="12217" spans="19:20" x14ac:dyDescent="0.25">
      <c r="S12217" s="78">
        <v>39604</v>
      </c>
      <c r="T12217" s="29">
        <v>5</v>
      </c>
    </row>
    <row r="12218" spans="19:20" x14ac:dyDescent="0.25">
      <c r="S12218" s="78">
        <v>39605</v>
      </c>
      <c r="T12218" s="29">
        <v>5</v>
      </c>
    </row>
    <row r="12219" spans="19:20" x14ac:dyDescent="0.25">
      <c r="S12219" s="78">
        <v>39606</v>
      </c>
      <c r="T12219" s="29">
        <v>5</v>
      </c>
    </row>
    <row r="12220" spans="19:20" x14ac:dyDescent="0.25">
      <c r="S12220" s="78">
        <v>39607</v>
      </c>
      <c r="T12220" s="29">
        <v>5</v>
      </c>
    </row>
    <row r="12221" spans="19:20" x14ac:dyDescent="0.25">
      <c r="S12221" s="78">
        <v>39608</v>
      </c>
      <c r="T12221" s="29">
        <v>5</v>
      </c>
    </row>
    <row r="12222" spans="19:20" x14ac:dyDescent="0.25">
      <c r="S12222" s="78">
        <v>39609</v>
      </c>
      <c r="T12222" s="29">
        <v>5</v>
      </c>
    </row>
    <row r="12223" spans="19:20" x14ac:dyDescent="0.25">
      <c r="S12223" s="78">
        <v>39610</v>
      </c>
      <c r="T12223" s="29">
        <v>5</v>
      </c>
    </row>
    <row r="12224" spans="19:20" x14ac:dyDescent="0.25">
      <c r="S12224" s="78">
        <v>39611</v>
      </c>
      <c r="T12224" s="29">
        <v>5</v>
      </c>
    </row>
    <row r="12225" spans="19:20" x14ac:dyDescent="0.25">
      <c r="S12225" s="78">
        <v>39612</v>
      </c>
      <c r="T12225" s="29">
        <v>5</v>
      </c>
    </row>
    <row r="12226" spans="19:20" x14ac:dyDescent="0.25">
      <c r="S12226" s="78">
        <v>39613</v>
      </c>
      <c r="T12226" s="29">
        <v>5</v>
      </c>
    </row>
    <row r="12227" spans="19:20" x14ac:dyDescent="0.25">
      <c r="S12227" s="78">
        <v>39614</v>
      </c>
      <c r="T12227" s="29">
        <v>5</v>
      </c>
    </row>
    <row r="12228" spans="19:20" x14ac:dyDescent="0.25">
      <c r="S12228" s="78">
        <v>39615</v>
      </c>
      <c r="T12228" s="29">
        <v>5</v>
      </c>
    </row>
    <row r="12229" spans="19:20" x14ac:dyDescent="0.25">
      <c r="S12229" s="78">
        <v>39616</v>
      </c>
      <c r="T12229" s="29">
        <v>5</v>
      </c>
    </row>
    <row r="12230" spans="19:20" x14ac:dyDescent="0.25">
      <c r="S12230" s="78">
        <v>39617</v>
      </c>
      <c r="T12230" s="29">
        <v>5</v>
      </c>
    </row>
    <row r="12231" spans="19:20" x14ac:dyDescent="0.25">
      <c r="S12231" s="78">
        <v>39618</v>
      </c>
      <c r="T12231" s="29">
        <v>5</v>
      </c>
    </row>
    <row r="12232" spans="19:20" x14ac:dyDescent="0.25">
      <c r="S12232" s="78">
        <v>39619</v>
      </c>
      <c r="T12232" s="29">
        <v>5</v>
      </c>
    </row>
    <row r="12233" spans="19:20" x14ac:dyDescent="0.25">
      <c r="S12233" s="78">
        <v>39620</v>
      </c>
      <c r="T12233" s="29">
        <v>5</v>
      </c>
    </row>
    <row r="12234" spans="19:20" x14ac:dyDescent="0.25">
      <c r="S12234" s="78">
        <v>39621</v>
      </c>
      <c r="T12234" s="29">
        <v>5</v>
      </c>
    </row>
    <row r="12235" spans="19:20" x14ac:dyDescent="0.25">
      <c r="S12235" s="78">
        <v>39622</v>
      </c>
      <c r="T12235" s="29">
        <v>5</v>
      </c>
    </row>
    <row r="12236" spans="19:20" x14ac:dyDescent="0.25">
      <c r="S12236" s="78">
        <v>39623</v>
      </c>
      <c r="T12236" s="29">
        <v>5</v>
      </c>
    </row>
    <row r="12237" spans="19:20" x14ac:dyDescent="0.25">
      <c r="S12237" s="78">
        <v>39624</v>
      </c>
      <c r="T12237" s="29">
        <v>5</v>
      </c>
    </row>
    <row r="12238" spans="19:20" x14ac:dyDescent="0.25">
      <c r="S12238" s="78">
        <v>39625</v>
      </c>
      <c r="T12238" s="29">
        <v>5</v>
      </c>
    </row>
    <row r="12239" spans="19:20" x14ac:dyDescent="0.25">
      <c r="S12239" s="78">
        <v>39626</v>
      </c>
      <c r="T12239" s="29">
        <v>5</v>
      </c>
    </row>
    <row r="12240" spans="19:20" x14ac:dyDescent="0.25">
      <c r="S12240" s="78">
        <v>39627</v>
      </c>
      <c r="T12240" s="29">
        <v>5</v>
      </c>
    </row>
    <row r="12241" spans="19:21" x14ac:dyDescent="0.25">
      <c r="S12241" s="78">
        <v>39628</v>
      </c>
      <c r="T12241" s="29">
        <v>5</v>
      </c>
      <c r="U12241" s="40"/>
    </row>
    <row r="12242" spans="19:21" x14ac:dyDescent="0.25">
      <c r="S12242" s="78">
        <v>39629</v>
      </c>
      <c r="T12242" s="29">
        <v>5</v>
      </c>
      <c r="U12242" s="40">
        <f>AVERAGE(T12152:T12242)</f>
        <v>5.0247252747252746</v>
      </c>
    </row>
    <row r="12243" spans="19:21" x14ac:dyDescent="0.25">
      <c r="S12243" s="78">
        <v>39630</v>
      </c>
      <c r="T12243" s="29">
        <v>5</v>
      </c>
    </row>
    <row r="12244" spans="19:21" x14ac:dyDescent="0.25">
      <c r="S12244" s="78">
        <v>39631</v>
      </c>
      <c r="T12244" s="29">
        <v>5</v>
      </c>
    </row>
    <row r="12245" spans="19:21" x14ac:dyDescent="0.25">
      <c r="S12245" s="78">
        <v>39632</v>
      </c>
      <c r="T12245" s="29">
        <v>5</v>
      </c>
    </row>
    <row r="12246" spans="19:21" x14ac:dyDescent="0.25">
      <c r="S12246" s="78">
        <v>39633</v>
      </c>
      <c r="T12246" s="29">
        <v>5</v>
      </c>
    </row>
    <row r="12247" spans="19:21" x14ac:dyDescent="0.25">
      <c r="S12247" s="78">
        <v>39634</v>
      </c>
      <c r="T12247" s="29">
        <v>5</v>
      </c>
    </row>
    <row r="12248" spans="19:21" x14ac:dyDescent="0.25">
      <c r="S12248" s="78">
        <v>39635</v>
      </c>
      <c r="T12248" s="29">
        <v>5</v>
      </c>
    </row>
    <row r="12249" spans="19:21" x14ac:dyDescent="0.25">
      <c r="S12249" s="78">
        <v>39636</v>
      </c>
      <c r="T12249" s="29">
        <v>5</v>
      </c>
    </row>
    <row r="12250" spans="19:21" x14ac:dyDescent="0.25">
      <c r="S12250" s="78">
        <v>39637</v>
      </c>
      <c r="T12250" s="29">
        <v>5</v>
      </c>
    </row>
    <row r="12251" spans="19:21" x14ac:dyDescent="0.25">
      <c r="S12251" s="78">
        <v>39638</v>
      </c>
      <c r="T12251" s="29">
        <v>5</v>
      </c>
    </row>
    <row r="12252" spans="19:21" x14ac:dyDescent="0.25">
      <c r="S12252" s="78">
        <v>39639</v>
      </c>
      <c r="T12252" s="29">
        <v>5</v>
      </c>
    </row>
    <row r="12253" spans="19:21" x14ac:dyDescent="0.25">
      <c r="S12253" s="78">
        <v>39640</v>
      </c>
      <c r="T12253" s="29">
        <v>5</v>
      </c>
    </row>
    <row r="12254" spans="19:21" x14ac:dyDescent="0.25">
      <c r="S12254" s="78">
        <v>39641</v>
      </c>
      <c r="T12254" s="29">
        <v>5</v>
      </c>
    </row>
    <row r="12255" spans="19:21" x14ac:dyDescent="0.25">
      <c r="S12255" s="78">
        <v>39642</v>
      </c>
      <c r="T12255" s="29">
        <v>5</v>
      </c>
    </row>
    <row r="12256" spans="19:21" x14ac:dyDescent="0.25">
      <c r="S12256" s="78">
        <v>39643</v>
      </c>
      <c r="T12256" s="29">
        <v>5</v>
      </c>
    </row>
    <row r="12257" spans="19:20" x14ac:dyDescent="0.25">
      <c r="S12257" s="78">
        <v>39644</v>
      </c>
      <c r="T12257" s="29">
        <v>5</v>
      </c>
    </row>
    <row r="12258" spans="19:20" x14ac:dyDescent="0.25">
      <c r="S12258" s="78">
        <v>39645</v>
      </c>
      <c r="T12258" s="29">
        <v>5</v>
      </c>
    </row>
    <row r="12259" spans="19:20" x14ac:dyDescent="0.25">
      <c r="S12259" s="78">
        <v>39646</v>
      </c>
      <c r="T12259" s="29">
        <v>5</v>
      </c>
    </row>
    <row r="12260" spans="19:20" x14ac:dyDescent="0.25">
      <c r="S12260" s="78">
        <v>39647</v>
      </c>
      <c r="T12260" s="29">
        <v>5</v>
      </c>
    </row>
    <row r="12261" spans="19:20" x14ac:dyDescent="0.25">
      <c r="S12261" s="78">
        <v>39648</v>
      </c>
      <c r="T12261" s="29">
        <v>5</v>
      </c>
    </row>
    <row r="12262" spans="19:20" x14ac:dyDescent="0.25">
      <c r="S12262" s="78">
        <v>39649</v>
      </c>
      <c r="T12262" s="29">
        <v>5</v>
      </c>
    </row>
    <row r="12263" spans="19:20" x14ac:dyDescent="0.25">
      <c r="S12263" s="78">
        <v>39650</v>
      </c>
      <c r="T12263" s="29">
        <v>5</v>
      </c>
    </row>
    <row r="12264" spans="19:20" x14ac:dyDescent="0.25">
      <c r="S12264" s="78">
        <v>39651</v>
      </c>
      <c r="T12264" s="29">
        <v>5</v>
      </c>
    </row>
    <row r="12265" spans="19:20" x14ac:dyDescent="0.25">
      <c r="S12265" s="78">
        <v>39652</v>
      </c>
      <c r="T12265" s="29">
        <v>5</v>
      </c>
    </row>
    <row r="12266" spans="19:20" x14ac:dyDescent="0.25">
      <c r="S12266" s="78">
        <v>39653</v>
      </c>
      <c r="T12266" s="29">
        <v>5</v>
      </c>
    </row>
    <row r="12267" spans="19:20" x14ac:dyDescent="0.25">
      <c r="S12267" s="78">
        <v>39654</v>
      </c>
      <c r="T12267" s="29">
        <v>5</v>
      </c>
    </row>
    <row r="12268" spans="19:20" x14ac:dyDescent="0.25">
      <c r="S12268" s="78">
        <v>39655</v>
      </c>
      <c r="T12268" s="29">
        <v>5</v>
      </c>
    </row>
    <row r="12269" spans="19:20" x14ac:dyDescent="0.25">
      <c r="S12269" s="78">
        <v>39656</v>
      </c>
      <c r="T12269" s="29">
        <v>5</v>
      </c>
    </row>
    <row r="12270" spans="19:20" x14ac:dyDescent="0.25">
      <c r="S12270" s="78">
        <v>39657</v>
      </c>
      <c r="T12270" s="29">
        <v>5</v>
      </c>
    </row>
    <row r="12271" spans="19:20" x14ac:dyDescent="0.25">
      <c r="S12271" s="78">
        <v>39658</v>
      </c>
      <c r="T12271" s="29">
        <v>5</v>
      </c>
    </row>
    <row r="12272" spans="19:20" x14ac:dyDescent="0.25">
      <c r="S12272" s="78">
        <v>39659</v>
      </c>
      <c r="T12272" s="29">
        <v>5</v>
      </c>
    </row>
    <row r="12273" spans="19:20" x14ac:dyDescent="0.25">
      <c r="S12273" s="78">
        <v>39660</v>
      </c>
      <c r="T12273" s="29">
        <v>5</v>
      </c>
    </row>
    <row r="12274" spans="19:20" x14ac:dyDescent="0.25">
      <c r="S12274" s="78">
        <v>39661</v>
      </c>
      <c r="T12274" s="29">
        <v>5</v>
      </c>
    </row>
    <row r="12275" spans="19:20" x14ac:dyDescent="0.25">
      <c r="S12275" s="78">
        <v>39662</v>
      </c>
      <c r="T12275" s="29">
        <v>5</v>
      </c>
    </row>
    <row r="12276" spans="19:20" x14ac:dyDescent="0.25">
      <c r="S12276" s="78">
        <v>39663</v>
      </c>
      <c r="T12276" s="29">
        <v>5</v>
      </c>
    </row>
    <row r="12277" spans="19:20" x14ac:dyDescent="0.25">
      <c r="S12277" s="78">
        <v>39664</v>
      </c>
      <c r="T12277" s="29">
        <v>5</v>
      </c>
    </row>
    <row r="12278" spans="19:20" x14ac:dyDescent="0.25">
      <c r="S12278" s="78">
        <v>39665</v>
      </c>
      <c r="T12278" s="29">
        <v>5</v>
      </c>
    </row>
    <row r="12279" spans="19:20" x14ac:dyDescent="0.25">
      <c r="S12279" s="78">
        <v>39666</v>
      </c>
      <c r="T12279" s="29">
        <v>5</v>
      </c>
    </row>
    <row r="12280" spans="19:20" x14ac:dyDescent="0.25">
      <c r="S12280" s="78">
        <v>39667</v>
      </c>
      <c r="T12280" s="29">
        <v>5</v>
      </c>
    </row>
    <row r="12281" spans="19:20" x14ac:dyDescent="0.25">
      <c r="S12281" s="78">
        <v>39668</v>
      </c>
      <c r="T12281" s="29">
        <v>5</v>
      </c>
    </row>
    <row r="12282" spans="19:20" x14ac:dyDescent="0.25">
      <c r="S12282" s="78">
        <v>39669</v>
      </c>
      <c r="T12282" s="29">
        <v>5</v>
      </c>
    </row>
    <row r="12283" spans="19:20" x14ac:dyDescent="0.25">
      <c r="S12283" s="78">
        <v>39670</v>
      </c>
      <c r="T12283" s="29">
        <v>5</v>
      </c>
    </row>
    <row r="12284" spans="19:20" x14ac:dyDescent="0.25">
      <c r="S12284" s="78">
        <v>39671</v>
      </c>
      <c r="T12284" s="29">
        <v>5</v>
      </c>
    </row>
    <row r="12285" spans="19:20" x14ac:dyDescent="0.25">
      <c r="S12285" s="78">
        <v>39672</v>
      </c>
      <c r="T12285" s="29">
        <v>5</v>
      </c>
    </row>
    <row r="12286" spans="19:20" x14ac:dyDescent="0.25">
      <c r="S12286" s="78">
        <v>39673</v>
      </c>
      <c r="T12286" s="29">
        <v>5</v>
      </c>
    </row>
    <row r="12287" spans="19:20" x14ac:dyDescent="0.25">
      <c r="S12287" s="78">
        <v>39674</v>
      </c>
      <c r="T12287" s="29">
        <v>5</v>
      </c>
    </row>
    <row r="12288" spans="19:20" x14ac:dyDescent="0.25">
      <c r="S12288" s="78">
        <v>39675</v>
      </c>
      <c r="T12288" s="29">
        <v>5</v>
      </c>
    </row>
    <row r="12289" spans="19:20" x14ac:dyDescent="0.25">
      <c r="S12289" s="78">
        <v>39676</v>
      </c>
      <c r="T12289" s="29">
        <v>5</v>
      </c>
    </row>
    <row r="12290" spans="19:20" x14ac:dyDescent="0.25">
      <c r="S12290" s="78">
        <v>39677</v>
      </c>
      <c r="T12290" s="29">
        <v>5</v>
      </c>
    </row>
    <row r="12291" spans="19:20" x14ac:dyDescent="0.25">
      <c r="S12291" s="78">
        <v>39678</v>
      </c>
      <c r="T12291" s="29">
        <v>5</v>
      </c>
    </row>
    <row r="12292" spans="19:20" x14ac:dyDescent="0.25">
      <c r="S12292" s="78">
        <v>39679</v>
      </c>
      <c r="T12292" s="29">
        <v>5</v>
      </c>
    </row>
    <row r="12293" spans="19:20" x14ac:dyDescent="0.25">
      <c r="S12293" s="78">
        <v>39680</v>
      </c>
      <c r="T12293" s="29">
        <v>5</v>
      </c>
    </row>
    <row r="12294" spans="19:20" x14ac:dyDescent="0.25">
      <c r="S12294" s="78">
        <v>39681</v>
      </c>
      <c r="T12294" s="29">
        <v>5</v>
      </c>
    </row>
    <row r="12295" spans="19:20" x14ac:dyDescent="0.25">
      <c r="S12295" s="78">
        <v>39682</v>
      </c>
      <c r="T12295" s="29">
        <v>5</v>
      </c>
    </row>
    <row r="12296" spans="19:20" x14ac:dyDescent="0.25">
      <c r="S12296" s="78">
        <v>39683</v>
      </c>
      <c r="T12296" s="29">
        <v>5</v>
      </c>
    </row>
    <row r="12297" spans="19:20" x14ac:dyDescent="0.25">
      <c r="S12297" s="78">
        <v>39684</v>
      </c>
      <c r="T12297" s="29">
        <v>5</v>
      </c>
    </row>
    <row r="12298" spans="19:20" x14ac:dyDescent="0.25">
      <c r="S12298" s="78">
        <v>39685</v>
      </c>
      <c r="T12298" s="29">
        <v>5</v>
      </c>
    </row>
    <row r="12299" spans="19:20" x14ac:dyDescent="0.25">
      <c r="S12299" s="78">
        <v>39686</v>
      </c>
      <c r="T12299" s="29">
        <v>5</v>
      </c>
    </row>
    <row r="12300" spans="19:20" x14ac:dyDescent="0.25">
      <c r="S12300" s="78">
        <v>39687</v>
      </c>
      <c r="T12300" s="29">
        <v>5</v>
      </c>
    </row>
    <row r="12301" spans="19:20" x14ac:dyDescent="0.25">
      <c r="S12301" s="78">
        <v>39688</v>
      </c>
      <c r="T12301" s="29">
        <v>5</v>
      </c>
    </row>
    <row r="12302" spans="19:20" x14ac:dyDescent="0.25">
      <c r="S12302" s="78">
        <v>39689</v>
      </c>
      <c r="T12302" s="29">
        <v>5</v>
      </c>
    </row>
    <row r="12303" spans="19:20" x14ac:dyDescent="0.25">
      <c r="S12303" s="78">
        <v>39690</v>
      </c>
      <c r="T12303" s="29">
        <v>5</v>
      </c>
    </row>
    <row r="12304" spans="19:20" x14ac:dyDescent="0.25">
      <c r="S12304" s="78">
        <v>39691</v>
      </c>
      <c r="T12304" s="29">
        <v>5</v>
      </c>
    </row>
    <row r="12305" spans="19:20" x14ac:dyDescent="0.25">
      <c r="S12305" s="78">
        <v>39692</v>
      </c>
      <c r="T12305" s="29">
        <v>5</v>
      </c>
    </row>
    <row r="12306" spans="19:20" x14ac:dyDescent="0.25">
      <c r="S12306" s="78">
        <v>39693</v>
      </c>
      <c r="T12306" s="29">
        <v>5</v>
      </c>
    </row>
    <row r="12307" spans="19:20" x14ac:dyDescent="0.25">
      <c r="S12307" s="78">
        <v>39694</v>
      </c>
      <c r="T12307" s="29">
        <v>5</v>
      </c>
    </row>
    <row r="12308" spans="19:20" x14ac:dyDescent="0.25">
      <c r="S12308" s="78">
        <v>39695</v>
      </c>
      <c r="T12308" s="29">
        <v>5</v>
      </c>
    </row>
    <row r="12309" spans="19:20" x14ac:dyDescent="0.25">
      <c r="S12309" s="78">
        <v>39696</v>
      </c>
      <c r="T12309" s="29">
        <v>5</v>
      </c>
    </row>
    <row r="12310" spans="19:20" x14ac:dyDescent="0.25">
      <c r="S12310" s="78">
        <v>39697</v>
      </c>
      <c r="T12310" s="29">
        <v>5</v>
      </c>
    </row>
    <row r="12311" spans="19:20" x14ac:dyDescent="0.25">
      <c r="S12311" s="78">
        <v>39698</v>
      </c>
      <c r="T12311" s="29">
        <v>5</v>
      </c>
    </row>
    <row r="12312" spans="19:20" x14ac:dyDescent="0.25">
      <c r="S12312" s="78">
        <v>39699</v>
      </c>
      <c r="T12312" s="29">
        <v>5</v>
      </c>
    </row>
    <row r="12313" spans="19:20" x14ac:dyDescent="0.25">
      <c r="S12313" s="78">
        <v>39700</v>
      </c>
      <c r="T12313" s="29">
        <v>5</v>
      </c>
    </row>
    <row r="12314" spans="19:20" x14ac:dyDescent="0.25">
      <c r="S12314" s="78">
        <v>39701</v>
      </c>
      <c r="T12314" s="29">
        <v>5</v>
      </c>
    </row>
    <row r="12315" spans="19:20" x14ac:dyDescent="0.25">
      <c r="S12315" s="78">
        <v>39702</v>
      </c>
      <c r="T12315" s="29">
        <v>5</v>
      </c>
    </row>
    <row r="12316" spans="19:20" x14ac:dyDescent="0.25">
      <c r="S12316" s="78">
        <v>39703</v>
      </c>
      <c r="T12316" s="29">
        <v>5</v>
      </c>
    </row>
    <row r="12317" spans="19:20" x14ac:dyDescent="0.25">
      <c r="S12317" s="78">
        <v>39704</v>
      </c>
      <c r="T12317" s="29">
        <v>5</v>
      </c>
    </row>
    <row r="12318" spans="19:20" x14ac:dyDescent="0.25">
      <c r="S12318" s="78">
        <v>39705</v>
      </c>
      <c r="T12318" s="29">
        <v>5</v>
      </c>
    </row>
    <row r="12319" spans="19:20" x14ac:dyDescent="0.25">
      <c r="S12319" s="78">
        <v>39706</v>
      </c>
      <c r="T12319" s="29">
        <v>5</v>
      </c>
    </row>
    <row r="12320" spans="19:20" x14ac:dyDescent="0.25">
      <c r="S12320" s="78">
        <v>39707</v>
      </c>
      <c r="T12320" s="29">
        <v>5</v>
      </c>
    </row>
    <row r="12321" spans="19:21" x14ac:dyDescent="0.25">
      <c r="S12321" s="78">
        <v>39708</v>
      </c>
      <c r="T12321" s="29">
        <v>5</v>
      </c>
    </row>
    <row r="12322" spans="19:21" x14ac:dyDescent="0.25">
      <c r="S12322" s="78">
        <v>39709</v>
      </c>
      <c r="T12322" s="29">
        <v>5</v>
      </c>
    </row>
    <row r="12323" spans="19:21" x14ac:dyDescent="0.25">
      <c r="S12323" s="78">
        <v>39710</v>
      </c>
      <c r="T12323" s="29">
        <v>5</v>
      </c>
    </row>
    <row r="12324" spans="19:21" x14ac:dyDescent="0.25">
      <c r="S12324" s="78">
        <v>39711</v>
      </c>
      <c r="T12324" s="29">
        <v>5</v>
      </c>
    </row>
    <row r="12325" spans="19:21" x14ac:dyDescent="0.25">
      <c r="S12325" s="78">
        <v>39712</v>
      </c>
      <c r="T12325" s="29">
        <v>5</v>
      </c>
    </row>
    <row r="12326" spans="19:21" x14ac:dyDescent="0.25">
      <c r="S12326" s="78">
        <v>39713</v>
      </c>
      <c r="T12326" s="29">
        <v>5</v>
      </c>
    </row>
    <row r="12327" spans="19:21" x14ac:dyDescent="0.25">
      <c r="S12327" s="78">
        <v>39714</v>
      </c>
      <c r="T12327" s="29">
        <v>5</v>
      </c>
    </row>
    <row r="12328" spans="19:21" x14ac:dyDescent="0.25">
      <c r="S12328" s="78">
        <v>39715</v>
      </c>
      <c r="T12328" s="29">
        <v>5</v>
      </c>
    </row>
    <row r="12329" spans="19:21" x14ac:dyDescent="0.25">
      <c r="S12329" s="78">
        <v>39716</v>
      </c>
      <c r="T12329" s="29">
        <v>5</v>
      </c>
    </row>
    <row r="12330" spans="19:21" x14ac:dyDescent="0.25">
      <c r="S12330" s="78">
        <v>39717</v>
      </c>
      <c r="T12330" s="29">
        <v>5</v>
      </c>
    </row>
    <row r="12331" spans="19:21" x14ac:dyDescent="0.25">
      <c r="S12331" s="78">
        <v>39718</v>
      </c>
      <c r="T12331" s="29">
        <v>5</v>
      </c>
    </row>
    <row r="12332" spans="19:21" x14ac:dyDescent="0.25">
      <c r="S12332" s="78">
        <v>39719</v>
      </c>
      <c r="T12332" s="29">
        <v>5</v>
      </c>
    </row>
    <row r="12333" spans="19:21" x14ac:dyDescent="0.25">
      <c r="S12333" s="78">
        <v>39720</v>
      </c>
      <c r="T12333" s="29">
        <v>5</v>
      </c>
      <c r="U12333" s="40"/>
    </row>
    <row r="12334" spans="19:21" x14ac:dyDescent="0.25">
      <c r="S12334" s="78">
        <v>39721</v>
      </c>
      <c r="T12334" s="29">
        <v>5</v>
      </c>
      <c r="U12334" s="40">
        <f>AVERAGE(T12243:T12334)</f>
        <v>5</v>
      </c>
    </row>
    <row r="12335" spans="19:21" x14ac:dyDescent="0.25">
      <c r="S12335" s="78">
        <v>39722</v>
      </c>
      <c r="T12335" s="29">
        <v>5</v>
      </c>
    </row>
    <row r="12336" spans="19:21" x14ac:dyDescent="0.25">
      <c r="S12336" s="78">
        <v>39723</v>
      </c>
      <c r="T12336" s="29">
        <v>5</v>
      </c>
    </row>
    <row r="12337" spans="19:20" x14ac:dyDescent="0.25">
      <c r="S12337" s="78">
        <v>39724</v>
      </c>
      <c r="T12337" s="29">
        <v>5</v>
      </c>
    </row>
    <row r="12338" spans="19:20" x14ac:dyDescent="0.25">
      <c r="S12338" s="78">
        <v>39725</v>
      </c>
      <c r="T12338" s="29">
        <v>5</v>
      </c>
    </row>
    <row r="12339" spans="19:20" x14ac:dyDescent="0.25">
      <c r="S12339" s="78">
        <v>39726</v>
      </c>
      <c r="T12339" s="29">
        <v>5</v>
      </c>
    </row>
    <row r="12340" spans="19:20" x14ac:dyDescent="0.25">
      <c r="S12340" s="78">
        <v>39727</v>
      </c>
      <c r="T12340" s="29">
        <v>5</v>
      </c>
    </row>
    <row r="12341" spans="19:20" x14ac:dyDescent="0.25">
      <c r="S12341" s="78">
        <v>39728</v>
      </c>
      <c r="T12341" s="29">
        <v>5</v>
      </c>
    </row>
    <row r="12342" spans="19:20" x14ac:dyDescent="0.25">
      <c r="S12342" s="78">
        <v>39729</v>
      </c>
      <c r="T12342" s="29">
        <v>4.5</v>
      </c>
    </row>
    <row r="12343" spans="19:20" x14ac:dyDescent="0.25">
      <c r="S12343" s="78">
        <v>39730</v>
      </c>
      <c r="T12343" s="29">
        <v>4.5</v>
      </c>
    </row>
    <row r="12344" spans="19:20" x14ac:dyDescent="0.25">
      <c r="S12344" s="78">
        <v>39731</v>
      </c>
      <c r="T12344" s="29">
        <v>4.5</v>
      </c>
    </row>
    <row r="12345" spans="19:20" x14ac:dyDescent="0.25">
      <c r="S12345" s="78">
        <v>39732</v>
      </c>
      <c r="T12345" s="29">
        <v>4.5</v>
      </c>
    </row>
    <row r="12346" spans="19:20" x14ac:dyDescent="0.25">
      <c r="S12346" s="78">
        <v>39733</v>
      </c>
      <c r="T12346" s="29">
        <v>4.5</v>
      </c>
    </row>
    <row r="12347" spans="19:20" x14ac:dyDescent="0.25">
      <c r="S12347" s="78">
        <v>39734</v>
      </c>
      <c r="T12347" s="29">
        <v>4.5</v>
      </c>
    </row>
    <row r="12348" spans="19:20" x14ac:dyDescent="0.25">
      <c r="S12348" s="78">
        <v>39735</v>
      </c>
      <c r="T12348" s="29">
        <v>4.5</v>
      </c>
    </row>
    <row r="12349" spans="19:20" x14ac:dyDescent="0.25">
      <c r="S12349" s="78">
        <v>39736</v>
      </c>
      <c r="T12349" s="29">
        <v>4.5</v>
      </c>
    </row>
    <row r="12350" spans="19:20" x14ac:dyDescent="0.25">
      <c r="S12350" s="78">
        <v>39737</v>
      </c>
      <c r="T12350" s="29">
        <v>4.5</v>
      </c>
    </row>
    <row r="12351" spans="19:20" x14ac:dyDescent="0.25">
      <c r="S12351" s="78">
        <v>39738</v>
      </c>
      <c r="T12351" s="29">
        <v>4.5</v>
      </c>
    </row>
    <row r="12352" spans="19:20" x14ac:dyDescent="0.25">
      <c r="S12352" s="78">
        <v>39739</v>
      </c>
      <c r="T12352" s="29">
        <v>4.5</v>
      </c>
    </row>
    <row r="12353" spans="19:20" x14ac:dyDescent="0.25">
      <c r="S12353" s="78">
        <v>39740</v>
      </c>
      <c r="T12353" s="29">
        <v>4.5</v>
      </c>
    </row>
    <row r="12354" spans="19:20" x14ac:dyDescent="0.25">
      <c r="S12354" s="78">
        <v>39741</v>
      </c>
      <c r="T12354" s="29">
        <v>4.5</v>
      </c>
    </row>
    <row r="12355" spans="19:20" x14ac:dyDescent="0.25">
      <c r="S12355" s="78">
        <v>39742</v>
      </c>
      <c r="T12355" s="29">
        <v>4.5</v>
      </c>
    </row>
    <row r="12356" spans="19:20" x14ac:dyDescent="0.25">
      <c r="S12356" s="78">
        <v>39743</v>
      </c>
      <c r="T12356" s="29">
        <v>4.5</v>
      </c>
    </row>
    <row r="12357" spans="19:20" x14ac:dyDescent="0.25">
      <c r="S12357" s="78">
        <v>39744</v>
      </c>
      <c r="T12357" s="29">
        <v>4.5</v>
      </c>
    </row>
    <row r="12358" spans="19:20" x14ac:dyDescent="0.25">
      <c r="S12358" s="78">
        <v>39745</v>
      </c>
      <c r="T12358" s="29">
        <v>4.5</v>
      </c>
    </row>
    <row r="12359" spans="19:20" x14ac:dyDescent="0.25">
      <c r="S12359" s="78">
        <v>39746</v>
      </c>
      <c r="T12359" s="29">
        <v>4.5</v>
      </c>
    </row>
    <row r="12360" spans="19:20" x14ac:dyDescent="0.25">
      <c r="S12360" s="78">
        <v>39747</v>
      </c>
      <c r="T12360" s="29">
        <v>4.5</v>
      </c>
    </row>
    <row r="12361" spans="19:20" x14ac:dyDescent="0.25">
      <c r="S12361" s="78">
        <v>39748</v>
      </c>
      <c r="T12361" s="29">
        <v>4.5</v>
      </c>
    </row>
    <row r="12362" spans="19:20" x14ac:dyDescent="0.25">
      <c r="S12362" s="78">
        <v>39749</v>
      </c>
      <c r="T12362" s="29">
        <v>4.5</v>
      </c>
    </row>
    <row r="12363" spans="19:20" x14ac:dyDescent="0.25">
      <c r="S12363" s="78">
        <v>39750</v>
      </c>
      <c r="T12363" s="29">
        <v>4.5</v>
      </c>
    </row>
    <row r="12364" spans="19:20" x14ac:dyDescent="0.25">
      <c r="S12364" s="78">
        <v>39751</v>
      </c>
      <c r="T12364" s="29">
        <v>4.5</v>
      </c>
    </row>
    <row r="12365" spans="19:20" x14ac:dyDescent="0.25">
      <c r="S12365" s="78">
        <v>39752</v>
      </c>
      <c r="T12365" s="29">
        <v>4.5</v>
      </c>
    </row>
    <row r="12366" spans="19:20" x14ac:dyDescent="0.25">
      <c r="S12366" s="78">
        <v>39753</v>
      </c>
      <c r="T12366" s="29">
        <v>4.5</v>
      </c>
    </row>
    <row r="12367" spans="19:20" x14ac:dyDescent="0.25">
      <c r="S12367" s="78">
        <v>39754</v>
      </c>
      <c r="T12367" s="29">
        <v>4.5</v>
      </c>
    </row>
    <row r="12368" spans="19:20" x14ac:dyDescent="0.25">
      <c r="S12368" s="78">
        <v>39755</v>
      </c>
      <c r="T12368" s="29">
        <v>4.5</v>
      </c>
    </row>
    <row r="12369" spans="19:20" x14ac:dyDescent="0.25">
      <c r="S12369" s="78">
        <v>39756</v>
      </c>
      <c r="T12369" s="29">
        <v>4.5</v>
      </c>
    </row>
    <row r="12370" spans="19:20" x14ac:dyDescent="0.25">
      <c r="S12370" s="78">
        <v>39757</v>
      </c>
      <c r="T12370" s="29">
        <v>4.5</v>
      </c>
    </row>
    <row r="12371" spans="19:20" x14ac:dyDescent="0.25">
      <c r="S12371" s="78">
        <v>39758</v>
      </c>
      <c r="T12371" s="29">
        <v>3</v>
      </c>
    </row>
    <row r="12372" spans="19:20" x14ac:dyDescent="0.25">
      <c r="S12372" s="78">
        <v>39759</v>
      </c>
      <c r="T12372" s="29">
        <v>3</v>
      </c>
    </row>
    <row r="12373" spans="19:20" x14ac:dyDescent="0.25">
      <c r="S12373" s="78">
        <v>39760</v>
      </c>
      <c r="T12373" s="29">
        <v>3</v>
      </c>
    </row>
    <row r="12374" spans="19:20" x14ac:dyDescent="0.25">
      <c r="S12374" s="78">
        <v>39761</v>
      </c>
      <c r="T12374" s="29">
        <v>3</v>
      </c>
    </row>
    <row r="12375" spans="19:20" x14ac:dyDescent="0.25">
      <c r="S12375" s="78">
        <v>39762</v>
      </c>
      <c r="T12375" s="29">
        <v>3</v>
      </c>
    </row>
    <row r="12376" spans="19:20" x14ac:dyDescent="0.25">
      <c r="S12376" s="78">
        <v>39763</v>
      </c>
      <c r="T12376" s="29">
        <v>3</v>
      </c>
    </row>
    <row r="12377" spans="19:20" x14ac:dyDescent="0.25">
      <c r="S12377" s="78">
        <v>39764</v>
      </c>
      <c r="T12377" s="29">
        <v>3</v>
      </c>
    </row>
    <row r="12378" spans="19:20" x14ac:dyDescent="0.25">
      <c r="S12378" s="78">
        <v>39765</v>
      </c>
      <c r="T12378" s="29">
        <v>3</v>
      </c>
    </row>
    <row r="12379" spans="19:20" x14ac:dyDescent="0.25">
      <c r="S12379" s="78">
        <v>39766</v>
      </c>
      <c r="T12379" s="29">
        <v>3</v>
      </c>
    </row>
    <row r="12380" spans="19:20" x14ac:dyDescent="0.25">
      <c r="S12380" s="78">
        <v>39767</v>
      </c>
      <c r="T12380" s="29">
        <v>3</v>
      </c>
    </row>
    <row r="12381" spans="19:20" x14ac:dyDescent="0.25">
      <c r="S12381" s="78">
        <v>39768</v>
      </c>
      <c r="T12381" s="29">
        <v>3</v>
      </c>
    </row>
    <row r="12382" spans="19:20" x14ac:dyDescent="0.25">
      <c r="S12382" s="78">
        <v>39769</v>
      </c>
      <c r="T12382" s="29">
        <v>3</v>
      </c>
    </row>
    <row r="12383" spans="19:20" x14ac:dyDescent="0.25">
      <c r="S12383" s="78">
        <v>39770</v>
      </c>
      <c r="T12383" s="29">
        <v>3</v>
      </c>
    </row>
    <row r="12384" spans="19:20" x14ac:dyDescent="0.25">
      <c r="S12384" s="78">
        <v>39771</v>
      </c>
      <c r="T12384" s="29">
        <v>3</v>
      </c>
    </row>
    <row r="12385" spans="19:20" x14ac:dyDescent="0.25">
      <c r="S12385" s="78">
        <v>39772</v>
      </c>
      <c r="T12385" s="29">
        <v>3</v>
      </c>
    </row>
    <row r="12386" spans="19:20" x14ac:dyDescent="0.25">
      <c r="S12386" s="78">
        <v>39773</v>
      </c>
      <c r="T12386" s="29">
        <v>3</v>
      </c>
    </row>
    <row r="12387" spans="19:20" x14ac:dyDescent="0.25">
      <c r="S12387" s="78">
        <v>39774</v>
      </c>
      <c r="T12387" s="29">
        <v>3</v>
      </c>
    </row>
    <row r="12388" spans="19:20" x14ac:dyDescent="0.25">
      <c r="S12388" s="78">
        <v>39775</v>
      </c>
      <c r="T12388" s="29">
        <v>3</v>
      </c>
    </row>
    <row r="12389" spans="19:20" x14ac:dyDescent="0.25">
      <c r="S12389" s="78">
        <v>39776</v>
      </c>
      <c r="T12389" s="29">
        <v>3</v>
      </c>
    </row>
    <row r="12390" spans="19:20" x14ac:dyDescent="0.25">
      <c r="S12390" s="78">
        <v>39777</v>
      </c>
      <c r="T12390" s="29">
        <v>3</v>
      </c>
    </row>
    <row r="12391" spans="19:20" x14ac:dyDescent="0.25">
      <c r="S12391" s="78">
        <v>39778</v>
      </c>
      <c r="T12391" s="29">
        <v>3</v>
      </c>
    </row>
    <row r="12392" spans="19:20" x14ac:dyDescent="0.25">
      <c r="S12392" s="78">
        <v>39779</v>
      </c>
      <c r="T12392" s="29">
        <v>3</v>
      </c>
    </row>
    <row r="12393" spans="19:20" x14ac:dyDescent="0.25">
      <c r="S12393" s="78">
        <v>39780</v>
      </c>
      <c r="T12393" s="29">
        <v>3</v>
      </c>
    </row>
    <row r="12394" spans="19:20" x14ac:dyDescent="0.25">
      <c r="S12394" s="78">
        <v>39781</v>
      </c>
      <c r="T12394" s="29">
        <v>3</v>
      </c>
    </row>
    <row r="12395" spans="19:20" x14ac:dyDescent="0.25">
      <c r="S12395" s="78">
        <v>39782</v>
      </c>
      <c r="T12395" s="29">
        <v>3</v>
      </c>
    </row>
    <row r="12396" spans="19:20" x14ac:dyDescent="0.25">
      <c r="S12396" s="78">
        <v>39783</v>
      </c>
      <c r="T12396" s="29">
        <v>3</v>
      </c>
    </row>
    <row r="12397" spans="19:20" x14ac:dyDescent="0.25">
      <c r="S12397" s="78">
        <v>39784</v>
      </c>
      <c r="T12397" s="29">
        <v>3</v>
      </c>
    </row>
    <row r="12398" spans="19:20" x14ac:dyDescent="0.25">
      <c r="S12398" s="78">
        <v>39785</v>
      </c>
      <c r="T12398" s="29">
        <v>3</v>
      </c>
    </row>
    <row r="12399" spans="19:20" x14ac:dyDescent="0.25">
      <c r="S12399" s="78">
        <v>39786</v>
      </c>
      <c r="T12399" s="29">
        <v>2</v>
      </c>
    </row>
    <row r="12400" spans="19:20" x14ac:dyDescent="0.25">
      <c r="S12400" s="78">
        <v>39787</v>
      </c>
      <c r="T12400" s="29">
        <v>2</v>
      </c>
    </row>
    <row r="12401" spans="19:20" x14ac:dyDescent="0.25">
      <c r="S12401" s="78">
        <v>39788</v>
      </c>
      <c r="T12401" s="29">
        <v>2</v>
      </c>
    </row>
    <row r="12402" spans="19:20" x14ac:dyDescent="0.25">
      <c r="S12402" s="78">
        <v>39789</v>
      </c>
      <c r="T12402" s="29">
        <v>2</v>
      </c>
    </row>
    <row r="12403" spans="19:20" x14ac:dyDescent="0.25">
      <c r="S12403" s="78">
        <v>39790</v>
      </c>
      <c r="T12403" s="29">
        <v>2</v>
      </c>
    </row>
    <row r="12404" spans="19:20" x14ac:dyDescent="0.25">
      <c r="S12404" s="78">
        <v>39791</v>
      </c>
      <c r="T12404" s="29">
        <v>2</v>
      </c>
    </row>
    <row r="12405" spans="19:20" x14ac:dyDescent="0.25">
      <c r="S12405" s="78">
        <v>39792</v>
      </c>
      <c r="T12405" s="29">
        <v>2</v>
      </c>
    </row>
    <row r="12406" spans="19:20" x14ac:dyDescent="0.25">
      <c r="S12406" s="78">
        <v>39793</v>
      </c>
      <c r="T12406" s="29">
        <v>2</v>
      </c>
    </row>
    <row r="12407" spans="19:20" x14ac:dyDescent="0.25">
      <c r="S12407" s="78">
        <v>39794</v>
      </c>
      <c r="T12407" s="29">
        <v>2</v>
      </c>
    </row>
    <row r="12408" spans="19:20" x14ac:dyDescent="0.25">
      <c r="S12408" s="78">
        <v>39795</v>
      </c>
      <c r="T12408" s="29">
        <v>2</v>
      </c>
    </row>
    <row r="12409" spans="19:20" x14ac:dyDescent="0.25">
      <c r="S12409" s="78">
        <v>39796</v>
      </c>
      <c r="T12409" s="29">
        <v>2</v>
      </c>
    </row>
    <row r="12410" spans="19:20" x14ac:dyDescent="0.25">
      <c r="S12410" s="78">
        <v>39797</v>
      </c>
      <c r="T12410" s="29">
        <v>2</v>
      </c>
    </row>
    <row r="12411" spans="19:20" x14ac:dyDescent="0.25">
      <c r="S12411" s="78">
        <v>39798</v>
      </c>
      <c r="T12411" s="29">
        <v>2</v>
      </c>
    </row>
    <row r="12412" spans="19:20" x14ac:dyDescent="0.25">
      <c r="S12412" s="78">
        <v>39799</v>
      </c>
      <c r="T12412" s="29">
        <v>2</v>
      </c>
    </row>
    <row r="12413" spans="19:20" x14ac:dyDescent="0.25">
      <c r="S12413" s="78">
        <v>39800</v>
      </c>
      <c r="T12413" s="29">
        <v>2</v>
      </c>
    </row>
    <row r="12414" spans="19:20" x14ac:dyDescent="0.25">
      <c r="S12414" s="78">
        <v>39801</v>
      </c>
      <c r="T12414" s="29">
        <v>2</v>
      </c>
    </row>
    <row r="12415" spans="19:20" x14ac:dyDescent="0.25">
      <c r="S12415" s="78">
        <v>39802</v>
      </c>
      <c r="T12415" s="29">
        <v>2</v>
      </c>
    </row>
    <row r="12416" spans="19:20" x14ac:dyDescent="0.25">
      <c r="S12416" s="78">
        <v>39803</v>
      </c>
      <c r="T12416" s="29">
        <v>2</v>
      </c>
    </row>
    <row r="12417" spans="19:21" x14ac:dyDescent="0.25">
      <c r="S12417" s="78">
        <v>39804</v>
      </c>
      <c r="T12417" s="29">
        <v>2</v>
      </c>
    </row>
    <row r="12418" spans="19:21" x14ac:dyDescent="0.25">
      <c r="S12418" s="78">
        <v>39805</v>
      </c>
      <c r="T12418" s="29">
        <v>2</v>
      </c>
    </row>
    <row r="12419" spans="19:21" x14ac:dyDescent="0.25">
      <c r="S12419" s="78">
        <v>39806</v>
      </c>
      <c r="T12419" s="29">
        <v>2</v>
      </c>
    </row>
    <row r="12420" spans="19:21" x14ac:dyDescent="0.25">
      <c r="S12420" s="78">
        <v>39807</v>
      </c>
      <c r="T12420" s="29">
        <v>2</v>
      </c>
    </row>
    <row r="12421" spans="19:21" x14ac:dyDescent="0.25">
      <c r="S12421" s="78">
        <v>39808</v>
      </c>
      <c r="T12421" s="29">
        <v>2</v>
      </c>
    </row>
    <row r="12422" spans="19:21" x14ac:dyDescent="0.25">
      <c r="S12422" s="78">
        <v>39809</v>
      </c>
      <c r="T12422" s="29">
        <v>2</v>
      </c>
    </row>
    <row r="12423" spans="19:21" x14ac:dyDescent="0.25">
      <c r="S12423" s="78">
        <v>39810</v>
      </c>
      <c r="T12423" s="29">
        <v>2</v>
      </c>
    </row>
    <row r="12424" spans="19:21" x14ac:dyDescent="0.25">
      <c r="S12424" s="78">
        <v>39811</v>
      </c>
      <c r="T12424" s="29">
        <v>2</v>
      </c>
    </row>
    <row r="12425" spans="19:21" x14ac:dyDescent="0.25">
      <c r="S12425" s="78">
        <v>39812</v>
      </c>
      <c r="T12425" s="29">
        <v>2</v>
      </c>
      <c r="U12425" s="40"/>
    </row>
    <row r="12426" spans="19:21" x14ac:dyDescent="0.25">
      <c r="S12426" s="78">
        <v>39813</v>
      </c>
      <c r="T12426" s="29">
        <v>2</v>
      </c>
      <c r="U12426" s="40">
        <f>AVERAGE(T12335:T12426)</f>
        <v>3.3206521739130435</v>
      </c>
    </row>
    <row r="12427" spans="19:21" x14ac:dyDescent="0.25">
      <c r="S12427" s="78">
        <v>39814</v>
      </c>
      <c r="T12427" s="29">
        <v>2</v>
      </c>
    </row>
    <row r="12428" spans="19:21" x14ac:dyDescent="0.25">
      <c r="S12428" s="78">
        <v>39815</v>
      </c>
      <c r="T12428" s="29">
        <v>2</v>
      </c>
    </row>
    <row r="12429" spans="19:21" x14ac:dyDescent="0.25">
      <c r="S12429" s="78">
        <v>39816</v>
      </c>
      <c r="T12429" s="29">
        <v>2</v>
      </c>
    </row>
    <row r="12430" spans="19:21" x14ac:dyDescent="0.25">
      <c r="S12430" s="78">
        <v>39817</v>
      </c>
      <c r="T12430" s="29">
        <v>2</v>
      </c>
    </row>
    <row r="12431" spans="19:21" x14ac:dyDescent="0.25">
      <c r="S12431" s="78">
        <v>39818</v>
      </c>
      <c r="T12431" s="29">
        <v>2</v>
      </c>
    </row>
    <row r="12432" spans="19:21" x14ac:dyDescent="0.25">
      <c r="S12432" s="78">
        <v>39819</v>
      </c>
      <c r="T12432" s="29">
        <v>2</v>
      </c>
    </row>
    <row r="12433" spans="19:20" x14ac:dyDescent="0.25">
      <c r="S12433" s="78">
        <v>39820</v>
      </c>
      <c r="T12433" s="29">
        <v>2</v>
      </c>
    </row>
    <row r="12434" spans="19:20" x14ac:dyDescent="0.25">
      <c r="S12434" s="78">
        <v>39821</v>
      </c>
      <c r="T12434" s="29">
        <v>1.5</v>
      </c>
    </row>
    <row r="12435" spans="19:20" x14ac:dyDescent="0.25">
      <c r="S12435" s="78">
        <v>39822</v>
      </c>
      <c r="T12435" s="29">
        <v>1.5</v>
      </c>
    </row>
    <row r="12436" spans="19:20" x14ac:dyDescent="0.25">
      <c r="S12436" s="78">
        <v>39823</v>
      </c>
      <c r="T12436" s="29">
        <v>1.5</v>
      </c>
    </row>
    <row r="12437" spans="19:20" x14ac:dyDescent="0.25">
      <c r="S12437" s="78">
        <v>39824</v>
      </c>
      <c r="T12437" s="29">
        <v>1.5</v>
      </c>
    </row>
    <row r="12438" spans="19:20" x14ac:dyDescent="0.25">
      <c r="S12438" s="78">
        <v>39825</v>
      </c>
      <c r="T12438" s="29">
        <v>1.5</v>
      </c>
    </row>
    <row r="12439" spans="19:20" x14ac:dyDescent="0.25">
      <c r="S12439" s="78">
        <v>39826</v>
      </c>
      <c r="T12439" s="29">
        <v>1.5</v>
      </c>
    </row>
    <row r="12440" spans="19:20" x14ac:dyDescent="0.25">
      <c r="S12440" s="78">
        <v>39827</v>
      </c>
      <c r="T12440" s="29">
        <v>1.5</v>
      </c>
    </row>
    <row r="12441" spans="19:20" x14ac:dyDescent="0.25">
      <c r="S12441" s="78">
        <v>39828</v>
      </c>
      <c r="T12441" s="29">
        <v>1.5</v>
      </c>
    </row>
    <row r="12442" spans="19:20" x14ac:dyDescent="0.25">
      <c r="S12442" s="78">
        <v>39829</v>
      </c>
      <c r="T12442" s="29">
        <v>1.5</v>
      </c>
    </row>
    <row r="12443" spans="19:20" x14ac:dyDescent="0.25">
      <c r="S12443" s="78">
        <v>39830</v>
      </c>
      <c r="T12443" s="29">
        <v>1.5</v>
      </c>
    </row>
    <row r="12444" spans="19:20" x14ac:dyDescent="0.25">
      <c r="S12444" s="78">
        <v>39831</v>
      </c>
      <c r="T12444" s="29">
        <v>1.5</v>
      </c>
    </row>
    <row r="12445" spans="19:20" x14ac:dyDescent="0.25">
      <c r="S12445" s="78">
        <v>39832</v>
      </c>
      <c r="T12445" s="29">
        <v>1.5</v>
      </c>
    </row>
    <row r="12446" spans="19:20" x14ac:dyDescent="0.25">
      <c r="S12446" s="78">
        <v>39833</v>
      </c>
      <c r="T12446" s="29">
        <v>1.5</v>
      </c>
    </row>
    <row r="12447" spans="19:20" x14ac:dyDescent="0.25">
      <c r="S12447" s="78">
        <v>39834</v>
      </c>
      <c r="T12447" s="29">
        <v>1.5</v>
      </c>
    </row>
    <row r="12448" spans="19:20" x14ac:dyDescent="0.25">
      <c r="S12448" s="78">
        <v>39835</v>
      </c>
      <c r="T12448" s="29">
        <v>1.5</v>
      </c>
    </row>
    <row r="12449" spans="19:20" x14ac:dyDescent="0.25">
      <c r="S12449" s="78">
        <v>39836</v>
      </c>
      <c r="T12449" s="29">
        <v>1.5</v>
      </c>
    </row>
    <row r="12450" spans="19:20" x14ac:dyDescent="0.25">
      <c r="S12450" s="78">
        <v>39837</v>
      </c>
      <c r="T12450" s="29">
        <v>1.5</v>
      </c>
    </row>
    <row r="12451" spans="19:20" x14ac:dyDescent="0.25">
      <c r="S12451" s="78">
        <v>39838</v>
      </c>
      <c r="T12451" s="29">
        <v>1.5</v>
      </c>
    </row>
    <row r="12452" spans="19:20" x14ac:dyDescent="0.25">
      <c r="S12452" s="78">
        <v>39839</v>
      </c>
      <c r="T12452" s="29">
        <v>1.5</v>
      </c>
    </row>
    <row r="12453" spans="19:20" x14ac:dyDescent="0.25">
      <c r="S12453" s="78">
        <v>39840</v>
      </c>
      <c r="T12453" s="29">
        <v>1.5</v>
      </c>
    </row>
    <row r="12454" spans="19:20" x14ac:dyDescent="0.25">
      <c r="S12454" s="78">
        <v>39841</v>
      </c>
      <c r="T12454" s="29">
        <v>1.5</v>
      </c>
    </row>
    <row r="12455" spans="19:20" x14ac:dyDescent="0.25">
      <c r="S12455" s="78">
        <v>39842</v>
      </c>
      <c r="T12455" s="29">
        <v>1.5</v>
      </c>
    </row>
    <row r="12456" spans="19:20" x14ac:dyDescent="0.25">
      <c r="S12456" s="78">
        <v>39843</v>
      </c>
      <c r="T12456" s="29">
        <v>1.5</v>
      </c>
    </row>
    <row r="12457" spans="19:20" x14ac:dyDescent="0.25">
      <c r="S12457" s="78">
        <v>39844</v>
      </c>
      <c r="T12457" s="29">
        <v>1.5</v>
      </c>
    </row>
    <row r="12458" spans="19:20" x14ac:dyDescent="0.25">
      <c r="S12458" s="78">
        <v>39845</v>
      </c>
      <c r="T12458" s="29">
        <v>1.5</v>
      </c>
    </row>
    <row r="12459" spans="19:20" x14ac:dyDescent="0.25">
      <c r="S12459" s="78">
        <v>39846</v>
      </c>
      <c r="T12459" s="29">
        <v>1.5</v>
      </c>
    </row>
    <row r="12460" spans="19:20" x14ac:dyDescent="0.25">
      <c r="S12460" s="78">
        <v>39847</v>
      </c>
      <c r="T12460" s="29">
        <v>1.5</v>
      </c>
    </row>
    <row r="12461" spans="19:20" x14ac:dyDescent="0.25">
      <c r="S12461" s="78">
        <v>39848</v>
      </c>
      <c r="T12461" s="29">
        <v>1.5</v>
      </c>
    </row>
    <row r="12462" spans="19:20" x14ac:dyDescent="0.25">
      <c r="S12462" s="78">
        <v>39849</v>
      </c>
      <c r="T12462" s="29">
        <v>1</v>
      </c>
    </row>
    <row r="12463" spans="19:20" x14ac:dyDescent="0.25">
      <c r="S12463" s="78">
        <v>39850</v>
      </c>
      <c r="T12463" s="29">
        <v>1</v>
      </c>
    </row>
    <row r="12464" spans="19:20" x14ac:dyDescent="0.25">
      <c r="S12464" s="78">
        <v>39851</v>
      </c>
      <c r="T12464" s="29">
        <v>1</v>
      </c>
    </row>
    <row r="12465" spans="19:20" x14ac:dyDescent="0.25">
      <c r="S12465" s="78">
        <v>39852</v>
      </c>
      <c r="T12465" s="29">
        <v>1</v>
      </c>
    </row>
    <row r="12466" spans="19:20" x14ac:dyDescent="0.25">
      <c r="S12466" s="78">
        <v>39853</v>
      </c>
      <c r="T12466" s="29">
        <v>1</v>
      </c>
    </row>
    <row r="12467" spans="19:20" x14ac:dyDescent="0.25">
      <c r="S12467" s="78">
        <v>39854</v>
      </c>
      <c r="T12467" s="29">
        <v>1</v>
      </c>
    </row>
    <row r="12468" spans="19:20" x14ac:dyDescent="0.25">
      <c r="S12468" s="78">
        <v>39855</v>
      </c>
      <c r="T12468" s="29">
        <v>1</v>
      </c>
    </row>
    <row r="12469" spans="19:20" x14ac:dyDescent="0.25">
      <c r="S12469" s="78">
        <v>39856</v>
      </c>
      <c r="T12469" s="29">
        <v>1</v>
      </c>
    </row>
    <row r="12470" spans="19:20" x14ac:dyDescent="0.25">
      <c r="S12470" s="78">
        <v>39857</v>
      </c>
      <c r="T12470" s="29">
        <v>1</v>
      </c>
    </row>
    <row r="12471" spans="19:20" x14ac:dyDescent="0.25">
      <c r="S12471" s="78">
        <v>39858</v>
      </c>
      <c r="T12471" s="29">
        <v>1</v>
      </c>
    </row>
    <row r="12472" spans="19:20" x14ac:dyDescent="0.25">
      <c r="S12472" s="78">
        <v>39859</v>
      </c>
      <c r="T12472" s="29">
        <v>1</v>
      </c>
    </row>
    <row r="12473" spans="19:20" x14ac:dyDescent="0.25">
      <c r="S12473" s="78">
        <v>39860</v>
      </c>
      <c r="T12473" s="29">
        <v>1</v>
      </c>
    </row>
    <row r="12474" spans="19:20" x14ac:dyDescent="0.25">
      <c r="S12474" s="78">
        <v>39861</v>
      </c>
      <c r="T12474" s="29">
        <v>1</v>
      </c>
    </row>
    <row r="12475" spans="19:20" x14ac:dyDescent="0.25">
      <c r="S12475" s="78">
        <v>39862</v>
      </c>
      <c r="T12475" s="29">
        <v>1</v>
      </c>
    </row>
    <row r="12476" spans="19:20" x14ac:dyDescent="0.25">
      <c r="S12476" s="78">
        <v>39863</v>
      </c>
      <c r="T12476" s="29">
        <v>1</v>
      </c>
    </row>
    <row r="12477" spans="19:20" x14ac:dyDescent="0.25">
      <c r="S12477" s="78">
        <v>39864</v>
      </c>
      <c r="T12477" s="29">
        <v>1</v>
      </c>
    </row>
    <row r="12478" spans="19:20" x14ac:dyDescent="0.25">
      <c r="S12478" s="78">
        <v>39865</v>
      </c>
      <c r="T12478" s="29">
        <v>1</v>
      </c>
    </row>
    <row r="12479" spans="19:20" x14ac:dyDescent="0.25">
      <c r="S12479" s="78">
        <v>39866</v>
      </c>
      <c r="T12479" s="29">
        <v>1</v>
      </c>
    </row>
    <row r="12480" spans="19:20" x14ac:dyDescent="0.25">
      <c r="S12480" s="78">
        <v>39867</v>
      </c>
      <c r="T12480" s="29">
        <v>1</v>
      </c>
    </row>
    <row r="12481" spans="19:20" x14ac:dyDescent="0.25">
      <c r="S12481" s="78">
        <v>39868</v>
      </c>
      <c r="T12481" s="29">
        <v>1</v>
      </c>
    </row>
    <row r="12482" spans="19:20" x14ac:dyDescent="0.25">
      <c r="S12482" s="78">
        <v>39869</v>
      </c>
      <c r="T12482" s="29">
        <v>1</v>
      </c>
    </row>
    <row r="12483" spans="19:20" x14ac:dyDescent="0.25">
      <c r="S12483" s="78">
        <v>39870</v>
      </c>
      <c r="T12483" s="29">
        <v>1</v>
      </c>
    </row>
    <row r="12484" spans="19:20" x14ac:dyDescent="0.25">
      <c r="S12484" s="78">
        <v>39871</v>
      </c>
      <c r="T12484" s="29">
        <v>1</v>
      </c>
    </row>
    <row r="12485" spans="19:20" x14ac:dyDescent="0.25">
      <c r="S12485" s="78">
        <v>39872</v>
      </c>
      <c r="T12485" s="29">
        <v>1</v>
      </c>
    </row>
    <row r="12486" spans="19:20" x14ac:dyDescent="0.25">
      <c r="S12486" s="78">
        <v>39873</v>
      </c>
      <c r="T12486" s="29">
        <v>1</v>
      </c>
    </row>
    <row r="12487" spans="19:20" x14ac:dyDescent="0.25">
      <c r="S12487" s="78">
        <v>39874</v>
      </c>
      <c r="T12487" s="29">
        <v>1</v>
      </c>
    </row>
    <row r="12488" spans="19:20" x14ac:dyDescent="0.25">
      <c r="S12488" s="78">
        <v>39875</v>
      </c>
      <c r="T12488" s="29">
        <v>1</v>
      </c>
    </row>
    <row r="12489" spans="19:20" x14ac:dyDescent="0.25">
      <c r="S12489" s="78">
        <v>39876</v>
      </c>
      <c r="T12489" s="29">
        <v>1</v>
      </c>
    </row>
    <row r="12490" spans="19:20" x14ac:dyDescent="0.25">
      <c r="S12490" s="78">
        <v>39877</v>
      </c>
      <c r="T12490" s="29">
        <v>0.5</v>
      </c>
    </row>
    <row r="12491" spans="19:20" x14ac:dyDescent="0.25">
      <c r="S12491" s="78">
        <v>39878</v>
      </c>
      <c r="T12491" s="29">
        <v>0.5</v>
      </c>
    </row>
    <row r="12492" spans="19:20" x14ac:dyDescent="0.25">
      <c r="S12492" s="78">
        <v>39879</v>
      </c>
      <c r="T12492" s="29">
        <v>0.5</v>
      </c>
    </row>
    <row r="12493" spans="19:20" x14ac:dyDescent="0.25">
      <c r="S12493" s="78">
        <v>39880</v>
      </c>
      <c r="T12493" s="29">
        <v>0.5</v>
      </c>
    </row>
    <row r="12494" spans="19:20" x14ac:dyDescent="0.25">
      <c r="S12494" s="78">
        <v>39881</v>
      </c>
      <c r="T12494" s="29">
        <v>0.5</v>
      </c>
    </row>
    <row r="12495" spans="19:20" x14ac:dyDescent="0.25">
      <c r="S12495" s="78">
        <v>39882</v>
      </c>
      <c r="T12495" s="29">
        <v>0.5</v>
      </c>
    </row>
    <row r="12496" spans="19:20" x14ac:dyDescent="0.25">
      <c r="S12496" s="78">
        <v>39883</v>
      </c>
      <c r="T12496" s="29">
        <v>0.5</v>
      </c>
    </row>
    <row r="12497" spans="19:20" x14ac:dyDescent="0.25">
      <c r="S12497" s="78">
        <v>39884</v>
      </c>
      <c r="T12497" s="29">
        <v>0.5</v>
      </c>
    </row>
    <row r="12498" spans="19:20" x14ac:dyDescent="0.25">
      <c r="S12498" s="78">
        <v>39885</v>
      </c>
      <c r="T12498" s="29">
        <v>0.5</v>
      </c>
    </row>
    <row r="12499" spans="19:20" x14ac:dyDescent="0.25">
      <c r="S12499" s="78">
        <v>39886</v>
      </c>
      <c r="T12499" s="29">
        <v>0.5</v>
      </c>
    </row>
    <row r="12500" spans="19:20" x14ac:dyDescent="0.25">
      <c r="S12500" s="78">
        <v>39887</v>
      </c>
      <c r="T12500" s="29">
        <v>0.5</v>
      </c>
    </row>
    <row r="12501" spans="19:20" x14ac:dyDescent="0.25">
      <c r="S12501" s="78">
        <v>39888</v>
      </c>
      <c r="T12501" s="29">
        <v>0.5</v>
      </c>
    </row>
    <row r="12502" spans="19:20" x14ac:dyDescent="0.25">
      <c r="S12502" s="78">
        <v>39889</v>
      </c>
      <c r="T12502" s="29">
        <v>0.5</v>
      </c>
    </row>
    <row r="12503" spans="19:20" x14ac:dyDescent="0.25">
      <c r="S12503" s="78">
        <v>39890</v>
      </c>
      <c r="T12503" s="29">
        <v>0.5</v>
      </c>
    </row>
    <row r="12504" spans="19:20" x14ac:dyDescent="0.25">
      <c r="S12504" s="78">
        <v>39891</v>
      </c>
      <c r="T12504" s="29">
        <v>0.5</v>
      </c>
    </row>
    <row r="12505" spans="19:20" x14ac:dyDescent="0.25">
      <c r="S12505" s="78">
        <v>39892</v>
      </c>
      <c r="T12505" s="29">
        <v>0.5</v>
      </c>
    </row>
    <row r="12506" spans="19:20" x14ac:dyDescent="0.25">
      <c r="S12506" s="78">
        <v>39893</v>
      </c>
      <c r="T12506" s="29">
        <v>0.5</v>
      </c>
    </row>
    <row r="12507" spans="19:20" x14ac:dyDescent="0.25">
      <c r="S12507" s="78">
        <v>39894</v>
      </c>
      <c r="T12507" s="29">
        <v>0.5</v>
      </c>
    </row>
    <row r="12508" spans="19:20" x14ac:dyDescent="0.25">
      <c r="S12508" s="78">
        <v>39895</v>
      </c>
      <c r="T12508" s="29">
        <v>0.5</v>
      </c>
    </row>
    <row r="12509" spans="19:20" x14ac:dyDescent="0.25">
      <c r="S12509" s="78">
        <v>39896</v>
      </c>
      <c r="T12509" s="29">
        <v>0.5</v>
      </c>
    </row>
    <row r="12510" spans="19:20" x14ac:dyDescent="0.25">
      <c r="S12510" s="78">
        <v>39897</v>
      </c>
      <c r="T12510" s="29">
        <v>0.5</v>
      </c>
    </row>
    <row r="12511" spans="19:20" x14ac:dyDescent="0.25">
      <c r="S12511" s="78">
        <v>39898</v>
      </c>
      <c r="T12511" s="29">
        <v>0.5</v>
      </c>
    </row>
    <row r="12512" spans="19:20" x14ac:dyDescent="0.25">
      <c r="S12512" s="78">
        <v>39899</v>
      </c>
      <c r="T12512" s="29">
        <v>0.5</v>
      </c>
    </row>
    <row r="12513" spans="19:21" x14ac:dyDescent="0.25">
      <c r="S12513" s="78">
        <v>39900</v>
      </c>
      <c r="T12513" s="29">
        <v>0.5</v>
      </c>
    </row>
    <row r="12514" spans="19:21" x14ac:dyDescent="0.25">
      <c r="S12514" s="78">
        <v>39901</v>
      </c>
      <c r="T12514" s="29">
        <v>0.5</v>
      </c>
    </row>
    <row r="12515" spans="19:21" x14ac:dyDescent="0.25">
      <c r="S12515" s="78">
        <v>39902</v>
      </c>
      <c r="T12515" s="29">
        <v>0.5</v>
      </c>
    </row>
    <row r="12516" spans="19:21" x14ac:dyDescent="0.25">
      <c r="S12516" s="78">
        <v>39903</v>
      </c>
      <c r="T12516" s="29">
        <v>0.5</v>
      </c>
      <c r="U12516" s="39">
        <f>AVERAGE(T12427:T12516)</f>
        <v>1.0833333333333333</v>
      </c>
    </row>
    <row r="12517" spans="19:21" x14ac:dyDescent="0.25">
      <c r="S12517" s="78">
        <v>39904</v>
      </c>
      <c r="T12517" s="29">
        <v>0.5</v>
      </c>
    </row>
    <row r="12518" spans="19:21" x14ac:dyDescent="0.25">
      <c r="S12518" s="78">
        <v>39905</v>
      </c>
      <c r="T12518" s="29">
        <v>0.5</v>
      </c>
    </row>
    <row r="12519" spans="19:21" x14ac:dyDescent="0.25">
      <c r="S12519" s="78">
        <v>39906</v>
      </c>
      <c r="T12519" s="29">
        <v>0.5</v>
      </c>
    </row>
    <row r="12520" spans="19:21" x14ac:dyDescent="0.25">
      <c r="S12520" s="78">
        <v>39907</v>
      </c>
      <c r="T12520" s="29">
        <v>0.5</v>
      </c>
    </row>
    <row r="12521" spans="19:21" x14ac:dyDescent="0.25">
      <c r="S12521" s="78">
        <v>39908</v>
      </c>
      <c r="T12521" s="29">
        <v>0.5</v>
      </c>
    </row>
    <row r="12522" spans="19:21" x14ac:dyDescent="0.25">
      <c r="S12522" s="78">
        <v>39909</v>
      </c>
      <c r="T12522" s="29">
        <v>0.5</v>
      </c>
    </row>
    <row r="12523" spans="19:21" x14ac:dyDescent="0.25">
      <c r="S12523" s="78">
        <v>39910</v>
      </c>
      <c r="T12523" s="29">
        <v>0.5</v>
      </c>
    </row>
    <row r="12524" spans="19:21" x14ac:dyDescent="0.25">
      <c r="S12524" s="78">
        <v>39911</v>
      </c>
      <c r="T12524" s="29">
        <v>0.5</v>
      </c>
    </row>
    <row r="12525" spans="19:21" x14ac:dyDescent="0.25">
      <c r="S12525" s="78">
        <v>39912</v>
      </c>
      <c r="T12525" s="29">
        <v>0.5</v>
      </c>
    </row>
    <row r="12526" spans="19:21" x14ac:dyDescent="0.25">
      <c r="S12526" s="78">
        <v>39913</v>
      </c>
      <c r="T12526" s="29">
        <v>0.5</v>
      </c>
    </row>
    <row r="12527" spans="19:21" x14ac:dyDescent="0.25">
      <c r="S12527" s="78">
        <v>39914</v>
      </c>
      <c r="T12527" s="29">
        <v>0.5</v>
      </c>
    </row>
    <row r="12528" spans="19:21" x14ac:dyDescent="0.25">
      <c r="S12528" s="78">
        <v>39915</v>
      </c>
      <c r="T12528" s="29">
        <v>0.5</v>
      </c>
    </row>
    <row r="12529" spans="19:20" x14ac:dyDescent="0.25">
      <c r="S12529" s="78">
        <v>39916</v>
      </c>
      <c r="T12529" s="29">
        <v>0.5</v>
      </c>
    </row>
    <row r="12530" spans="19:20" x14ac:dyDescent="0.25">
      <c r="S12530" s="78">
        <v>39917</v>
      </c>
      <c r="T12530" s="29">
        <v>0.5</v>
      </c>
    </row>
    <row r="12531" spans="19:20" x14ac:dyDescent="0.25">
      <c r="S12531" s="78">
        <v>39918</v>
      </c>
      <c r="T12531" s="29">
        <v>0.5</v>
      </c>
    </row>
    <row r="12532" spans="19:20" x14ac:dyDescent="0.25">
      <c r="S12532" s="78">
        <v>39919</v>
      </c>
      <c r="T12532" s="29">
        <v>0.5</v>
      </c>
    </row>
    <row r="12533" spans="19:20" x14ac:dyDescent="0.25">
      <c r="S12533" s="78">
        <v>39920</v>
      </c>
      <c r="T12533" s="29">
        <v>0.5</v>
      </c>
    </row>
    <row r="12534" spans="19:20" x14ac:dyDescent="0.25">
      <c r="S12534" s="78">
        <v>39921</v>
      </c>
      <c r="T12534" s="29">
        <v>0.5</v>
      </c>
    </row>
    <row r="12535" spans="19:20" x14ac:dyDescent="0.25">
      <c r="S12535" s="78">
        <v>39922</v>
      </c>
      <c r="T12535" s="29">
        <v>0.5</v>
      </c>
    </row>
    <row r="12536" spans="19:20" x14ac:dyDescent="0.25">
      <c r="S12536" s="78">
        <v>39923</v>
      </c>
      <c r="T12536" s="29">
        <v>0.5</v>
      </c>
    </row>
    <row r="12537" spans="19:20" x14ac:dyDescent="0.25">
      <c r="S12537" s="78">
        <v>39924</v>
      </c>
      <c r="T12537" s="29">
        <v>0.5</v>
      </c>
    </row>
    <row r="12538" spans="19:20" x14ac:dyDescent="0.25">
      <c r="S12538" s="78">
        <v>39925</v>
      </c>
      <c r="T12538" s="29">
        <v>0.5</v>
      </c>
    </row>
    <row r="12539" spans="19:20" x14ac:dyDescent="0.25">
      <c r="S12539" s="78">
        <v>39926</v>
      </c>
      <c r="T12539" s="29">
        <v>0.5</v>
      </c>
    </row>
    <row r="12540" spans="19:20" x14ac:dyDescent="0.25">
      <c r="S12540" s="78">
        <v>39927</v>
      </c>
      <c r="T12540" s="29">
        <v>0.5</v>
      </c>
    </row>
    <row r="12541" spans="19:20" x14ac:dyDescent="0.25">
      <c r="S12541" s="78">
        <v>39928</v>
      </c>
      <c r="T12541" s="29">
        <v>0.5</v>
      </c>
    </row>
    <row r="12542" spans="19:20" x14ac:dyDescent="0.25">
      <c r="S12542" s="78">
        <v>39929</v>
      </c>
      <c r="T12542" s="29">
        <v>0.5</v>
      </c>
    </row>
    <row r="12543" spans="19:20" x14ac:dyDescent="0.25">
      <c r="S12543" s="78">
        <v>39930</v>
      </c>
      <c r="T12543" s="29">
        <v>0.5</v>
      </c>
    </row>
    <row r="12544" spans="19:20" x14ac:dyDescent="0.25">
      <c r="S12544" s="78">
        <v>39931</v>
      </c>
      <c r="T12544" s="29">
        <v>0.5</v>
      </c>
    </row>
    <row r="12545" spans="19:20" x14ac:dyDescent="0.25">
      <c r="S12545" s="78">
        <v>39932</v>
      </c>
      <c r="T12545" s="29">
        <v>0.5</v>
      </c>
    </row>
    <row r="12546" spans="19:20" x14ac:dyDescent="0.25">
      <c r="S12546" s="78">
        <v>39933</v>
      </c>
      <c r="T12546" s="29">
        <v>0.5</v>
      </c>
    </row>
    <row r="12547" spans="19:20" x14ac:dyDescent="0.25">
      <c r="S12547" s="78">
        <v>39934</v>
      </c>
      <c r="T12547" s="29">
        <v>0.5</v>
      </c>
    </row>
    <row r="12548" spans="19:20" x14ac:dyDescent="0.25">
      <c r="S12548" s="78">
        <v>39935</v>
      </c>
      <c r="T12548" s="29">
        <v>0.5</v>
      </c>
    </row>
    <row r="12549" spans="19:20" x14ac:dyDescent="0.25">
      <c r="S12549" s="78">
        <v>39936</v>
      </c>
      <c r="T12549" s="29">
        <v>0.5</v>
      </c>
    </row>
    <row r="12550" spans="19:20" x14ac:dyDescent="0.25">
      <c r="S12550" s="78">
        <v>39937</v>
      </c>
      <c r="T12550" s="29">
        <v>0.5</v>
      </c>
    </row>
    <row r="12551" spans="19:20" x14ac:dyDescent="0.25">
      <c r="S12551" s="78">
        <v>39938</v>
      </c>
      <c r="T12551" s="29">
        <v>0.5</v>
      </c>
    </row>
    <row r="12552" spans="19:20" x14ac:dyDescent="0.25">
      <c r="S12552" s="78">
        <v>39939</v>
      </c>
      <c r="T12552" s="29">
        <v>0.5</v>
      </c>
    </row>
    <row r="12553" spans="19:20" x14ac:dyDescent="0.25">
      <c r="S12553" s="78">
        <v>39940</v>
      </c>
      <c r="T12553" s="29">
        <v>0.5</v>
      </c>
    </row>
    <row r="12554" spans="19:20" x14ac:dyDescent="0.25">
      <c r="S12554" s="78">
        <v>39941</v>
      </c>
      <c r="T12554" s="29">
        <v>0.5</v>
      </c>
    </row>
    <row r="12555" spans="19:20" x14ac:dyDescent="0.25">
      <c r="S12555" s="78">
        <v>39942</v>
      </c>
      <c r="T12555" s="29">
        <v>0.5</v>
      </c>
    </row>
    <row r="12556" spans="19:20" x14ac:dyDescent="0.25">
      <c r="S12556" s="78">
        <v>39943</v>
      </c>
      <c r="T12556" s="29">
        <v>0.5</v>
      </c>
    </row>
    <row r="12557" spans="19:20" x14ac:dyDescent="0.25">
      <c r="S12557" s="78">
        <v>39944</v>
      </c>
      <c r="T12557" s="29">
        <v>0.5</v>
      </c>
    </row>
    <row r="12558" spans="19:20" x14ac:dyDescent="0.25">
      <c r="S12558" s="78">
        <v>39945</v>
      </c>
      <c r="T12558" s="29">
        <v>0.5</v>
      </c>
    </row>
    <row r="12559" spans="19:20" x14ac:dyDescent="0.25">
      <c r="S12559" s="78">
        <v>39946</v>
      </c>
      <c r="T12559" s="29">
        <v>0.5</v>
      </c>
    </row>
    <row r="12560" spans="19:20" x14ac:dyDescent="0.25">
      <c r="S12560" s="78">
        <v>39947</v>
      </c>
      <c r="T12560" s="29">
        <v>0.5</v>
      </c>
    </row>
    <row r="12561" spans="19:20" x14ac:dyDescent="0.25">
      <c r="S12561" s="78">
        <v>39948</v>
      </c>
      <c r="T12561" s="29">
        <v>0.5</v>
      </c>
    </row>
    <row r="12562" spans="19:20" x14ac:dyDescent="0.25">
      <c r="S12562" s="78">
        <v>39949</v>
      </c>
      <c r="T12562" s="29">
        <v>0.5</v>
      </c>
    </row>
    <row r="12563" spans="19:20" x14ac:dyDescent="0.25">
      <c r="S12563" s="78">
        <v>39950</v>
      </c>
      <c r="T12563" s="29">
        <v>0.5</v>
      </c>
    </row>
    <row r="12564" spans="19:20" x14ac:dyDescent="0.25">
      <c r="S12564" s="78">
        <v>39951</v>
      </c>
      <c r="T12564" s="29">
        <v>0.5</v>
      </c>
    </row>
    <row r="12565" spans="19:20" x14ac:dyDescent="0.25">
      <c r="S12565" s="78">
        <v>39952</v>
      </c>
      <c r="T12565" s="29">
        <v>0.5</v>
      </c>
    </row>
    <row r="12566" spans="19:20" x14ac:dyDescent="0.25">
      <c r="S12566" s="78">
        <v>39953</v>
      </c>
      <c r="T12566" s="29">
        <v>0.5</v>
      </c>
    </row>
    <row r="12567" spans="19:20" x14ac:dyDescent="0.25">
      <c r="S12567" s="78">
        <v>39954</v>
      </c>
      <c r="T12567" s="29">
        <v>0.5</v>
      </c>
    </row>
    <row r="12568" spans="19:20" x14ac:dyDescent="0.25">
      <c r="S12568" s="78">
        <v>39955</v>
      </c>
      <c r="T12568" s="29">
        <v>0.5</v>
      </c>
    </row>
    <row r="12569" spans="19:20" x14ac:dyDescent="0.25">
      <c r="S12569" s="78">
        <v>39956</v>
      </c>
      <c r="T12569" s="29">
        <v>0.5</v>
      </c>
    </row>
    <row r="12570" spans="19:20" x14ac:dyDescent="0.25">
      <c r="S12570" s="78">
        <v>39957</v>
      </c>
      <c r="T12570" s="29">
        <v>0.5</v>
      </c>
    </row>
    <row r="12571" spans="19:20" x14ac:dyDescent="0.25">
      <c r="S12571" s="78">
        <v>39958</v>
      </c>
      <c r="T12571" s="29">
        <v>0.5</v>
      </c>
    </row>
    <row r="12572" spans="19:20" x14ac:dyDescent="0.25">
      <c r="S12572" s="78">
        <v>39959</v>
      </c>
      <c r="T12572" s="29">
        <v>0.5</v>
      </c>
    </row>
    <row r="12573" spans="19:20" x14ac:dyDescent="0.25">
      <c r="S12573" s="78">
        <v>39960</v>
      </c>
      <c r="T12573" s="29">
        <v>0.5</v>
      </c>
    </row>
    <row r="12574" spans="19:20" x14ac:dyDescent="0.25">
      <c r="S12574" s="78">
        <v>39961</v>
      </c>
      <c r="T12574" s="29">
        <v>0.5</v>
      </c>
    </row>
    <row r="12575" spans="19:20" x14ac:dyDescent="0.25">
      <c r="S12575" s="78">
        <v>39962</v>
      </c>
      <c r="T12575" s="29">
        <v>0.5</v>
      </c>
    </row>
    <row r="12576" spans="19:20" x14ac:dyDescent="0.25">
      <c r="S12576" s="78">
        <v>39963</v>
      </c>
      <c r="T12576" s="29">
        <v>0.5</v>
      </c>
    </row>
    <row r="12577" spans="19:20" x14ac:dyDescent="0.25">
      <c r="S12577" s="78">
        <v>39964</v>
      </c>
      <c r="T12577" s="29">
        <v>0.5</v>
      </c>
    </row>
    <row r="12578" spans="19:20" x14ac:dyDescent="0.25">
      <c r="S12578" s="78">
        <v>39965</v>
      </c>
      <c r="T12578" s="29">
        <v>0.5</v>
      </c>
    </row>
    <row r="12579" spans="19:20" x14ac:dyDescent="0.25">
      <c r="S12579" s="78">
        <v>39966</v>
      </c>
      <c r="T12579" s="29">
        <v>0.5</v>
      </c>
    </row>
    <row r="12580" spans="19:20" x14ac:dyDescent="0.25">
      <c r="S12580" s="78">
        <v>39967</v>
      </c>
      <c r="T12580" s="29">
        <v>0.5</v>
      </c>
    </row>
    <row r="12581" spans="19:20" x14ac:dyDescent="0.25">
      <c r="S12581" s="78">
        <v>39968</v>
      </c>
      <c r="T12581" s="29">
        <v>0.5</v>
      </c>
    </row>
    <row r="12582" spans="19:20" x14ac:dyDescent="0.25">
      <c r="S12582" s="78">
        <v>39969</v>
      </c>
      <c r="T12582" s="29">
        <v>0.5</v>
      </c>
    </row>
    <row r="12583" spans="19:20" x14ac:dyDescent="0.25">
      <c r="S12583" s="78">
        <v>39970</v>
      </c>
      <c r="T12583" s="29">
        <v>0.5</v>
      </c>
    </row>
    <row r="12584" spans="19:20" x14ac:dyDescent="0.25">
      <c r="S12584" s="78">
        <v>39971</v>
      </c>
      <c r="T12584" s="29">
        <v>0.5</v>
      </c>
    </row>
    <row r="12585" spans="19:20" x14ac:dyDescent="0.25">
      <c r="S12585" s="78">
        <v>39972</v>
      </c>
      <c r="T12585" s="29">
        <v>0.5</v>
      </c>
    </row>
    <row r="12586" spans="19:20" x14ac:dyDescent="0.25">
      <c r="S12586" s="78">
        <v>39973</v>
      </c>
      <c r="T12586" s="29">
        <v>0.5</v>
      </c>
    </row>
    <row r="12587" spans="19:20" x14ac:dyDescent="0.25">
      <c r="S12587" s="78">
        <v>39974</v>
      </c>
      <c r="T12587" s="29">
        <v>0.5</v>
      </c>
    </row>
    <row r="12588" spans="19:20" x14ac:dyDescent="0.25">
      <c r="S12588" s="78">
        <v>39975</v>
      </c>
      <c r="T12588" s="29">
        <v>0.5</v>
      </c>
    </row>
    <row r="12589" spans="19:20" x14ac:dyDescent="0.25">
      <c r="S12589" s="78">
        <v>39976</v>
      </c>
      <c r="T12589" s="29">
        <v>0.5</v>
      </c>
    </row>
    <row r="12590" spans="19:20" x14ac:dyDescent="0.25">
      <c r="S12590" s="78">
        <v>39977</v>
      </c>
      <c r="T12590" s="29">
        <v>0.5</v>
      </c>
    </row>
    <row r="12591" spans="19:20" x14ac:dyDescent="0.25">
      <c r="S12591" s="78">
        <v>39978</v>
      </c>
      <c r="T12591" s="29">
        <v>0.5</v>
      </c>
    </row>
    <row r="12592" spans="19:20" x14ac:dyDescent="0.25">
      <c r="S12592" s="78">
        <v>39979</v>
      </c>
      <c r="T12592" s="29">
        <v>0.5</v>
      </c>
    </row>
    <row r="12593" spans="19:21" x14ac:dyDescent="0.25">
      <c r="S12593" s="78">
        <v>39980</v>
      </c>
      <c r="T12593" s="29">
        <v>0.5</v>
      </c>
    </row>
    <row r="12594" spans="19:21" x14ac:dyDescent="0.25">
      <c r="S12594" s="78">
        <v>39981</v>
      </c>
      <c r="T12594" s="29">
        <v>0.5</v>
      </c>
    </row>
    <row r="12595" spans="19:21" x14ac:dyDescent="0.25">
      <c r="S12595" s="78">
        <v>39982</v>
      </c>
      <c r="T12595" s="29">
        <v>0.5</v>
      </c>
    </row>
    <row r="12596" spans="19:21" x14ac:dyDescent="0.25">
      <c r="S12596" s="78">
        <v>39983</v>
      </c>
      <c r="T12596" s="29">
        <v>0.5</v>
      </c>
    </row>
    <row r="12597" spans="19:21" x14ac:dyDescent="0.25">
      <c r="S12597" s="78">
        <v>39984</v>
      </c>
      <c r="T12597" s="29">
        <v>0.5</v>
      </c>
    </row>
    <row r="12598" spans="19:21" x14ac:dyDescent="0.25">
      <c r="S12598" s="78">
        <v>39985</v>
      </c>
      <c r="T12598" s="29">
        <v>0.5</v>
      </c>
    </row>
    <row r="12599" spans="19:21" x14ac:dyDescent="0.25">
      <c r="S12599" s="78">
        <v>39986</v>
      </c>
      <c r="T12599" s="29">
        <v>0.5</v>
      </c>
    </row>
    <row r="12600" spans="19:21" x14ac:dyDescent="0.25">
      <c r="S12600" s="78">
        <v>39987</v>
      </c>
      <c r="T12600" s="29">
        <v>0.5</v>
      </c>
    </row>
    <row r="12601" spans="19:21" x14ac:dyDescent="0.25">
      <c r="S12601" s="78">
        <v>39988</v>
      </c>
      <c r="T12601" s="29">
        <v>0.5</v>
      </c>
    </row>
    <row r="12602" spans="19:21" x14ac:dyDescent="0.25">
      <c r="S12602" s="78">
        <v>39989</v>
      </c>
      <c r="T12602" s="29">
        <v>0.5</v>
      </c>
    </row>
    <row r="12603" spans="19:21" x14ac:dyDescent="0.25">
      <c r="S12603" s="78">
        <v>39990</v>
      </c>
      <c r="T12603" s="29">
        <v>0.5</v>
      </c>
    </row>
    <row r="12604" spans="19:21" x14ac:dyDescent="0.25">
      <c r="S12604" s="78">
        <v>39991</v>
      </c>
      <c r="T12604" s="29">
        <v>0.5</v>
      </c>
    </row>
    <row r="12605" spans="19:21" x14ac:dyDescent="0.25">
      <c r="S12605" s="78">
        <v>39992</v>
      </c>
      <c r="T12605" s="29">
        <v>0.5</v>
      </c>
    </row>
    <row r="12606" spans="19:21" x14ac:dyDescent="0.25">
      <c r="S12606" s="78">
        <v>39993</v>
      </c>
      <c r="T12606" s="29">
        <v>0.5</v>
      </c>
    </row>
    <row r="12607" spans="19:21" x14ac:dyDescent="0.25">
      <c r="S12607" s="78">
        <v>39994</v>
      </c>
      <c r="T12607" s="29">
        <v>0.5</v>
      </c>
      <c r="U12607" s="40">
        <f>AVERAGE(T12517:T12607)</f>
        <v>0.5</v>
      </c>
    </row>
    <row r="12608" spans="19:21" x14ac:dyDescent="0.25">
      <c r="S12608" s="78">
        <v>39995</v>
      </c>
      <c r="T12608" s="29">
        <v>0.5</v>
      </c>
    </row>
    <row r="12609" spans="19:20" x14ac:dyDescent="0.25">
      <c r="S12609" s="78">
        <v>39996</v>
      </c>
      <c r="T12609" s="29">
        <v>0.5</v>
      </c>
    </row>
    <row r="12610" spans="19:20" x14ac:dyDescent="0.25">
      <c r="S12610" s="78">
        <v>39997</v>
      </c>
      <c r="T12610" s="29">
        <v>0.5</v>
      </c>
    </row>
    <row r="12611" spans="19:20" x14ac:dyDescent="0.25">
      <c r="S12611" s="78">
        <v>39998</v>
      </c>
      <c r="T12611" s="29">
        <v>0.5</v>
      </c>
    </row>
    <row r="12612" spans="19:20" x14ac:dyDescent="0.25">
      <c r="S12612" s="78">
        <v>39999</v>
      </c>
      <c r="T12612" s="29">
        <v>0.5</v>
      </c>
    </row>
    <row r="12613" spans="19:20" x14ac:dyDescent="0.25">
      <c r="S12613" s="78">
        <v>40000</v>
      </c>
      <c r="T12613" s="29">
        <v>0.5</v>
      </c>
    </row>
    <row r="12614" spans="19:20" x14ac:dyDescent="0.25">
      <c r="S12614" s="78">
        <v>40001</v>
      </c>
      <c r="T12614" s="29">
        <v>0.5</v>
      </c>
    </row>
    <row r="12615" spans="19:20" x14ac:dyDescent="0.25">
      <c r="S12615" s="78">
        <v>40002</v>
      </c>
      <c r="T12615" s="29">
        <v>0.5</v>
      </c>
    </row>
    <row r="12616" spans="19:20" x14ac:dyDescent="0.25">
      <c r="S12616" s="78">
        <v>40003</v>
      </c>
      <c r="T12616" s="29">
        <v>0.5</v>
      </c>
    </row>
    <row r="12617" spans="19:20" x14ac:dyDescent="0.25">
      <c r="S12617" s="78">
        <v>40004</v>
      </c>
      <c r="T12617" s="29">
        <v>0.5</v>
      </c>
    </row>
    <row r="12618" spans="19:20" x14ac:dyDescent="0.25">
      <c r="S12618" s="78">
        <v>40005</v>
      </c>
      <c r="T12618" s="29">
        <v>0.5</v>
      </c>
    </row>
    <row r="12619" spans="19:20" x14ac:dyDescent="0.25">
      <c r="S12619" s="78">
        <v>40006</v>
      </c>
      <c r="T12619" s="29">
        <v>0.5</v>
      </c>
    </row>
    <row r="12620" spans="19:20" x14ac:dyDescent="0.25">
      <c r="S12620" s="78">
        <v>40007</v>
      </c>
      <c r="T12620" s="29">
        <v>0.5</v>
      </c>
    </row>
    <row r="12621" spans="19:20" x14ac:dyDescent="0.25">
      <c r="S12621" s="78">
        <v>40008</v>
      </c>
      <c r="T12621" s="29">
        <v>0.5</v>
      </c>
    </row>
    <row r="12622" spans="19:20" x14ac:dyDescent="0.25">
      <c r="S12622" s="78">
        <v>40009</v>
      </c>
      <c r="T12622" s="29">
        <v>0.5</v>
      </c>
    </row>
    <row r="12623" spans="19:20" x14ac:dyDescent="0.25">
      <c r="S12623" s="78">
        <v>40010</v>
      </c>
      <c r="T12623" s="29">
        <v>0.5</v>
      </c>
    </row>
    <row r="12624" spans="19:20" x14ac:dyDescent="0.25">
      <c r="S12624" s="78">
        <v>40011</v>
      </c>
      <c r="T12624" s="29">
        <v>0.5</v>
      </c>
    </row>
    <row r="12625" spans="19:20" x14ac:dyDescent="0.25">
      <c r="S12625" s="78">
        <v>40012</v>
      </c>
      <c r="T12625" s="29">
        <v>0.5</v>
      </c>
    </row>
    <row r="12626" spans="19:20" x14ac:dyDescent="0.25">
      <c r="S12626" s="78">
        <v>40013</v>
      </c>
      <c r="T12626" s="29">
        <v>0.5</v>
      </c>
    </row>
    <row r="12627" spans="19:20" x14ac:dyDescent="0.25">
      <c r="S12627" s="78">
        <v>40014</v>
      </c>
      <c r="T12627" s="29">
        <v>0.5</v>
      </c>
    </row>
    <row r="12628" spans="19:20" x14ac:dyDescent="0.25">
      <c r="S12628" s="78">
        <v>40015</v>
      </c>
      <c r="T12628" s="29">
        <v>0.5</v>
      </c>
    </row>
    <row r="12629" spans="19:20" x14ac:dyDescent="0.25">
      <c r="S12629" s="78">
        <v>40016</v>
      </c>
      <c r="T12629" s="29">
        <v>0.5</v>
      </c>
    </row>
    <row r="12630" spans="19:20" x14ac:dyDescent="0.25">
      <c r="S12630" s="78">
        <v>40017</v>
      </c>
      <c r="T12630" s="29">
        <v>0.5</v>
      </c>
    </row>
    <row r="12631" spans="19:20" x14ac:dyDescent="0.25">
      <c r="S12631" s="78">
        <v>40018</v>
      </c>
      <c r="T12631" s="29">
        <v>0.5</v>
      </c>
    </row>
    <row r="12632" spans="19:20" x14ac:dyDescent="0.25">
      <c r="S12632" s="78">
        <v>40019</v>
      </c>
      <c r="T12632" s="29">
        <v>0.5</v>
      </c>
    </row>
    <row r="12633" spans="19:20" x14ac:dyDescent="0.25">
      <c r="S12633" s="78">
        <v>40020</v>
      </c>
      <c r="T12633" s="29">
        <v>0.5</v>
      </c>
    </row>
    <row r="12634" spans="19:20" x14ac:dyDescent="0.25">
      <c r="S12634" s="78">
        <v>40021</v>
      </c>
      <c r="T12634" s="29">
        <v>0.5</v>
      </c>
    </row>
    <row r="12635" spans="19:20" x14ac:dyDescent="0.25">
      <c r="S12635" s="78">
        <v>40022</v>
      </c>
      <c r="T12635" s="29">
        <v>0.5</v>
      </c>
    </row>
    <row r="12636" spans="19:20" x14ac:dyDescent="0.25">
      <c r="S12636" s="78">
        <v>40023</v>
      </c>
      <c r="T12636" s="29">
        <v>0.5</v>
      </c>
    </row>
    <row r="12637" spans="19:20" x14ac:dyDescent="0.25">
      <c r="S12637" s="78">
        <v>40024</v>
      </c>
      <c r="T12637" s="29">
        <v>0.5</v>
      </c>
    </row>
    <row r="12638" spans="19:20" x14ac:dyDescent="0.25">
      <c r="S12638" s="78">
        <v>40025</v>
      </c>
      <c r="T12638" s="29">
        <v>0.5</v>
      </c>
    </row>
    <row r="12639" spans="19:20" x14ac:dyDescent="0.25">
      <c r="S12639" s="78">
        <v>40026</v>
      </c>
      <c r="T12639" s="29">
        <v>0.5</v>
      </c>
    </row>
    <row r="12640" spans="19:20" x14ac:dyDescent="0.25">
      <c r="S12640" s="78">
        <v>40027</v>
      </c>
      <c r="T12640" s="29">
        <v>0.5</v>
      </c>
    </row>
    <row r="12641" spans="19:20" x14ac:dyDescent="0.25">
      <c r="S12641" s="78">
        <v>40028</v>
      </c>
      <c r="T12641" s="29">
        <v>0.5</v>
      </c>
    </row>
    <row r="12642" spans="19:20" x14ac:dyDescent="0.25">
      <c r="S12642" s="78">
        <v>40029</v>
      </c>
      <c r="T12642" s="29">
        <v>0.5</v>
      </c>
    </row>
    <row r="12643" spans="19:20" x14ac:dyDescent="0.25">
      <c r="S12643" s="78">
        <v>40030</v>
      </c>
      <c r="T12643" s="29">
        <v>0.5</v>
      </c>
    </row>
    <row r="12644" spans="19:20" x14ac:dyDescent="0.25">
      <c r="S12644" s="78">
        <v>40031</v>
      </c>
      <c r="T12644" s="29">
        <v>0.5</v>
      </c>
    </row>
    <row r="12645" spans="19:20" x14ac:dyDescent="0.25">
      <c r="S12645" s="78">
        <v>40032</v>
      </c>
      <c r="T12645" s="29">
        <v>0.5</v>
      </c>
    </row>
    <row r="12646" spans="19:20" x14ac:dyDescent="0.25">
      <c r="S12646" s="78">
        <v>40033</v>
      </c>
      <c r="T12646" s="29">
        <v>0.5</v>
      </c>
    </row>
    <row r="12647" spans="19:20" x14ac:dyDescent="0.25">
      <c r="S12647" s="78">
        <v>40034</v>
      </c>
      <c r="T12647" s="29">
        <v>0.5</v>
      </c>
    </row>
    <row r="12648" spans="19:20" x14ac:dyDescent="0.25">
      <c r="S12648" s="78">
        <v>40035</v>
      </c>
      <c r="T12648" s="29">
        <v>0.5</v>
      </c>
    </row>
    <row r="12649" spans="19:20" x14ac:dyDescent="0.25">
      <c r="S12649" s="78">
        <v>40036</v>
      </c>
      <c r="T12649" s="29">
        <v>0.5</v>
      </c>
    </row>
    <row r="12650" spans="19:20" x14ac:dyDescent="0.25">
      <c r="S12650" s="78">
        <v>40037</v>
      </c>
      <c r="T12650" s="29">
        <v>0.5</v>
      </c>
    </row>
    <row r="12651" spans="19:20" x14ac:dyDescent="0.25">
      <c r="S12651" s="78">
        <v>40038</v>
      </c>
      <c r="T12651" s="29">
        <v>0.5</v>
      </c>
    </row>
    <row r="12652" spans="19:20" x14ac:dyDescent="0.25">
      <c r="S12652" s="78">
        <v>40039</v>
      </c>
      <c r="T12652" s="29">
        <v>0.5</v>
      </c>
    </row>
    <row r="12653" spans="19:20" x14ac:dyDescent="0.25">
      <c r="S12653" s="78">
        <v>40040</v>
      </c>
      <c r="T12653" s="29">
        <v>0.5</v>
      </c>
    </row>
    <row r="12654" spans="19:20" x14ac:dyDescent="0.25">
      <c r="S12654" s="78">
        <v>40041</v>
      </c>
      <c r="T12654" s="29">
        <v>0.5</v>
      </c>
    </row>
    <row r="12655" spans="19:20" x14ac:dyDescent="0.25">
      <c r="S12655" s="78">
        <v>40042</v>
      </c>
      <c r="T12655" s="29">
        <v>0.5</v>
      </c>
    </row>
    <row r="12656" spans="19:20" x14ac:dyDescent="0.25">
      <c r="S12656" s="78">
        <v>40043</v>
      </c>
      <c r="T12656" s="29">
        <v>0.5</v>
      </c>
    </row>
    <row r="12657" spans="19:20" x14ac:dyDescent="0.25">
      <c r="S12657" s="78">
        <v>40044</v>
      </c>
      <c r="T12657" s="29">
        <v>0.5</v>
      </c>
    </row>
    <row r="12658" spans="19:20" x14ac:dyDescent="0.25">
      <c r="S12658" s="78">
        <v>40045</v>
      </c>
      <c r="T12658" s="29">
        <v>0.5</v>
      </c>
    </row>
    <row r="12659" spans="19:20" x14ac:dyDescent="0.25">
      <c r="S12659" s="78">
        <v>40046</v>
      </c>
      <c r="T12659" s="29">
        <v>0.5</v>
      </c>
    </row>
    <row r="12660" spans="19:20" x14ac:dyDescent="0.25">
      <c r="S12660" s="78">
        <v>40047</v>
      </c>
      <c r="T12660" s="29">
        <v>0.5</v>
      </c>
    </row>
    <row r="12661" spans="19:20" x14ac:dyDescent="0.25">
      <c r="S12661" s="78">
        <v>40048</v>
      </c>
      <c r="T12661" s="29">
        <v>0.5</v>
      </c>
    </row>
    <row r="12662" spans="19:20" x14ac:dyDescent="0.25">
      <c r="S12662" s="78">
        <v>40049</v>
      </c>
      <c r="T12662" s="29">
        <v>0.5</v>
      </c>
    </row>
    <row r="12663" spans="19:20" x14ac:dyDescent="0.25">
      <c r="S12663" s="78">
        <v>40050</v>
      </c>
      <c r="T12663" s="29">
        <v>0.5</v>
      </c>
    </row>
    <row r="12664" spans="19:20" x14ac:dyDescent="0.25">
      <c r="S12664" s="78">
        <v>40051</v>
      </c>
      <c r="T12664" s="29">
        <v>0.5</v>
      </c>
    </row>
    <row r="12665" spans="19:20" x14ac:dyDescent="0.25">
      <c r="S12665" s="78">
        <v>40052</v>
      </c>
      <c r="T12665" s="29">
        <v>0.5</v>
      </c>
    </row>
    <row r="12666" spans="19:20" x14ac:dyDescent="0.25">
      <c r="S12666" s="78">
        <v>40053</v>
      </c>
      <c r="T12666" s="29">
        <v>0.5</v>
      </c>
    </row>
    <row r="12667" spans="19:20" x14ac:dyDescent="0.25">
      <c r="S12667" s="78">
        <v>40054</v>
      </c>
      <c r="T12667" s="29">
        <v>0.5</v>
      </c>
    </row>
    <row r="12668" spans="19:20" x14ac:dyDescent="0.25">
      <c r="S12668" s="78">
        <v>40055</v>
      </c>
      <c r="T12668" s="29">
        <v>0.5</v>
      </c>
    </row>
    <row r="12669" spans="19:20" x14ac:dyDescent="0.25">
      <c r="S12669" s="78">
        <v>40056</v>
      </c>
      <c r="T12669" s="29">
        <v>0.5</v>
      </c>
    </row>
    <row r="12670" spans="19:20" x14ac:dyDescent="0.25">
      <c r="S12670" s="78">
        <v>40057</v>
      </c>
      <c r="T12670" s="29">
        <v>0.5</v>
      </c>
    </row>
    <row r="12671" spans="19:20" x14ac:dyDescent="0.25">
      <c r="S12671" s="78">
        <v>40058</v>
      </c>
      <c r="T12671" s="29">
        <v>0.5</v>
      </c>
    </row>
    <row r="12672" spans="19:20" x14ac:dyDescent="0.25">
      <c r="S12672" s="78">
        <v>40059</v>
      </c>
      <c r="T12672" s="29">
        <v>0.5</v>
      </c>
    </row>
    <row r="12673" spans="19:20" x14ac:dyDescent="0.25">
      <c r="S12673" s="78">
        <v>40060</v>
      </c>
      <c r="T12673" s="29">
        <v>0.5</v>
      </c>
    </row>
    <row r="12674" spans="19:20" x14ac:dyDescent="0.25">
      <c r="S12674" s="78">
        <v>40061</v>
      </c>
      <c r="T12674" s="29">
        <v>0.5</v>
      </c>
    </row>
    <row r="12675" spans="19:20" x14ac:dyDescent="0.25">
      <c r="S12675" s="78">
        <v>40062</v>
      </c>
      <c r="T12675" s="29">
        <v>0.5</v>
      </c>
    </row>
    <row r="12676" spans="19:20" x14ac:dyDescent="0.25">
      <c r="S12676" s="78">
        <v>40063</v>
      </c>
      <c r="T12676" s="29">
        <v>0.5</v>
      </c>
    </row>
    <row r="12677" spans="19:20" x14ac:dyDescent="0.25">
      <c r="S12677" s="78">
        <v>40064</v>
      </c>
      <c r="T12677" s="29">
        <v>0.5</v>
      </c>
    </row>
    <row r="12678" spans="19:20" x14ac:dyDescent="0.25">
      <c r="S12678" s="78">
        <v>40065</v>
      </c>
      <c r="T12678" s="29">
        <v>0.5</v>
      </c>
    </row>
    <row r="12679" spans="19:20" x14ac:dyDescent="0.25">
      <c r="S12679" s="78">
        <v>40066</v>
      </c>
      <c r="T12679" s="29">
        <v>0.5</v>
      </c>
    </row>
    <row r="12680" spans="19:20" x14ac:dyDescent="0.25">
      <c r="S12680" s="78">
        <v>40067</v>
      </c>
      <c r="T12680" s="29">
        <v>0.5</v>
      </c>
    </row>
    <row r="12681" spans="19:20" x14ac:dyDescent="0.25">
      <c r="S12681" s="78">
        <v>40068</v>
      </c>
      <c r="T12681" s="29">
        <v>0.5</v>
      </c>
    </row>
    <row r="12682" spans="19:20" x14ac:dyDescent="0.25">
      <c r="S12682" s="78">
        <v>40069</v>
      </c>
      <c r="T12682" s="29">
        <v>0.5</v>
      </c>
    </row>
    <row r="12683" spans="19:20" x14ac:dyDescent="0.25">
      <c r="S12683" s="78">
        <v>40070</v>
      </c>
      <c r="T12683" s="29">
        <v>0.5</v>
      </c>
    </row>
    <row r="12684" spans="19:20" x14ac:dyDescent="0.25">
      <c r="S12684" s="78">
        <v>40071</v>
      </c>
      <c r="T12684" s="29">
        <v>0.5</v>
      </c>
    </row>
    <row r="12685" spans="19:20" x14ac:dyDescent="0.25">
      <c r="S12685" s="78">
        <v>40072</v>
      </c>
      <c r="T12685" s="29">
        <v>0.5</v>
      </c>
    </row>
    <row r="12686" spans="19:20" x14ac:dyDescent="0.25">
      <c r="S12686" s="78">
        <v>40073</v>
      </c>
      <c r="T12686" s="29">
        <v>0.5</v>
      </c>
    </row>
    <row r="12687" spans="19:20" x14ac:dyDescent="0.25">
      <c r="S12687" s="78">
        <v>40074</v>
      </c>
      <c r="T12687" s="29">
        <v>0.5</v>
      </c>
    </row>
    <row r="12688" spans="19:20" x14ac:dyDescent="0.25">
      <c r="S12688" s="78">
        <v>40075</v>
      </c>
      <c r="T12688" s="29">
        <v>0.5</v>
      </c>
    </row>
    <row r="12689" spans="19:21" x14ac:dyDescent="0.25">
      <c r="S12689" s="78">
        <v>40076</v>
      </c>
      <c r="T12689" s="29">
        <v>0.5</v>
      </c>
    </row>
    <row r="12690" spans="19:21" x14ac:dyDescent="0.25">
      <c r="S12690" s="78">
        <v>40077</v>
      </c>
      <c r="T12690" s="29">
        <v>0.5</v>
      </c>
    </row>
    <row r="12691" spans="19:21" x14ac:dyDescent="0.25">
      <c r="S12691" s="78">
        <v>40078</v>
      </c>
      <c r="T12691" s="29">
        <v>0.5</v>
      </c>
    </row>
    <row r="12692" spans="19:21" x14ac:dyDescent="0.25">
      <c r="S12692" s="78">
        <v>40079</v>
      </c>
      <c r="T12692" s="29">
        <v>0.5</v>
      </c>
    </row>
    <row r="12693" spans="19:21" x14ac:dyDescent="0.25">
      <c r="S12693" s="78">
        <v>40080</v>
      </c>
      <c r="T12693" s="29">
        <v>0.5</v>
      </c>
    </row>
    <row r="12694" spans="19:21" x14ac:dyDescent="0.25">
      <c r="S12694" s="78">
        <v>40081</v>
      </c>
      <c r="T12694" s="29">
        <v>0.5</v>
      </c>
    </row>
    <row r="12695" spans="19:21" x14ac:dyDescent="0.25">
      <c r="S12695" s="78">
        <v>40082</v>
      </c>
      <c r="T12695" s="29">
        <v>0.5</v>
      </c>
    </row>
    <row r="12696" spans="19:21" x14ac:dyDescent="0.25">
      <c r="S12696" s="78">
        <v>40083</v>
      </c>
      <c r="T12696" s="29">
        <v>0.5</v>
      </c>
    </row>
    <row r="12697" spans="19:21" x14ac:dyDescent="0.25">
      <c r="S12697" s="78">
        <v>40084</v>
      </c>
      <c r="T12697" s="29">
        <v>0.5</v>
      </c>
    </row>
    <row r="12698" spans="19:21" x14ac:dyDescent="0.25">
      <c r="S12698" s="78">
        <v>40085</v>
      </c>
      <c r="T12698" s="29">
        <v>0.5</v>
      </c>
    </row>
    <row r="12699" spans="19:21" x14ac:dyDescent="0.25">
      <c r="S12699" s="78">
        <v>40086</v>
      </c>
      <c r="T12699" s="29">
        <v>0.5</v>
      </c>
      <c r="U12699" s="40">
        <f>AVERAGE(T12608:T12699)</f>
        <v>0.5</v>
      </c>
    </row>
    <row r="12700" spans="19:21" x14ac:dyDescent="0.25">
      <c r="S12700" s="78">
        <v>40087</v>
      </c>
      <c r="T12700" s="29">
        <v>0.5</v>
      </c>
    </row>
    <row r="12701" spans="19:21" x14ac:dyDescent="0.25">
      <c r="S12701" s="78">
        <v>40088</v>
      </c>
      <c r="T12701" s="29">
        <v>0.5</v>
      </c>
    </row>
    <row r="12702" spans="19:21" x14ac:dyDescent="0.25">
      <c r="S12702" s="78">
        <v>40089</v>
      </c>
      <c r="T12702" s="29">
        <v>0.5</v>
      </c>
    </row>
    <row r="12703" spans="19:21" x14ac:dyDescent="0.25">
      <c r="S12703" s="78">
        <v>40090</v>
      </c>
      <c r="T12703" s="29">
        <v>0.5</v>
      </c>
    </row>
    <row r="12704" spans="19:21" x14ac:dyDescent="0.25">
      <c r="S12704" s="78">
        <v>40091</v>
      </c>
      <c r="T12704" s="29">
        <v>0.5</v>
      </c>
    </row>
    <row r="12705" spans="19:20" x14ac:dyDescent="0.25">
      <c r="S12705" s="78">
        <v>40092</v>
      </c>
      <c r="T12705" s="29">
        <v>0.5</v>
      </c>
    </row>
    <row r="12706" spans="19:20" x14ac:dyDescent="0.25">
      <c r="S12706" s="78">
        <v>40093</v>
      </c>
      <c r="T12706" s="29">
        <v>0.5</v>
      </c>
    </row>
    <row r="12707" spans="19:20" x14ac:dyDescent="0.25">
      <c r="S12707" s="78">
        <v>40094</v>
      </c>
      <c r="T12707" s="29">
        <v>0.5</v>
      </c>
    </row>
    <row r="12708" spans="19:20" x14ac:dyDescent="0.25">
      <c r="S12708" s="78">
        <v>40095</v>
      </c>
      <c r="T12708" s="29">
        <v>0.5</v>
      </c>
    </row>
    <row r="12709" spans="19:20" x14ac:dyDescent="0.25">
      <c r="S12709" s="78">
        <v>40096</v>
      </c>
      <c r="T12709" s="29">
        <v>0.5</v>
      </c>
    </row>
    <row r="12710" spans="19:20" x14ac:dyDescent="0.25">
      <c r="S12710" s="78">
        <v>40097</v>
      </c>
      <c r="T12710" s="29">
        <v>0.5</v>
      </c>
    </row>
    <row r="12711" spans="19:20" x14ac:dyDescent="0.25">
      <c r="S12711" s="78">
        <v>40098</v>
      </c>
      <c r="T12711" s="29">
        <v>0.5</v>
      </c>
    </row>
    <row r="12712" spans="19:20" x14ac:dyDescent="0.25">
      <c r="S12712" s="78">
        <v>40099</v>
      </c>
      <c r="T12712" s="29">
        <v>0.5</v>
      </c>
    </row>
    <row r="12713" spans="19:20" x14ac:dyDescent="0.25">
      <c r="S12713" s="78">
        <v>40100</v>
      </c>
      <c r="T12713" s="29">
        <v>0.5</v>
      </c>
    </row>
    <row r="12714" spans="19:20" x14ac:dyDescent="0.25">
      <c r="S12714" s="78">
        <v>40101</v>
      </c>
      <c r="T12714" s="29">
        <v>0.5</v>
      </c>
    </row>
    <row r="12715" spans="19:20" x14ac:dyDescent="0.25">
      <c r="S12715" s="78">
        <v>40102</v>
      </c>
      <c r="T12715" s="29">
        <v>0.5</v>
      </c>
    </row>
    <row r="12716" spans="19:20" x14ac:dyDescent="0.25">
      <c r="S12716" s="78">
        <v>40103</v>
      </c>
      <c r="T12716" s="29">
        <v>0.5</v>
      </c>
    </row>
    <row r="12717" spans="19:20" x14ac:dyDescent="0.25">
      <c r="S12717" s="78">
        <v>40104</v>
      </c>
      <c r="T12717" s="29">
        <v>0.5</v>
      </c>
    </row>
    <row r="12718" spans="19:20" x14ac:dyDescent="0.25">
      <c r="S12718" s="78">
        <v>40105</v>
      </c>
      <c r="T12718" s="29">
        <v>0.5</v>
      </c>
    </row>
    <row r="12719" spans="19:20" x14ac:dyDescent="0.25">
      <c r="S12719" s="78">
        <v>40106</v>
      </c>
      <c r="T12719" s="29">
        <v>0.5</v>
      </c>
    </row>
    <row r="12720" spans="19:20" x14ac:dyDescent="0.25">
      <c r="S12720" s="78">
        <v>40107</v>
      </c>
      <c r="T12720" s="29">
        <v>0.5</v>
      </c>
    </row>
    <row r="12721" spans="19:20" x14ac:dyDescent="0.25">
      <c r="S12721" s="78">
        <v>40108</v>
      </c>
      <c r="T12721" s="29">
        <v>0.5</v>
      </c>
    </row>
    <row r="12722" spans="19:20" x14ac:dyDescent="0.25">
      <c r="S12722" s="78">
        <v>40109</v>
      </c>
      <c r="T12722" s="29">
        <v>0.5</v>
      </c>
    </row>
    <row r="12723" spans="19:20" x14ac:dyDescent="0.25">
      <c r="S12723" s="78">
        <v>40110</v>
      </c>
      <c r="T12723" s="29">
        <v>0.5</v>
      </c>
    </row>
    <row r="12724" spans="19:20" x14ac:dyDescent="0.25">
      <c r="S12724" s="78">
        <v>40111</v>
      </c>
      <c r="T12724" s="29">
        <v>0.5</v>
      </c>
    </row>
    <row r="12725" spans="19:20" x14ac:dyDescent="0.25">
      <c r="S12725" s="78">
        <v>40112</v>
      </c>
      <c r="T12725" s="29">
        <v>0.5</v>
      </c>
    </row>
    <row r="12726" spans="19:20" x14ac:dyDescent="0.25">
      <c r="S12726" s="78">
        <v>40113</v>
      </c>
      <c r="T12726" s="29">
        <v>0.5</v>
      </c>
    </row>
    <row r="12727" spans="19:20" x14ac:dyDescent="0.25">
      <c r="S12727" s="78">
        <v>40114</v>
      </c>
      <c r="T12727" s="29">
        <v>0.5</v>
      </c>
    </row>
    <row r="12728" spans="19:20" x14ac:dyDescent="0.25">
      <c r="S12728" s="78">
        <v>40115</v>
      </c>
      <c r="T12728" s="29">
        <v>0.5</v>
      </c>
    </row>
    <row r="12729" spans="19:20" x14ac:dyDescent="0.25">
      <c r="S12729" s="78">
        <v>40116</v>
      </c>
      <c r="T12729" s="29">
        <v>0.5</v>
      </c>
    </row>
    <row r="12730" spans="19:20" x14ac:dyDescent="0.25">
      <c r="S12730" s="78">
        <v>40117</v>
      </c>
      <c r="T12730" s="29">
        <v>0.5</v>
      </c>
    </row>
    <row r="12731" spans="19:20" x14ac:dyDescent="0.25">
      <c r="S12731" s="78">
        <v>40118</v>
      </c>
      <c r="T12731" s="29">
        <v>0.5</v>
      </c>
    </row>
    <row r="12732" spans="19:20" x14ac:dyDescent="0.25">
      <c r="S12732" s="78">
        <v>40119</v>
      </c>
      <c r="T12732" s="29">
        <v>0.5</v>
      </c>
    </row>
    <row r="12733" spans="19:20" x14ac:dyDescent="0.25">
      <c r="S12733" s="78">
        <v>40120</v>
      </c>
      <c r="T12733" s="29">
        <v>0.5</v>
      </c>
    </row>
    <row r="12734" spans="19:20" x14ac:dyDescent="0.25">
      <c r="S12734" s="78">
        <v>40121</v>
      </c>
      <c r="T12734" s="29">
        <v>0.5</v>
      </c>
    </row>
    <row r="12735" spans="19:20" x14ac:dyDescent="0.25">
      <c r="S12735" s="78">
        <v>40122</v>
      </c>
      <c r="T12735" s="29">
        <v>0.5</v>
      </c>
    </row>
    <row r="12736" spans="19:20" x14ac:dyDescent="0.25">
      <c r="S12736" s="78">
        <v>40123</v>
      </c>
      <c r="T12736" s="29">
        <v>0.5</v>
      </c>
    </row>
    <row r="12737" spans="19:20" x14ac:dyDescent="0.25">
      <c r="S12737" s="78">
        <v>40124</v>
      </c>
      <c r="T12737" s="29">
        <v>0.5</v>
      </c>
    </row>
    <row r="12738" spans="19:20" x14ac:dyDescent="0.25">
      <c r="S12738" s="78">
        <v>40125</v>
      </c>
      <c r="T12738" s="29">
        <v>0.5</v>
      </c>
    </row>
    <row r="12739" spans="19:20" x14ac:dyDescent="0.25">
      <c r="S12739" s="78">
        <v>40126</v>
      </c>
      <c r="T12739" s="29">
        <v>0.5</v>
      </c>
    </row>
    <row r="12740" spans="19:20" x14ac:dyDescent="0.25">
      <c r="S12740" s="78">
        <v>40127</v>
      </c>
      <c r="T12740" s="29">
        <v>0.5</v>
      </c>
    </row>
    <row r="12741" spans="19:20" x14ac:dyDescent="0.25">
      <c r="S12741" s="78">
        <v>40128</v>
      </c>
      <c r="T12741" s="29">
        <v>0.5</v>
      </c>
    </row>
    <row r="12742" spans="19:20" x14ac:dyDescent="0.25">
      <c r="S12742" s="78">
        <v>40129</v>
      </c>
      <c r="T12742" s="29">
        <v>0.5</v>
      </c>
    </row>
    <row r="12743" spans="19:20" x14ac:dyDescent="0.25">
      <c r="S12743" s="78">
        <v>40130</v>
      </c>
      <c r="T12743" s="29">
        <v>0.5</v>
      </c>
    </row>
    <row r="12744" spans="19:20" x14ac:dyDescent="0.25">
      <c r="S12744" s="78">
        <v>40131</v>
      </c>
      <c r="T12744" s="29">
        <v>0.5</v>
      </c>
    </row>
    <row r="12745" spans="19:20" x14ac:dyDescent="0.25">
      <c r="S12745" s="78">
        <v>40132</v>
      </c>
      <c r="T12745" s="29">
        <v>0.5</v>
      </c>
    </row>
    <row r="12746" spans="19:20" x14ac:dyDescent="0.25">
      <c r="S12746" s="78">
        <v>40133</v>
      </c>
      <c r="T12746" s="29">
        <v>0.5</v>
      </c>
    </row>
    <row r="12747" spans="19:20" x14ac:dyDescent="0.25">
      <c r="S12747" s="78">
        <v>40134</v>
      </c>
      <c r="T12747" s="29">
        <v>0.5</v>
      </c>
    </row>
    <row r="12748" spans="19:20" x14ac:dyDescent="0.25">
      <c r="S12748" s="78">
        <v>40135</v>
      </c>
      <c r="T12748" s="29">
        <v>0.5</v>
      </c>
    </row>
    <row r="12749" spans="19:20" x14ac:dyDescent="0.25">
      <c r="S12749" s="78">
        <v>40136</v>
      </c>
      <c r="T12749" s="29">
        <v>0.5</v>
      </c>
    </row>
    <row r="12750" spans="19:20" x14ac:dyDescent="0.25">
      <c r="S12750" s="78">
        <v>40137</v>
      </c>
      <c r="T12750" s="29">
        <v>0.5</v>
      </c>
    </row>
    <row r="12751" spans="19:20" x14ac:dyDescent="0.25">
      <c r="S12751" s="78">
        <v>40138</v>
      </c>
      <c r="T12751" s="29">
        <v>0.5</v>
      </c>
    </row>
    <row r="12752" spans="19:20" x14ac:dyDescent="0.25">
      <c r="S12752" s="78">
        <v>40139</v>
      </c>
      <c r="T12752" s="29">
        <v>0.5</v>
      </c>
    </row>
    <row r="12753" spans="19:20" x14ac:dyDescent="0.25">
      <c r="S12753" s="78">
        <v>40140</v>
      </c>
      <c r="T12753" s="29">
        <v>0.5</v>
      </c>
    </row>
    <row r="12754" spans="19:20" x14ac:dyDescent="0.25">
      <c r="S12754" s="78">
        <v>40141</v>
      </c>
      <c r="T12754" s="29">
        <v>0.5</v>
      </c>
    </row>
    <row r="12755" spans="19:20" x14ac:dyDescent="0.25">
      <c r="S12755" s="78">
        <v>40142</v>
      </c>
      <c r="T12755" s="29">
        <v>0.5</v>
      </c>
    </row>
    <row r="12756" spans="19:20" x14ac:dyDescent="0.25">
      <c r="S12756" s="78">
        <v>40143</v>
      </c>
      <c r="T12756" s="29">
        <v>0.5</v>
      </c>
    </row>
    <row r="12757" spans="19:20" x14ac:dyDescent="0.25">
      <c r="S12757" s="78">
        <v>40144</v>
      </c>
      <c r="T12757" s="29">
        <v>0.5</v>
      </c>
    </row>
    <row r="12758" spans="19:20" x14ac:dyDescent="0.25">
      <c r="S12758" s="78">
        <v>40145</v>
      </c>
      <c r="T12758" s="29">
        <v>0.5</v>
      </c>
    </row>
    <row r="12759" spans="19:20" x14ac:dyDescent="0.25">
      <c r="S12759" s="78">
        <v>40146</v>
      </c>
      <c r="T12759" s="29">
        <v>0.5</v>
      </c>
    </row>
    <row r="12760" spans="19:20" x14ac:dyDescent="0.25">
      <c r="S12760" s="78">
        <v>40147</v>
      </c>
      <c r="T12760" s="29">
        <v>0.5</v>
      </c>
    </row>
    <row r="12761" spans="19:20" x14ac:dyDescent="0.25">
      <c r="S12761" s="78">
        <v>40148</v>
      </c>
      <c r="T12761" s="29">
        <v>0.5</v>
      </c>
    </row>
    <row r="12762" spans="19:20" x14ac:dyDescent="0.25">
      <c r="S12762" s="78">
        <v>40149</v>
      </c>
      <c r="T12762" s="29">
        <v>0.5</v>
      </c>
    </row>
    <row r="12763" spans="19:20" x14ac:dyDescent="0.25">
      <c r="S12763" s="78">
        <v>40150</v>
      </c>
      <c r="T12763" s="29">
        <v>0.5</v>
      </c>
    </row>
    <row r="12764" spans="19:20" x14ac:dyDescent="0.25">
      <c r="S12764" s="78">
        <v>40151</v>
      </c>
      <c r="T12764" s="29">
        <v>0.5</v>
      </c>
    </row>
    <row r="12765" spans="19:20" x14ac:dyDescent="0.25">
      <c r="S12765" s="78">
        <v>40152</v>
      </c>
      <c r="T12765" s="29">
        <v>0.5</v>
      </c>
    </row>
    <row r="12766" spans="19:20" x14ac:dyDescent="0.25">
      <c r="S12766" s="78">
        <v>40153</v>
      </c>
      <c r="T12766" s="29">
        <v>0.5</v>
      </c>
    </row>
    <row r="12767" spans="19:20" x14ac:dyDescent="0.25">
      <c r="S12767" s="78">
        <v>40154</v>
      </c>
      <c r="T12767" s="29">
        <v>0.5</v>
      </c>
    </row>
    <row r="12768" spans="19:20" x14ac:dyDescent="0.25">
      <c r="S12768" s="78">
        <v>40155</v>
      </c>
      <c r="T12768" s="29">
        <v>0.5</v>
      </c>
    </row>
    <row r="12769" spans="19:20" x14ac:dyDescent="0.25">
      <c r="S12769" s="78">
        <v>40156</v>
      </c>
      <c r="T12769" s="29">
        <v>0.5</v>
      </c>
    </row>
    <row r="12770" spans="19:20" x14ac:dyDescent="0.25">
      <c r="S12770" s="78">
        <v>40157</v>
      </c>
      <c r="T12770" s="29">
        <v>0.5</v>
      </c>
    </row>
    <row r="12771" spans="19:20" x14ac:dyDescent="0.25">
      <c r="S12771" s="78">
        <v>40158</v>
      </c>
      <c r="T12771" s="29">
        <v>0.5</v>
      </c>
    </row>
    <row r="12772" spans="19:20" x14ac:dyDescent="0.25">
      <c r="S12772" s="78">
        <v>40159</v>
      </c>
      <c r="T12772" s="29">
        <v>0.5</v>
      </c>
    </row>
    <row r="12773" spans="19:20" x14ac:dyDescent="0.25">
      <c r="S12773" s="78">
        <v>40160</v>
      </c>
      <c r="T12773" s="29">
        <v>0.5</v>
      </c>
    </row>
    <row r="12774" spans="19:20" x14ac:dyDescent="0.25">
      <c r="S12774" s="78">
        <v>40161</v>
      </c>
      <c r="T12774" s="29">
        <v>0.5</v>
      </c>
    </row>
    <row r="12775" spans="19:20" x14ac:dyDescent="0.25">
      <c r="S12775" s="78">
        <v>40162</v>
      </c>
      <c r="T12775" s="29">
        <v>0.5</v>
      </c>
    </row>
    <row r="12776" spans="19:20" x14ac:dyDescent="0.25">
      <c r="S12776" s="78">
        <v>40163</v>
      </c>
      <c r="T12776" s="29">
        <v>0.5</v>
      </c>
    </row>
    <row r="12777" spans="19:20" x14ac:dyDescent="0.25">
      <c r="S12777" s="78">
        <v>40164</v>
      </c>
      <c r="T12777" s="29">
        <v>0.5</v>
      </c>
    </row>
    <row r="12778" spans="19:20" x14ac:dyDescent="0.25">
      <c r="S12778" s="78">
        <v>40165</v>
      </c>
      <c r="T12778" s="29">
        <v>0.5</v>
      </c>
    </row>
    <row r="12779" spans="19:20" x14ac:dyDescent="0.25">
      <c r="S12779" s="78">
        <v>40166</v>
      </c>
      <c r="T12779" s="29">
        <v>0.5</v>
      </c>
    </row>
    <row r="12780" spans="19:20" x14ac:dyDescent="0.25">
      <c r="S12780" s="78">
        <v>40167</v>
      </c>
      <c r="T12780" s="29">
        <v>0.5</v>
      </c>
    </row>
    <row r="12781" spans="19:20" x14ac:dyDescent="0.25">
      <c r="S12781" s="78">
        <v>40168</v>
      </c>
      <c r="T12781" s="29">
        <v>0.5</v>
      </c>
    </row>
    <row r="12782" spans="19:20" x14ac:dyDescent="0.25">
      <c r="S12782" s="78">
        <v>40169</v>
      </c>
      <c r="T12782" s="29">
        <v>0.5</v>
      </c>
    </row>
    <row r="12783" spans="19:20" x14ac:dyDescent="0.25">
      <c r="S12783" s="78">
        <v>40170</v>
      </c>
      <c r="T12783" s="29">
        <v>0.5</v>
      </c>
    </row>
    <row r="12784" spans="19:20" x14ac:dyDescent="0.25">
      <c r="S12784" s="78">
        <v>40171</v>
      </c>
      <c r="T12784" s="29">
        <v>0.5</v>
      </c>
    </row>
    <row r="12785" spans="19:21" x14ac:dyDescent="0.25">
      <c r="S12785" s="78">
        <v>40172</v>
      </c>
      <c r="T12785" s="29">
        <v>0.5</v>
      </c>
    </row>
    <row r="12786" spans="19:21" x14ac:dyDescent="0.25">
      <c r="S12786" s="78">
        <v>40173</v>
      </c>
      <c r="T12786" s="29">
        <v>0.5</v>
      </c>
    </row>
    <row r="12787" spans="19:21" x14ac:dyDescent="0.25">
      <c r="S12787" s="78">
        <v>40174</v>
      </c>
      <c r="T12787" s="29">
        <v>0.5</v>
      </c>
    </row>
    <row r="12788" spans="19:21" x14ac:dyDescent="0.25">
      <c r="S12788" s="78">
        <v>40175</v>
      </c>
      <c r="T12788" s="29">
        <v>0.5</v>
      </c>
    </row>
    <row r="12789" spans="19:21" x14ac:dyDescent="0.25">
      <c r="S12789" s="78">
        <v>40176</v>
      </c>
      <c r="T12789" s="29">
        <v>0.5</v>
      </c>
    </row>
    <row r="12790" spans="19:21" x14ac:dyDescent="0.25">
      <c r="S12790" s="78">
        <v>40177</v>
      </c>
      <c r="T12790" s="29">
        <v>0.5</v>
      </c>
    </row>
    <row r="12791" spans="19:21" x14ac:dyDescent="0.25">
      <c r="S12791" s="78">
        <v>40178</v>
      </c>
      <c r="T12791" s="29">
        <v>0.5</v>
      </c>
      <c r="U12791" s="40">
        <f>AVERAGE(T12700:T12791)</f>
        <v>0.5</v>
      </c>
    </row>
    <row r="12792" spans="19:21" x14ac:dyDescent="0.25">
      <c r="S12792" s="78">
        <v>40179</v>
      </c>
      <c r="T12792" s="29">
        <v>0.5</v>
      </c>
    </row>
    <row r="12793" spans="19:21" x14ac:dyDescent="0.25">
      <c r="S12793" s="78">
        <v>40180</v>
      </c>
      <c r="T12793" s="29">
        <v>0.5</v>
      </c>
    </row>
    <row r="12794" spans="19:21" x14ac:dyDescent="0.25">
      <c r="S12794" s="78">
        <v>40181</v>
      </c>
      <c r="T12794" s="29">
        <v>0.5</v>
      </c>
    </row>
    <row r="12795" spans="19:21" x14ac:dyDescent="0.25">
      <c r="S12795" s="78">
        <v>40182</v>
      </c>
      <c r="T12795" s="29">
        <v>0.5</v>
      </c>
    </row>
    <row r="12796" spans="19:21" x14ac:dyDescent="0.25">
      <c r="S12796" s="78">
        <v>40183</v>
      </c>
      <c r="T12796" s="29">
        <v>0.5</v>
      </c>
    </row>
    <row r="12797" spans="19:21" x14ac:dyDescent="0.25">
      <c r="S12797" s="78">
        <v>40184</v>
      </c>
      <c r="T12797" s="29">
        <v>0.5</v>
      </c>
    </row>
    <row r="12798" spans="19:21" x14ac:dyDescent="0.25">
      <c r="S12798" s="78">
        <v>40185</v>
      </c>
      <c r="T12798" s="29">
        <v>0.5</v>
      </c>
    </row>
    <row r="12799" spans="19:21" x14ac:dyDescent="0.25">
      <c r="S12799" s="78">
        <v>40186</v>
      </c>
      <c r="T12799" s="29">
        <v>0.5</v>
      </c>
    </row>
    <row r="12800" spans="19:21" x14ac:dyDescent="0.25">
      <c r="S12800" s="78">
        <v>40187</v>
      </c>
      <c r="T12800" s="29">
        <v>0.5</v>
      </c>
    </row>
    <row r="12801" spans="19:20" x14ac:dyDescent="0.25">
      <c r="S12801" s="78">
        <v>40188</v>
      </c>
      <c r="T12801" s="29">
        <v>0.5</v>
      </c>
    </row>
    <row r="12802" spans="19:20" x14ac:dyDescent="0.25">
      <c r="S12802" s="78">
        <v>40189</v>
      </c>
      <c r="T12802" s="29">
        <v>0.5</v>
      </c>
    </row>
    <row r="12803" spans="19:20" x14ac:dyDescent="0.25">
      <c r="S12803" s="78">
        <v>40190</v>
      </c>
      <c r="T12803" s="29">
        <v>0.5</v>
      </c>
    </row>
    <row r="12804" spans="19:20" x14ac:dyDescent="0.25">
      <c r="S12804" s="78">
        <v>40191</v>
      </c>
      <c r="T12804" s="29">
        <v>0.5</v>
      </c>
    </row>
    <row r="12805" spans="19:20" x14ac:dyDescent="0.25">
      <c r="S12805" s="78">
        <v>40192</v>
      </c>
      <c r="T12805" s="29">
        <v>0.5</v>
      </c>
    </row>
    <row r="12806" spans="19:20" x14ac:dyDescent="0.25">
      <c r="S12806" s="78">
        <v>40193</v>
      </c>
      <c r="T12806" s="29">
        <v>0.5</v>
      </c>
    </row>
    <row r="12807" spans="19:20" x14ac:dyDescent="0.25">
      <c r="S12807" s="78">
        <v>40194</v>
      </c>
      <c r="T12807" s="29">
        <v>0.5</v>
      </c>
    </row>
    <row r="12808" spans="19:20" x14ac:dyDescent="0.25">
      <c r="S12808" s="78">
        <v>40195</v>
      </c>
      <c r="T12808" s="29">
        <v>0.5</v>
      </c>
    </row>
    <row r="12809" spans="19:20" x14ac:dyDescent="0.25">
      <c r="S12809" s="78">
        <v>40196</v>
      </c>
      <c r="T12809" s="29">
        <v>0.5</v>
      </c>
    </row>
    <row r="12810" spans="19:20" x14ac:dyDescent="0.25">
      <c r="S12810" s="78">
        <v>40197</v>
      </c>
      <c r="T12810" s="29">
        <v>0.5</v>
      </c>
    </row>
    <row r="12811" spans="19:20" x14ac:dyDescent="0.25">
      <c r="S12811" s="78">
        <v>40198</v>
      </c>
      <c r="T12811" s="29">
        <v>0.5</v>
      </c>
    </row>
    <row r="12812" spans="19:20" x14ac:dyDescent="0.25">
      <c r="S12812" s="78">
        <v>40199</v>
      </c>
      <c r="T12812" s="29">
        <v>0.5</v>
      </c>
    </row>
    <row r="12813" spans="19:20" x14ac:dyDescent="0.25">
      <c r="S12813" s="78">
        <v>40200</v>
      </c>
      <c r="T12813" s="29">
        <v>0.5</v>
      </c>
    </row>
    <row r="12814" spans="19:20" x14ac:dyDescent="0.25">
      <c r="S12814" s="78">
        <v>40201</v>
      </c>
      <c r="T12814" s="29">
        <v>0.5</v>
      </c>
    </row>
    <row r="12815" spans="19:20" x14ac:dyDescent="0.25">
      <c r="S12815" s="78">
        <v>40202</v>
      </c>
      <c r="T12815" s="29">
        <v>0.5</v>
      </c>
    </row>
    <row r="12816" spans="19:20" x14ac:dyDescent="0.25">
      <c r="S12816" s="78">
        <v>40203</v>
      </c>
      <c r="T12816" s="29">
        <v>0.5</v>
      </c>
    </row>
    <row r="12817" spans="19:20" x14ac:dyDescent="0.25">
      <c r="S12817" s="78">
        <v>40204</v>
      </c>
      <c r="T12817" s="29">
        <v>0.5</v>
      </c>
    </row>
    <row r="12818" spans="19:20" x14ac:dyDescent="0.25">
      <c r="S12818" s="78">
        <v>40205</v>
      </c>
      <c r="T12818" s="29">
        <v>0.5</v>
      </c>
    </row>
    <row r="12819" spans="19:20" x14ac:dyDescent="0.25">
      <c r="S12819" s="78">
        <v>40206</v>
      </c>
      <c r="T12819" s="29">
        <v>0.5</v>
      </c>
    </row>
    <row r="12820" spans="19:20" x14ac:dyDescent="0.25">
      <c r="S12820" s="78">
        <v>40207</v>
      </c>
      <c r="T12820" s="29">
        <v>0.5</v>
      </c>
    </row>
    <row r="12821" spans="19:20" x14ac:dyDescent="0.25">
      <c r="S12821" s="78">
        <v>40208</v>
      </c>
      <c r="T12821" s="29">
        <v>0.5</v>
      </c>
    </row>
    <row r="12822" spans="19:20" x14ac:dyDescent="0.25">
      <c r="S12822" s="78">
        <v>40209</v>
      </c>
      <c r="T12822" s="29">
        <v>0.5</v>
      </c>
    </row>
    <row r="12823" spans="19:20" x14ac:dyDescent="0.25">
      <c r="S12823" s="78">
        <v>40210</v>
      </c>
      <c r="T12823" s="29">
        <v>0.5</v>
      </c>
    </row>
    <row r="12824" spans="19:20" x14ac:dyDescent="0.25">
      <c r="S12824" s="78">
        <v>40211</v>
      </c>
      <c r="T12824" s="29">
        <v>0.5</v>
      </c>
    </row>
    <row r="12825" spans="19:20" x14ac:dyDescent="0.25">
      <c r="S12825" s="78">
        <v>40212</v>
      </c>
      <c r="T12825" s="29">
        <v>0.5</v>
      </c>
    </row>
    <row r="12826" spans="19:20" x14ac:dyDescent="0.25">
      <c r="S12826" s="78">
        <v>40213</v>
      </c>
      <c r="T12826" s="29">
        <v>0.5</v>
      </c>
    </row>
    <row r="12827" spans="19:20" x14ac:dyDescent="0.25">
      <c r="S12827" s="78">
        <v>40214</v>
      </c>
      <c r="T12827" s="29">
        <v>0.5</v>
      </c>
    </row>
    <row r="12828" spans="19:20" x14ac:dyDescent="0.25">
      <c r="S12828" s="78">
        <v>40215</v>
      </c>
      <c r="T12828" s="29">
        <v>0.5</v>
      </c>
    </row>
    <row r="12829" spans="19:20" x14ac:dyDescent="0.25">
      <c r="S12829" s="78">
        <v>40216</v>
      </c>
      <c r="T12829" s="29">
        <v>0.5</v>
      </c>
    </row>
    <row r="12830" spans="19:20" x14ac:dyDescent="0.25">
      <c r="S12830" s="78">
        <v>40217</v>
      </c>
      <c r="T12830" s="29">
        <v>0.5</v>
      </c>
    </row>
    <row r="12831" spans="19:20" x14ac:dyDescent="0.25">
      <c r="S12831" s="78">
        <v>40218</v>
      </c>
      <c r="T12831" s="29">
        <v>0.5</v>
      </c>
    </row>
    <row r="12832" spans="19:20" x14ac:dyDescent="0.25">
      <c r="S12832" s="78">
        <v>40219</v>
      </c>
      <c r="T12832" s="29">
        <v>0.5</v>
      </c>
    </row>
    <row r="12833" spans="19:20" x14ac:dyDescent="0.25">
      <c r="S12833" s="78">
        <v>40220</v>
      </c>
      <c r="T12833" s="29">
        <v>0.5</v>
      </c>
    </row>
    <row r="12834" spans="19:20" x14ac:dyDescent="0.25">
      <c r="S12834" s="78">
        <v>40221</v>
      </c>
      <c r="T12834" s="29">
        <v>0.5</v>
      </c>
    </row>
    <row r="12835" spans="19:20" x14ac:dyDescent="0.25">
      <c r="S12835" s="78">
        <v>40222</v>
      </c>
      <c r="T12835" s="29">
        <v>0.5</v>
      </c>
    </row>
    <row r="12836" spans="19:20" x14ac:dyDescent="0.25">
      <c r="S12836" s="78">
        <v>40223</v>
      </c>
      <c r="T12836" s="29">
        <v>0.5</v>
      </c>
    </row>
    <row r="12837" spans="19:20" x14ac:dyDescent="0.25">
      <c r="S12837" s="78">
        <v>40224</v>
      </c>
      <c r="T12837" s="29">
        <v>0.5</v>
      </c>
    </row>
    <row r="12838" spans="19:20" x14ac:dyDescent="0.25">
      <c r="S12838" s="78">
        <v>40225</v>
      </c>
      <c r="T12838" s="29">
        <v>0.5</v>
      </c>
    </row>
    <row r="12839" spans="19:20" x14ac:dyDescent="0.25">
      <c r="S12839" s="78">
        <v>40226</v>
      </c>
      <c r="T12839" s="29">
        <v>0.5</v>
      </c>
    </row>
    <row r="12840" spans="19:20" x14ac:dyDescent="0.25">
      <c r="S12840" s="78">
        <v>40227</v>
      </c>
      <c r="T12840" s="29">
        <v>0.5</v>
      </c>
    </row>
    <row r="12841" spans="19:20" x14ac:dyDescent="0.25">
      <c r="S12841" s="78">
        <v>40228</v>
      </c>
      <c r="T12841" s="29">
        <v>0.5</v>
      </c>
    </row>
    <row r="12842" spans="19:20" x14ac:dyDescent="0.25">
      <c r="S12842" s="78">
        <v>40229</v>
      </c>
      <c r="T12842" s="29">
        <v>0.5</v>
      </c>
    </row>
    <row r="12843" spans="19:20" x14ac:dyDescent="0.25">
      <c r="S12843" s="78">
        <v>40230</v>
      </c>
      <c r="T12843" s="29">
        <v>0.5</v>
      </c>
    </row>
    <row r="12844" spans="19:20" x14ac:dyDescent="0.25">
      <c r="S12844" s="78">
        <v>40231</v>
      </c>
      <c r="T12844" s="29">
        <v>0.5</v>
      </c>
    </row>
    <row r="12845" spans="19:20" x14ac:dyDescent="0.25">
      <c r="S12845" s="78">
        <v>40232</v>
      </c>
      <c r="T12845" s="29">
        <v>0.5</v>
      </c>
    </row>
    <row r="12846" spans="19:20" x14ac:dyDescent="0.25">
      <c r="S12846" s="78">
        <v>40233</v>
      </c>
      <c r="T12846" s="29">
        <v>0.5</v>
      </c>
    </row>
    <row r="12847" spans="19:20" x14ac:dyDescent="0.25">
      <c r="S12847" s="78">
        <v>40234</v>
      </c>
      <c r="T12847" s="29">
        <v>0.5</v>
      </c>
    </row>
    <row r="12848" spans="19:20" x14ac:dyDescent="0.25">
      <c r="S12848" s="78">
        <v>40235</v>
      </c>
      <c r="T12848" s="29">
        <v>0.5</v>
      </c>
    </row>
    <row r="12849" spans="19:20" x14ac:dyDescent="0.25">
      <c r="S12849" s="78">
        <v>40236</v>
      </c>
      <c r="T12849" s="29">
        <v>0.5</v>
      </c>
    </row>
    <row r="12850" spans="19:20" x14ac:dyDescent="0.25">
      <c r="S12850" s="78">
        <v>40237</v>
      </c>
      <c r="T12850" s="29">
        <v>0.5</v>
      </c>
    </row>
    <row r="12851" spans="19:20" x14ac:dyDescent="0.25">
      <c r="S12851" s="78">
        <v>40238</v>
      </c>
      <c r="T12851" s="29">
        <v>0.5</v>
      </c>
    </row>
    <row r="12852" spans="19:20" x14ac:dyDescent="0.25">
      <c r="S12852" s="78">
        <v>40239</v>
      </c>
      <c r="T12852" s="29">
        <v>0.5</v>
      </c>
    </row>
    <row r="12853" spans="19:20" x14ac:dyDescent="0.25">
      <c r="S12853" s="78">
        <v>40240</v>
      </c>
      <c r="T12853" s="29">
        <v>0.5</v>
      </c>
    </row>
    <row r="12854" spans="19:20" x14ac:dyDescent="0.25">
      <c r="S12854" s="78">
        <v>40241</v>
      </c>
      <c r="T12854" s="29">
        <v>0.5</v>
      </c>
    </row>
    <row r="12855" spans="19:20" x14ac:dyDescent="0.25">
      <c r="S12855" s="78">
        <v>40242</v>
      </c>
      <c r="T12855" s="29">
        <v>0.5</v>
      </c>
    </row>
    <row r="12856" spans="19:20" x14ac:dyDescent="0.25">
      <c r="S12856" s="78">
        <v>40243</v>
      </c>
      <c r="T12856" s="29">
        <v>0.5</v>
      </c>
    </row>
    <row r="12857" spans="19:20" x14ac:dyDescent="0.25">
      <c r="S12857" s="78">
        <v>40244</v>
      </c>
      <c r="T12857" s="29">
        <v>0.5</v>
      </c>
    </row>
    <row r="12858" spans="19:20" x14ac:dyDescent="0.25">
      <c r="S12858" s="78">
        <v>40245</v>
      </c>
      <c r="T12858" s="29">
        <v>0.5</v>
      </c>
    </row>
    <row r="12859" spans="19:20" x14ac:dyDescent="0.25">
      <c r="S12859" s="78">
        <v>40246</v>
      </c>
      <c r="T12859" s="29">
        <v>0.5</v>
      </c>
    </row>
    <row r="12860" spans="19:20" x14ac:dyDescent="0.25">
      <c r="S12860" s="78">
        <v>40247</v>
      </c>
      <c r="T12860" s="29">
        <v>0.5</v>
      </c>
    </row>
    <row r="12861" spans="19:20" x14ac:dyDescent="0.25">
      <c r="S12861" s="78">
        <v>40248</v>
      </c>
      <c r="T12861" s="29">
        <v>0.5</v>
      </c>
    </row>
    <row r="12862" spans="19:20" x14ac:dyDescent="0.25">
      <c r="S12862" s="78">
        <v>40249</v>
      </c>
      <c r="T12862" s="29">
        <v>0.5</v>
      </c>
    </row>
    <row r="12863" spans="19:20" x14ac:dyDescent="0.25">
      <c r="S12863" s="78">
        <v>40250</v>
      </c>
      <c r="T12863" s="29">
        <v>0.5</v>
      </c>
    </row>
    <row r="12864" spans="19:20" x14ac:dyDescent="0.25">
      <c r="S12864" s="78">
        <v>40251</v>
      </c>
      <c r="T12864" s="29">
        <v>0.5</v>
      </c>
    </row>
    <row r="12865" spans="19:20" x14ac:dyDescent="0.25">
      <c r="S12865" s="78">
        <v>40252</v>
      </c>
      <c r="T12865" s="29">
        <v>0.5</v>
      </c>
    </row>
    <row r="12866" spans="19:20" x14ac:dyDescent="0.25">
      <c r="S12866" s="78">
        <v>40253</v>
      </c>
      <c r="T12866" s="29">
        <v>0.5</v>
      </c>
    </row>
    <row r="12867" spans="19:20" x14ac:dyDescent="0.25">
      <c r="S12867" s="78">
        <v>40254</v>
      </c>
      <c r="T12867" s="29">
        <v>0.5</v>
      </c>
    </row>
    <row r="12868" spans="19:20" x14ac:dyDescent="0.25">
      <c r="S12868" s="78">
        <v>40255</v>
      </c>
      <c r="T12868" s="29">
        <v>0.5</v>
      </c>
    </row>
    <row r="12869" spans="19:20" x14ac:dyDescent="0.25">
      <c r="S12869" s="78">
        <v>40256</v>
      </c>
      <c r="T12869" s="29">
        <v>0.5</v>
      </c>
    </row>
    <row r="12870" spans="19:20" x14ac:dyDescent="0.25">
      <c r="S12870" s="78">
        <v>40257</v>
      </c>
      <c r="T12870" s="29">
        <v>0.5</v>
      </c>
    </row>
    <row r="12871" spans="19:20" x14ac:dyDescent="0.25">
      <c r="S12871" s="78">
        <v>40258</v>
      </c>
      <c r="T12871" s="29">
        <v>0.5</v>
      </c>
    </row>
    <row r="12872" spans="19:20" x14ac:dyDescent="0.25">
      <c r="S12872" s="78">
        <v>40259</v>
      </c>
      <c r="T12872" s="29">
        <v>0.5</v>
      </c>
    </row>
    <row r="12873" spans="19:20" x14ac:dyDescent="0.25">
      <c r="S12873" s="78">
        <v>40260</v>
      </c>
      <c r="T12873" s="29">
        <v>0.5</v>
      </c>
    </row>
    <row r="12874" spans="19:20" x14ac:dyDescent="0.25">
      <c r="S12874" s="78">
        <v>40261</v>
      </c>
      <c r="T12874" s="29">
        <v>0.5</v>
      </c>
    </row>
    <row r="12875" spans="19:20" x14ac:dyDescent="0.25">
      <c r="S12875" s="78">
        <v>40262</v>
      </c>
      <c r="T12875" s="29">
        <v>0.5</v>
      </c>
    </row>
    <row r="12876" spans="19:20" x14ac:dyDescent="0.25">
      <c r="S12876" s="78">
        <v>40263</v>
      </c>
      <c r="T12876" s="29">
        <v>0.5</v>
      </c>
    </row>
    <row r="12877" spans="19:20" x14ac:dyDescent="0.25">
      <c r="S12877" s="78">
        <v>40264</v>
      </c>
      <c r="T12877" s="29">
        <v>0.5</v>
      </c>
    </row>
    <row r="12878" spans="19:20" x14ac:dyDescent="0.25">
      <c r="S12878" s="78">
        <v>40265</v>
      </c>
      <c r="T12878" s="29">
        <v>0.5</v>
      </c>
    </row>
    <row r="12879" spans="19:20" x14ac:dyDescent="0.25">
      <c r="S12879" s="78">
        <v>40266</v>
      </c>
      <c r="T12879" s="29">
        <v>0.5</v>
      </c>
    </row>
    <row r="12880" spans="19:20" x14ac:dyDescent="0.25">
      <c r="S12880" s="78">
        <v>40267</v>
      </c>
      <c r="T12880" s="29">
        <v>0.5</v>
      </c>
    </row>
    <row r="12881" spans="19:21" x14ac:dyDescent="0.25">
      <c r="S12881" s="78">
        <v>40268</v>
      </c>
      <c r="T12881" s="29">
        <v>0.5</v>
      </c>
      <c r="U12881" s="39">
        <f>AVERAGE(T12792:T12881)</f>
        <v>0.5</v>
      </c>
    </row>
    <row r="12882" spans="19:21" x14ac:dyDescent="0.25">
      <c r="S12882" s="78">
        <v>40269</v>
      </c>
      <c r="T12882" s="29">
        <v>0.5</v>
      </c>
    </row>
    <row r="12883" spans="19:21" x14ac:dyDescent="0.25">
      <c r="S12883" s="78">
        <v>40270</v>
      </c>
      <c r="T12883" s="29">
        <v>0.5</v>
      </c>
    </row>
    <row r="12884" spans="19:21" x14ac:dyDescent="0.25">
      <c r="S12884" s="78">
        <v>40271</v>
      </c>
      <c r="T12884" s="29">
        <v>0.5</v>
      </c>
    </row>
    <row r="12885" spans="19:21" x14ac:dyDescent="0.25">
      <c r="S12885" s="78">
        <v>40272</v>
      </c>
      <c r="T12885" s="29">
        <v>0.5</v>
      </c>
    </row>
    <row r="12886" spans="19:21" x14ac:dyDescent="0.25">
      <c r="S12886" s="78">
        <v>40273</v>
      </c>
      <c r="T12886" s="29">
        <v>0.5</v>
      </c>
    </row>
    <row r="12887" spans="19:21" x14ac:dyDescent="0.25">
      <c r="S12887" s="78">
        <v>40274</v>
      </c>
      <c r="T12887" s="29">
        <v>0.5</v>
      </c>
    </row>
    <row r="12888" spans="19:21" x14ac:dyDescent="0.25">
      <c r="S12888" s="78">
        <v>40275</v>
      </c>
      <c r="T12888" s="29">
        <v>0.5</v>
      </c>
    </row>
    <row r="12889" spans="19:21" x14ac:dyDescent="0.25">
      <c r="S12889" s="78">
        <v>40276</v>
      </c>
      <c r="T12889" s="29">
        <v>0.5</v>
      </c>
    </row>
    <row r="12890" spans="19:21" x14ac:dyDescent="0.25">
      <c r="S12890" s="78">
        <v>40277</v>
      </c>
      <c r="T12890" s="29">
        <v>0.5</v>
      </c>
    </row>
    <row r="12891" spans="19:21" x14ac:dyDescent="0.25">
      <c r="S12891" s="78">
        <v>40278</v>
      </c>
      <c r="T12891" s="29">
        <v>0.5</v>
      </c>
    </row>
    <row r="12892" spans="19:21" x14ac:dyDescent="0.25">
      <c r="S12892" s="78">
        <v>40279</v>
      </c>
      <c r="T12892" s="29">
        <v>0.5</v>
      </c>
    </row>
    <row r="12893" spans="19:21" x14ac:dyDescent="0.25">
      <c r="S12893" s="78">
        <v>40280</v>
      </c>
      <c r="T12893" s="29">
        <v>0.5</v>
      </c>
    </row>
    <row r="12894" spans="19:21" x14ac:dyDescent="0.25">
      <c r="S12894" s="78">
        <v>40281</v>
      </c>
      <c r="T12894" s="29">
        <v>0.5</v>
      </c>
    </row>
    <row r="12895" spans="19:21" x14ac:dyDescent="0.25">
      <c r="S12895" s="78">
        <v>40282</v>
      </c>
      <c r="T12895" s="29">
        <v>0.5</v>
      </c>
    </row>
    <row r="12896" spans="19:21" x14ac:dyDescent="0.25">
      <c r="S12896" s="78">
        <v>40283</v>
      </c>
      <c r="T12896" s="29">
        <v>0.5</v>
      </c>
    </row>
    <row r="12897" spans="19:20" x14ac:dyDescent="0.25">
      <c r="S12897" s="78">
        <v>40284</v>
      </c>
      <c r="T12897" s="29">
        <v>0.5</v>
      </c>
    </row>
    <row r="12898" spans="19:20" x14ac:dyDescent="0.25">
      <c r="S12898" s="78">
        <v>40285</v>
      </c>
      <c r="T12898" s="29">
        <v>0.5</v>
      </c>
    </row>
    <row r="12899" spans="19:20" x14ac:dyDescent="0.25">
      <c r="S12899" s="78">
        <v>40286</v>
      </c>
      <c r="T12899" s="29">
        <v>0.5</v>
      </c>
    </row>
    <row r="12900" spans="19:20" x14ac:dyDescent="0.25">
      <c r="S12900" s="78">
        <v>40287</v>
      </c>
      <c r="T12900" s="29">
        <v>0.5</v>
      </c>
    </row>
    <row r="12901" spans="19:20" x14ac:dyDescent="0.25">
      <c r="S12901" s="78">
        <v>40288</v>
      </c>
      <c r="T12901" s="29">
        <v>0.5</v>
      </c>
    </row>
    <row r="12902" spans="19:20" x14ac:dyDescent="0.25">
      <c r="S12902" s="78">
        <v>40289</v>
      </c>
      <c r="T12902" s="29">
        <v>0.5</v>
      </c>
    </row>
    <row r="12903" spans="19:20" x14ac:dyDescent="0.25">
      <c r="S12903" s="78">
        <v>40290</v>
      </c>
      <c r="T12903" s="29">
        <v>0.5</v>
      </c>
    </row>
    <row r="12904" spans="19:20" x14ac:dyDescent="0.25">
      <c r="S12904" s="78">
        <v>40291</v>
      </c>
      <c r="T12904" s="29">
        <v>0.5</v>
      </c>
    </row>
    <row r="12905" spans="19:20" x14ac:dyDescent="0.25">
      <c r="S12905" s="78">
        <v>40292</v>
      </c>
      <c r="T12905" s="29">
        <v>0.5</v>
      </c>
    </row>
    <row r="12906" spans="19:20" x14ac:dyDescent="0.25">
      <c r="S12906" s="78">
        <v>40293</v>
      </c>
      <c r="T12906" s="29">
        <v>0.5</v>
      </c>
    </row>
    <row r="12907" spans="19:20" x14ac:dyDescent="0.25">
      <c r="S12907" s="78">
        <v>40294</v>
      </c>
      <c r="T12907" s="29">
        <v>0.5</v>
      </c>
    </row>
    <row r="12908" spans="19:20" x14ac:dyDescent="0.25">
      <c r="S12908" s="78">
        <v>40295</v>
      </c>
      <c r="T12908" s="29">
        <v>0.5</v>
      </c>
    </row>
    <row r="12909" spans="19:20" x14ac:dyDescent="0.25">
      <c r="S12909" s="78">
        <v>40296</v>
      </c>
      <c r="T12909" s="29">
        <v>0.5</v>
      </c>
    </row>
    <row r="12910" spans="19:20" x14ac:dyDescent="0.25">
      <c r="S12910" s="78">
        <v>40297</v>
      </c>
      <c r="T12910" s="29">
        <v>0.5</v>
      </c>
    </row>
    <row r="12911" spans="19:20" x14ac:dyDescent="0.25">
      <c r="S12911" s="78">
        <v>40298</v>
      </c>
      <c r="T12911" s="29">
        <v>0.5</v>
      </c>
    </row>
    <row r="12912" spans="19:20" x14ac:dyDescent="0.25">
      <c r="S12912" s="78">
        <v>40299</v>
      </c>
      <c r="T12912" s="29">
        <v>0.5</v>
      </c>
    </row>
    <row r="12913" spans="19:20" x14ac:dyDescent="0.25">
      <c r="S12913" s="78">
        <v>40300</v>
      </c>
      <c r="T12913" s="29">
        <v>0.5</v>
      </c>
    </row>
    <row r="12914" spans="19:20" x14ac:dyDescent="0.25">
      <c r="S12914" s="78">
        <v>40301</v>
      </c>
      <c r="T12914" s="29">
        <v>0.5</v>
      </c>
    </row>
    <row r="12915" spans="19:20" x14ac:dyDescent="0.25">
      <c r="S12915" s="78">
        <v>40302</v>
      </c>
      <c r="T12915" s="29">
        <v>0.5</v>
      </c>
    </row>
    <row r="12916" spans="19:20" x14ac:dyDescent="0.25">
      <c r="S12916" s="78">
        <v>40303</v>
      </c>
      <c r="T12916" s="29">
        <v>0.5</v>
      </c>
    </row>
    <row r="12917" spans="19:20" x14ac:dyDescent="0.25">
      <c r="S12917" s="78">
        <v>40304</v>
      </c>
      <c r="T12917" s="29">
        <v>0.5</v>
      </c>
    </row>
    <row r="12918" spans="19:20" x14ac:dyDescent="0.25">
      <c r="S12918" s="78">
        <v>40305</v>
      </c>
      <c r="T12918" s="29">
        <v>0.5</v>
      </c>
    </row>
    <row r="12919" spans="19:20" x14ac:dyDescent="0.25">
      <c r="S12919" s="78">
        <v>40306</v>
      </c>
      <c r="T12919" s="29">
        <v>0.5</v>
      </c>
    </row>
    <row r="12920" spans="19:20" x14ac:dyDescent="0.25">
      <c r="S12920" s="78">
        <v>40307</v>
      </c>
      <c r="T12920" s="29">
        <v>0.5</v>
      </c>
    </row>
    <row r="12921" spans="19:20" x14ac:dyDescent="0.25">
      <c r="S12921" s="78">
        <v>40308</v>
      </c>
      <c r="T12921" s="29">
        <v>0.5</v>
      </c>
    </row>
    <row r="12922" spans="19:20" x14ac:dyDescent="0.25">
      <c r="S12922" s="78">
        <v>40309</v>
      </c>
      <c r="T12922" s="29">
        <v>0.5</v>
      </c>
    </row>
    <row r="12923" spans="19:20" x14ac:dyDescent="0.25">
      <c r="S12923" s="78">
        <v>40310</v>
      </c>
      <c r="T12923" s="29">
        <v>0.5</v>
      </c>
    </row>
    <row r="12924" spans="19:20" x14ac:dyDescent="0.25">
      <c r="S12924" s="78">
        <v>40311</v>
      </c>
      <c r="T12924" s="29">
        <v>0.5</v>
      </c>
    </row>
    <row r="12925" spans="19:20" x14ac:dyDescent="0.25">
      <c r="S12925" s="78">
        <v>40312</v>
      </c>
      <c r="T12925" s="29">
        <v>0.5</v>
      </c>
    </row>
    <row r="12926" spans="19:20" x14ac:dyDescent="0.25">
      <c r="S12926" s="78">
        <v>40313</v>
      </c>
      <c r="T12926" s="29">
        <v>0.5</v>
      </c>
    </row>
    <row r="12927" spans="19:20" x14ac:dyDescent="0.25">
      <c r="S12927" s="78">
        <v>40314</v>
      </c>
      <c r="T12927" s="29">
        <v>0.5</v>
      </c>
    </row>
    <row r="12928" spans="19:20" x14ac:dyDescent="0.25">
      <c r="S12928" s="78">
        <v>40315</v>
      </c>
      <c r="T12928" s="29">
        <v>0.5</v>
      </c>
    </row>
    <row r="12929" spans="19:20" x14ac:dyDescent="0.25">
      <c r="S12929" s="78">
        <v>40316</v>
      </c>
      <c r="T12929" s="29">
        <v>0.5</v>
      </c>
    </row>
    <row r="12930" spans="19:20" x14ac:dyDescent="0.25">
      <c r="S12930" s="78">
        <v>40317</v>
      </c>
      <c r="T12930" s="29">
        <v>0.5</v>
      </c>
    </row>
    <row r="12931" spans="19:20" x14ac:dyDescent="0.25">
      <c r="S12931" s="78">
        <v>40318</v>
      </c>
      <c r="T12931" s="29">
        <v>0.5</v>
      </c>
    </row>
    <row r="12932" spans="19:20" x14ac:dyDescent="0.25">
      <c r="S12932" s="78">
        <v>40319</v>
      </c>
      <c r="T12932" s="29">
        <v>0.5</v>
      </c>
    </row>
    <row r="12933" spans="19:20" x14ac:dyDescent="0.25">
      <c r="S12933" s="78">
        <v>40320</v>
      </c>
      <c r="T12933" s="29">
        <v>0.5</v>
      </c>
    </row>
    <row r="12934" spans="19:20" x14ac:dyDescent="0.25">
      <c r="S12934" s="78">
        <v>40321</v>
      </c>
      <c r="T12934" s="29">
        <v>0.5</v>
      </c>
    </row>
    <row r="12935" spans="19:20" x14ac:dyDescent="0.25">
      <c r="S12935" s="78">
        <v>40322</v>
      </c>
      <c r="T12935" s="29">
        <v>0.5</v>
      </c>
    </row>
    <row r="12936" spans="19:20" x14ac:dyDescent="0.25">
      <c r="S12936" s="78">
        <v>40323</v>
      </c>
      <c r="T12936" s="29">
        <v>0.5</v>
      </c>
    </row>
    <row r="12937" spans="19:20" x14ac:dyDescent="0.25">
      <c r="S12937" s="78">
        <v>40324</v>
      </c>
      <c r="T12937" s="29">
        <v>0.5</v>
      </c>
    </row>
    <row r="12938" spans="19:20" x14ac:dyDescent="0.25">
      <c r="S12938" s="78">
        <v>40325</v>
      </c>
      <c r="T12938" s="29">
        <v>0.5</v>
      </c>
    </row>
    <row r="12939" spans="19:20" x14ac:dyDescent="0.25">
      <c r="S12939" s="78">
        <v>40326</v>
      </c>
      <c r="T12939" s="29">
        <v>0.5</v>
      </c>
    </row>
    <row r="12940" spans="19:20" x14ac:dyDescent="0.25">
      <c r="S12940" s="78">
        <v>40327</v>
      </c>
      <c r="T12940" s="29">
        <v>0.5</v>
      </c>
    </row>
    <row r="12941" spans="19:20" x14ac:dyDescent="0.25">
      <c r="S12941" s="78">
        <v>40328</v>
      </c>
      <c r="T12941" s="29">
        <v>0.5</v>
      </c>
    </row>
    <row r="12942" spans="19:20" x14ac:dyDescent="0.25">
      <c r="S12942" s="78">
        <v>40329</v>
      </c>
      <c r="T12942" s="29">
        <v>0.5</v>
      </c>
    </row>
    <row r="12943" spans="19:20" x14ac:dyDescent="0.25">
      <c r="S12943" s="78">
        <v>40330</v>
      </c>
      <c r="T12943" s="29">
        <v>0.5</v>
      </c>
    </row>
    <row r="12944" spans="19:20" x14ac:dyDescent="0.25">
      <c r="S12944" s="78">
        <v>40331</v>
      </c>
      <c r="T12944" s="29">
        <v>0.5</v>
      </c>
    </row>
    <row r="12945" spans="19:20" x14ac:dyDescent="0.25">
      <c r="S12945" s="78">
        <v>40332</v>
      </c>
      <c r="T12945" s="29">
        <v>0.5</v>
      </c>
    </row>
    <row r="12946" spans="19:20" x14ac:dyDescent="0.25">
      <c r="S12946" s="78">
        <v>40333</v>
      </c>
      <c r="T12946" s="29">
        <v>0.5</v>
      </c>
    </row>
    <row r="12947" spans="19:20" x14ac:dyDescent="0.25">
      <c r="S12947" s="78">
        <v>40334</v>
      </c>
      <c r="T12947" s="29">
        <v>0.5</v>
      </c>
    </row>
    <row r="12948" spans="19:20" x14ac:dyDescent="0.25">
      <c r="S12948" s="78">
        <v>40335</v>
      </c>
      <c r="T12948" s="29">
        <v>0.5</v>
      </c>
    </row>
    <row r="12949" spans="19:20" x14ac:dyDescent="0.25">
      <c r="S12949" s="78">
        <v>40336</v>
      </c>
      <c r="T12949" s="29">
        <v>0.5</v>
      </c>
    </row>
    <row r="12950" spans="19:20" x14ac:dyDescent="0.25">
      <c r="S12950" s="78">
        <v>40337</v>
      </c>
      <c r="T12950" s="29">
        <v>0.5</v>
      </c>
    </row>
    <row r="12951" spans="19:20" x14ac:dyDescent="0.25">
      <c r="S12951" s="78">
        <v>40338</v>
      </c>
      <c r="T12951" s="29">
        <v>0.5</v>
      </c>
    </row>
    <row r="12952" spans="19:20" x14ac:dyDescent="0.25">
      <c r="S12952" s="78">
        <v>40339</v>
      </c>
      <c r="T12952" s="29">
        <v>0.5</v>
      </c>
    </row>
    <row r="12953" spans="19:20" x14ac:dyDescent="0.25">
      <c r="S12953" s="78">
        <v>40340</v>
      </c>
      <c r="T12953" s="29">
        <v>0.5</v>
      </c>
    </row>
    <row r="12954" spans="19:20" x14ac:dyDescent="0.25">
      <c r="S12954" s="78">
        <v>40341</v>
      </c>
      <c r="T12954" s="29">
        <v>0.5</v>
      </c>
    </row>
    <row r="12955" spans="19:20" x14ac:dyDescent="0.25">
      <c r="S12955" s="78">
        <v>40342</v>
      </c>
      <c r="T12955" s="29">
        <v>0.5</v>
      </c>
    </row>
    <row r="12956" spans="19:20" x14ac:dyDescent="0.25">
      <c r="S12956" s="78">
        <v>40343</v>
      </c>
      <c r="T12956" s="29">
        <v>0.5</v>
      </c>
    </row>
    <row r="12957" spans="19:20" x14ac:dyDescent="0.25">
      <c r="S12957" s="78">
        <v>40344</v>
      </c>
      <c r="T12957" s="29">
        <v>0.5</v>
      </c>
    </row>
    <row r="12958" spans="19:20" x14ac:dyDescent="0.25">
      <c r="S12958" s="78">
        <v>40345</v>
      </c>
      <c r="T12958" s="29">
        <v>0.5</v>
      </c>
    </row>
    <row r="12959" spans="19:20" x14ac:dyDescent="0.25">
      <c r="S12959" s="78">
        <v>40346</v>
      </c>
      <c r="T12959" s="29">
        <v>0.5</v>
      </c>
    </row>
    <row r="12960" spans="19:20" x14ac:dyDescent="0.25">
      <c r="S12960" s="78">
        <v>40347</v>
      </c>
      <c r="T12960" s="29">
        <v>0.5</v>
      </c>
    </row>
    <row r="12961" spans="19:21" x14ac:dyDescent="0.25">
      <c r="S12961" s="78">
        <v>40348</v>
      </c>
      <c r="T12961" s="29">
        <v>0.5</v>
      </c>
    </row>
    <row r="12962" spans="19:21" x14ac:dyDescent="0.25">
      <c r="S12962" s="78">
        <v>40349</v>
      </c>
      <c r="T12962" s="29">
        <v>0.5</v>
      </c>
    </row>
    <row r="12963" spans="19:21" x14ac:dyDescent="0.25">
      <c r="S12963" s="78">
        <v>40350</v>
      </c>
      <c r="T12963" s="29">
        <v>0.5</v>
      </c>
    </row>
    <row r="12964" spans="19:21" x14ac:dyDescent="0.25">
      <c r="S12964" s="78">
        <v>40351</v>
      </c>
      <c r="T12964" s="29">
        <v>0.5</v>
      </c>
    </row>
    <row r="12965" spans="19:21" x14ac:dyDescent="0.25">
      <c r="S12965" s="78">
        <v>40352</v>
      </c>
      <c r="T12965" s="29">
        <v>0.5</v>
      </c>
    </row>
    <row r="12966" spans="19:21" x14ac:dyDescent="0.25">
      <c r="S12966" s="78">
        <v>40353</v>
      </c>
      <c r="T12966" s="29">
        <v>0.5</v>
      </c>
    </row>
    <row r="12967" spans="19:21" x14ac:dyDescent="0.25">
      <c r="S12967" s="78">
        <v>40354</v>
      </c>
      <c r="T12967" s="29">
        <v>0.5</v>
      </c>
    </row>
    <row r="12968" spans="19:21" x14ac:dyDescent="0.25">
      <c r="S12968" s="78">
        <v>40355</v>
      </c>
      <c r="T12968" s="29">
        <v>0.5</v>
      </c>
    </row>
    <row r="12969" spans="19:21" x14ac:dyDescent="0.25">
      <c r="S12969" s="78">
        <v>40356</v>
      </c>
      <c r="T12969" s="29">
        <v>0.5</v>
      </c>
    </row>
    <row r="12970" spans="19:21" x14ac:dyDescent="0.25">
      <c r="S12970" s="78">
        <v>40357</v>
      </c>
      <c r="T12970" s="29">
        <v>0.5</v>
      </c>
    </row>
    <row r="12971" spans="19:21" x14ac:dyDescent="0.25">
      <c r="S12971" s="78">
        <v>40358</v>
      </c>
      <c r="T12971" s="29">
        <v>0.5</v>
      </c>
    </row>
    <row r="12972" spans="19:21" x14ac:dyDescent="0.25">
      <c r="S12972" s="78">
        <v>40359</v>
      </c>
      <c r="T12972" s="29">
        <v>0.5</v>
      </c>
      <c r="U12972" s="40">
        <f>AVERAGE(T12882:T12972)</f>
        <v>0.5</v>
      </c>
    </row>
    <row r="12973" spans="19:21" x14ac:dyDescent="0.25">
      <c r="S12973" s="78">
        <v>40360</v>
      </c>
      <c r="T12973" s="29">
        <v>0.5</v>
      </c>
    </row>
    <row r="12974" spans="19:21" x14ac:dyDescent="0.25">
      <c r="S12974" s="78">
        <v>40361</v>
      </c>
      <c r="T12974" s="29">
        <v>0.5</v>
      </c>
    </row>
    <row r="12975" spans="19:21" x14ac:dyDescent="0.25">
      <c r="S12975" s="78">
        <v>40362</v>
      </c>
      <c r="T12975" s="29">
        <v>0.5</v>
      </c>
    </row>
    <row r="12976" spans="19:21" x14ac:dyDescent="0.25">
      <c r="S12976" s="78">
        <v>40363</v>
      </c>
      <c r="T12976" s="29">
        <v>0.5</v>
      </c>
    </row>
    <row r="12977" spans="19:20" x14ac:dyDescent="0.25">
      <c r="S12977" s="78">
        <v>40364</v>
      </c>
      <c r="T12977" s="29">
        <v>0.5</v>
      </c>
    </row>
    <row r="12978" spans="19:20" x14ac:dyDescent="0.25">
      <c r="S12978" s="78">
        <v>40365</v>
      </c>
      <c r="T12978" s="29">
        <v>0.5</v>
      </c>
    </row>
    <row r="12979" spans="19:20" x14ac:dyDescent="0.25">
      <c r="S12979" s="78">
        <v>40366</v>
      </c>
      <c r="T12979" s="29">
        <v>0.5</v>
      </c>
    </row>
    <row r="12980" spans="19:20" x14ac:dyDescent="0.25">
      <c r="S12980" s="78">
        <v>40367</v>
      </c>
      <c r="T12980" s="29">
        <v>0.5</v>
      </c>
    </row>
    <row r="12981" spans="19:20" x14ac:dyDescent="0.25">
      <c r="S12981" s="78">
        <v>40368</v>
      </c>
      <c r="T12981" s="29">
        <v>0.5</v>
      </c>
    </row>
    <row r="12982" spans="19:20" x14ac:dyDescent="0.25">
      <c r="S12982" s="78">
        <v>40369</v>
      </c>
      <c r="T12982" s="29">
        <v>0.5</v>
      </c>
    </row>
    <row r="12983" spans="19:20" x14ac:dyDescent="0.25">
      <c r="S12983" s="78">
        <v>40370</v>
      </c>
      <c r="T12983" s="29">
        <v>0.5</v>
      </c>
    </row>
    <row r="12984" spans="19:20" x14ac:dyDescent="0.25">
      <c r="S12984" s="78">
        <v>40371</v>
      </c>
      <c r="T12984" s="29">
        <v>0.5</v>
      </c>
    </row>
    <row r="12985" spans="19:20" x14ac:dyDescent="0.25">
      <c r="S12985" s="78">
        <v>40372</v>
      </c>
      <c r="T12985" s="29">
        <v>0.5</v>
      </c>
    </row>
    <row r="12986" spans="19:20" x14ac:dyDescent="0.25">
      <c r="S12986" s="78">
        <v>40373</v>
      </c>
      <c r="T12986" s="29">
        <v>0.5</v>
      </c>
    </row>
    <row r="12987" spans="19:20" x14ac:dyDescent="0.25">
      <c r="S12987" s="78">
        <v>40374</v>
      </c>
      <c r="T12987" s="29">
        <v>0.5</v>
      </c>
    </row>
    <row r="12988" spans="19:20" x14ac:dyDescent="0.25">
      <c r="S12988" s="78">
        <v>40375</v>
      </c>
      <c r="T12988" s="29">
        <v>0.5</v>
      </c>
    </row>
    <row r="12989" spans="19:20" x14ac:dyDescent="0.25">
      <c r="S12989" s="78">
        <v>40376</v>
      </c>
      <c r="T12989" s="29">
        <v>0.5</v>
      </c>
    </row>
    <row r="12990" spans="19:20" x14ac:dyDescent="0.25">
      <c r="S12990" s="78">
        <v>40377</v>
      </c>
      <c r="T12990" s="29">
        <v>0.5</v>
      </c>
    </row>
    <row r="12991" spans="19:20" x14ac:dyDescent="0.25">
      <c r="S12991" s="78">
        <v>40378</v>
      </c>
      <c r="T12991" s="29">
        <v>0.5</v>
      </c>
    </row>
    <row r="12992" spans="19:20" x14ac:dyDescent="0.25">
      <c r="S12992" s="78">
        <v>40379</v>
      </c>
      <c r="T12992" s="29">
        <v>0.5</v>
      </c>
    </row>
    <row r="12993" spans="19:20" x14ac:dyDescent="0.25">
      <c r="S12993" s="78">
        <v>40380</v>
      </c>
      <c r="T12993" s="29">
        <v>0.5</v>
      </c>
    </row>
    <row r="12994" spans="19:20" x14ac:dyDescent="0.25">
      <c r="S12994" s="78">
        <v>40381</v>
      </c>
      <c r="T12994" s="29">
        <v>0.5</v>
      </c>
    </row>
    <row r="12995" spans="19:20" x14ac:dyDescent="0.25">
      <c r="S12995" s="78">
        <v>40382</v>
      </c>
      <c r="T12995" s="29">
        <v>0.5</v>
      </c>
    </row>
    <row r="12996" spans="19:20" x14ac:dyDescent="0.25">
      <c r="S12996" s="78">
        <v>40383</v>
      </c>
      <c r="T12996" s="29">
        <v>0.5</v>
      </c>
    </row>
    <row r="12997" spans="19:20" x14ac:dyDescent="0.25">
      <c r="S12997" s="78">
        <v>40384</v>
      </c>
      <c r="T12997" s="29">
        <v>0.5</v>
      </c>
    </row>
    <row r="12998" spans="19:20" x14ac:dyDescent="0.25">
      <c r="S12998" s="78">
        <v>40385</v>
      </c>
      <c r="T12998" s="29">
        <v>0.5</v>
      </c>
    </row>
    <row r="12999" spans="19:20" x14ac:dyDescent="0.25">
      <c r="S12999" s="78">
        <v>40386</v>
      </c>
      <c r="T12999" s="29">
        <v>0.5</v>
      </c>
    </row>
    <row r="13000" spans="19:20" x14ac:dyDescent="0.25">
      <c r="S13000" s="78">
        <v>40387</v>
      </c>
      <c r="T13000" s="29">
        <v>0.5</v>
      </c>
    </row>
    <row r="13001" spans="19:20" x14ac:dyDescent="0.25">
      <c r="S13001" s="78">
        <v>40388</v>
      </c>
      <c r="T13001" s="29">
        <v>0.5</v>
      </c>
    </row>
    <row r="13002" spans="19:20" x14ac:dyDescent="0.25">
      <c r="S13002" s="78">
        <v>40389</v>
      </c>
      <c r="T13002" s="29">
        <v>0.5</v>
      </c>
    </row>
    <row r="13003" spans="19:20" x14ac:dyDescent="0.25">
      <c r="S13003" s="78">
        <v>40390</v>
      </c>
      <c r="T13003" s="29">
        <v>0.5</v>
      </c>
    </row>
    <row r="13004" spans="19:20" x14ac:dyDescent="0.25">
      <c r="S13004" s="78">
        <v>40391</v>
      </c>
      <c r="T13004" s="29">
        <v>0.5</v>
      </c>
    </row>
    <row r="13005" spans="19:20" x14ac:dyDescent="0.25">
      <c r="S13005" s="78">
        <v>40392</v>
      </c>
      <c r="T13005" s="29">
        <v>0.5</v>
      </c>
    </row>
    <row r="13006" spans="19:20" x14ac:dyDescent="0.25">
      <c r="S13006" s="78">
        <v>40393</v>
      </c>
      <c r="T13006" s="29">
        <v>0.5</v>
      </c>
    </row>
    <row r="13007" spans="19:20" x14ac:dyDescent="0.25">
      <c r="S13007" s="78">
        <v>40394</v>
      </c>
      <c r="T13007" s="29">
        <v>0.5</v>
      </c>
    </row>
    <row r="13008" spans="19:20" x14ac:dyDescent="0.25">
      <c r="S13008" s="78">
        <v>40395</v>
      </c>
      <c r="T13008" s="29">
        <v>0.5</v>
      </c>
    </row>
    <row r="13009" spans="19:20" x14ac:dyDescent="0.25">
      <c r="S13009" s="78">
        <v>40396</v>
      </c>
      <c r="T13009" s="29">
        <v>0.5</v>
      </c>
    </row>
    <row r="13010" spans="19:20" x14ac:dyDescent="0.25">
      <c r="S13010" s="78">
        <v>40397</v>
      </c>
      <c r="T13010" s="29">
        <v>0.5</v>
      </c>
    </row>
    <row r="13011" spans="19:20" x14ac:dyDescent="0.25">
      <c r="S13011" s="78">
        <v>40398</v>
      </c>
      <c r="T13011" s="29">
        <v>0.5</v>
      </c>
    </row>
    <row r="13012" spans="19:20" x14ac:dyDescent="0.25">
      <c r="S13012" s="78">
        <v>40399</v>
      </c>
      <c r="T13012" s="29">
        <v>0.5</v>
      </c>
    </row>
    <row r="13013" spans="19:20" x14ac:dyDescent="0.25">
      <c r="S13013" s="78">
        <v>40400</v>
      </c>
      <c r="T13013" s="29">
        <v>0.5</v>
      </c>
    </row>
    <row r="13014" spans="19:20" x14ac:dyDescent="0.25">
      <c r="S13014" s="78">
        <v>40401</v>
      </c>
      <c r="T13014" s="29">
        <v>0.5</v>
      </c>
    </row>
    <row r="13015" spans="19:20" x14ac:dyDescent="0.25">
      <c r="S13015" s="78">
        <v>40402</v>
      </c>
      <c r="T13015" s="29">
        <v>0.5</v>
      </c>
    </row>
    <row r="13016" spans="19:20" x14ac:dyDescent="0.25">
      <c r="S13016" s="78">
        <v>40403</v>
      </c>
      <c r="T13016" s="29">
        <v>0.5</v>
      </c>
    </row>
    <row r="13017" spans="19:20" x14ac:dyDescent="0.25">
      <c r="S13017" s="78">
        <v>40404</v>
      </c>
      <c r="T13017" s="29">
        <v>0.5</v>
      </c>
    </row>
    <row r="13018" spans="19:20" x14ac:dyDescent="0.25">
      <c r="S13018" s="78">
        <v>40405</v>
      </c>
      <c r="T13018" s="29">
        <v>0.5</v>
      </c>
    </row>
    <row r="13019" spans="19:20" x14ac:dyDescent="0.25">
      <c r="S13019" s="78">
        <v>40406</v>
      </c>
      <c r="T13019" s="29">
        <v>0.5</v>
      </c>
    </row>
    <row r="13020" spans="19:20" x14ac:dyDescent="0.25">
      <c r="S13020" s="78">
        <v>40407</v>
      </c>
      <c r="T13020" s="29">
        <v>0.5</v>
      </c>
    </row>
    <row r="13021" spans="19:20" x14ac:dyDescent="0.25">
      <c r="S13021" s="78">
        <v>40408</v>
      </c>
      <c r="T13021" s="29">
        <v>0.5</v>
      </c>
    </row>
    <row r="13022" spans="19:20" x14ac:dyDescent="0.25">
      <c r="S13022" s="78">
        <v>40409</v>
      </c>
      <c r="T13022" s="29">
        <v>0.5</v>
      </c>
    </row>
    <row r="13023" spans="19:20" x14ac:dyDescent="0.25">
      <c r="S13023" s="78">
        <v>40410</v>
      </c>
      <c r="T13023" s="29">
        <v>0.5</v>
      </c>
    </row>
    <row r="13024" spans="19:20" x14ac:dyDescent="0.25">
      <c r="S13024" s="78">
        <v>40411</v>
      </c>
      <c r="T13024" s="29">
        <v>0.5</v>
      </c>
    </row>
    <row r="13025" spans="19:20" x14ac:dyDescent="0.25">
      <c r="S13025" s="78">
        <v>40412</v>
      </c>
      <c r="T13025" s="29">
        <v>0.5</v>
      </c>
    </row>
    <row r="13026" spans="19:20" x14ac:dyDescent="0.25">
      <c r="S13026" s="78">
        <v>40413</v>
      </c>
      <c r="T13026" s="29">
        <v>0.5</v>
      </c>
    </row>
    <row r="13027" spans="19:20" x14ac:dyDescent="0.25">
      <c r="S13027" s="78">
        <v>40414</v>
      </c>
      <c r="T13027" s="29">
        <v>0.5</v>
      </c>
    </row>
    <row r="13028" spans="19:20" x14ac:dyDescent="0.25">
      <c r="S13028" s="78">
        <v>40415</v>
      </c>
      <c r="T13028" s="29">
        <v>0.5</v>
      </c>
    </row>
    <row r="13029" spans="19:20" x14ac:dyDescent="0.25">
      <c r="S13029" s="78">
        <v>40416</v>
      </c>
      <c r="T13029" s="29">
        <v>0.5</v>
      </c>
    </row>
    <row r="13030" spans="19:20" x14ac:dyDescent="0.25">
      <c r="S13030" s="78">
        <v>40417</v>
      </c>
      <c r="T13030" s="29">
        <v>0.5</v>
      </c>
    </row>
    <row r="13031" spans="19:20" x14ac:dyDescent="0.25">
      <c r="S13031" s="78">
        <v>40418</v>
      </c>
      <c r="T13031" s="29">
        <v>0.5</v>
      </c>
    </row>
    <row r="13032" spans="19:20" x14ac:dyDescent="0.25">
      <c r="S13032" s="78">
        <v>40419</v>
      </c>
      <c r="T13032" s="29">
        <v>0.5</v>
      </c>
    </row>
    <row r="13033" spans="19:20" x14ac:dyDescent="0.25">
      <c r="S13033" s="78">
        <v>40420</v>
      </c>
      <c r="T13033" s="29">
        <v>0.5</v>
      </c>
    </row>
    <row r="13034" spans="19:20" x14ac:dyDescent="0.25">
      <c r="S13034" s="78">
        <v>40421</v>
      </c>
      <c r="T13034" s="29">
        <v>0.5</v>
      </c>
    </row>
    <row r="13035" spans="19:20" x14ac:dyDescent="0.25">
      <c r="S13035" s="78">
        <v>40422</v>
      </c>
      <c r="T13035" s="29">
        <v>0.5</v>
      </c>
    </row>
    <row r="13036" spans="19:20" x14ac:dyDescent="0.25">
      <c r="S13036" s="78">
        <v>40423</v>
      </c>
      <c r="T13036" s="29">
        <v>0.5</v>
      </c>
    </row>
    <row r="13037" spans="19:20" x14ac:dyDescent="0.25">
      <c r="S13037" s="78">
        <v>40424</v>
      </c>
      <c r="T13037" s="29">
        <v>0.5</v>
      </c>
    </row>
    <row r="13038" spans="19:20" x14ac:dyDescent="0.25">
      <c r="S13038" s="78">
        <v>40425</v>
      </c>
      <c r="T13038" s="29">
        <v>0.5</v>
      </c>
    </row>
    <row r="13039" spans="19:20" x14ac:dyDescent="0.25">
      <c r="S13039" s="78">
        <v>40426</v>
      </c>
      <c r="T13039" s="29">
        <v>0.5</v>
      </c>
    </row>
    <row r="13040" spans="19:20" x14ac:dyDescent="0.25">
      <c r="S13040" s="78">
        <v>40427</v>
      </c>
      <c r="T13040" s="29">
        <v>0.5</v>
      </c>
    </row>
    <row r="13041" spans="19:20" x14ac:dyDescent="0.25">
      <c r="S13041" s="78">
        <v>40428</v>
      </c>
      <c r="T13041" s="29">
        <v>0.5</v>
      </c>
    </row>
    <row r="13042" spans="19:20" x14ac:dyDescent="0.25">
      <c r="S13042" s="78">
        <v>40429</v>
      </c>
      <c r="T13042" s="29">
        <v>0.5</v>
      </c>
    </row>
    <row r="13043" spans="19:20" x14ac:dyDescent="0.25">
      <c r="S13043" s="78">
        <v>40430</v>
      </c>
      <c r="T13043" s="29">
        <v>0.5</v>
      </c>
    </row>
    <row r="13044" spans="19:20" x14ac:dyDescent="0.25">
      <c r="S13044" s="78">
        <v>40431</v>
      </c>
      <c r="T13044" s="29">
        <v>0.5</v>
      </c>
    </row>
    <row r="13045" spans="19:20" x14ac:dyDescent="0.25">
      <c r="S13045" s="78">
        <v>40432</v>
      </c>
      <c r="T13045" s="29">
        <v>0.5</v>
      </c>
    </row>
    <row r="13046" spans="19:20" x14ac:dyDescent="0.25">
      <c r="S13046" s="78">
        <v>40433</v>
      </c>
      <c r="T13046" s="29">
        <v>0.5</v>
      </c>
    </row>
    <row r="13047" spans="19:20" x14ac:dyDescent="0.25">
      <c r="S13047" s="78">
        <v>40434</v>
      </c>
      <c r="T13047" s="29">
        <v>0.5</v>
      </c>
    </row>
    <row r="13048" spans="19:20" x14ac:dyDescent="0.25">
      <c r="S13048" s="78">
        <v>40435</v>
      </c>
      <c r="T13048" s="29">
        <v>0.5</v>
      </c>
    </row>
    <row r="13049" spans="19:20" x14ac:dyDescent="0.25">
      <c r="S13049" s="78">
        <v>40436</v>
      </c>
      <c r="T13049" s="29">
        <v>0.5</v>
      </c>
    </row>
    <row r="13050" spans="19:20" x14ac:dyDescent="0.25">
      <c r="S13050" s="78">
        <v>40437</v>
      </c>
      <c r="T13050" s="29">
        <v>0.5</v>
      </c>
    </row>
    <row r="13051" spans="19:20" x14ac:dyDescent="0.25">
      <c r="S13051" s="78">
        <v>40438</v>
      </c>
      <c r="T13051" s="29">
        <v>0.5</v>
      </c>
    </row>
    <row r="13052" spans="19:20" x14ac:dyDescent="0.25">
      <c r="S13052" s="78">
        <v>40439</v>
      </c>
      <c r="T13052" s="29">
        <v>0.5</v>
      </c>
    </row>
    <row r="13053" spans="19:20" x14ac:dyDescent="0.25">
      <c r="S13053" s="78">
        <v>40440</v>
      </c>
      <c r="T13053" s="29">
        <v>0.5</v>
      </c>
    </row>
    <row r="13054" spans="19:20" x14ac:dyDescent="0.25">
      <c r="S13054" s="78">
        <v>40441</v>
      </c>
      <c r="T13054" s="29">
        <v>0.5</v>
      </c>
    </row>
    <row r="13055" spans="19:20" x14ac:dyDescent="0.25">
      <c r="S13055" s="78">
        <v>40442</v>
      </c>
      <c r="T13055" s="29">
        <v>0.5</v>
      </c>
    </row>
    <row r="13056" spans="19:20" x14ac:dyDescent="0.25">
      <c r="S13056" s="78">
        <v>40443</v>
      </c>
      <c r="T13056" s="29">
        <v>0.5</v>
      </c>
    </row>
    <row r="13057" spans="19:21" x14ac:dyDescent="0.25">
      <c r="S13057" s="78">
        <v>40444</v>
      </c>
      <c r="T13057" s="29">
        <v>0.5</v>
      </c>
    </row>
    <row r="13058" spans="19:21" x14ac:dyDescent="0.25">
      <c r="S13058" s="78">
        <v>40445</v>
      </c>
      <c r="T13058" s="29">
        <v>0.5</v>
      </c>
    </row>
    <row r="13059" spans="19:21" x14ac:dyDescent="0.25">
      <c r="S13059" s="78">
        <v>40446</v>
      </c>
      <c r="T13059" s="29">
        <v>0.5</v>
      </c>
    </row>
    <row r="13060" spans="19:21" x14ac:dyDescent="0.25">
      <c r="S13060" s="78">
        <v>40447</v>
      </c>
      <c r="T13060" s="29">
        <v>0.5</v>
      </c>
    </row>
    <row r="13061" spans="19:21" x14ac:dyDescent="0.25">
      <c r="S13061" s="78">
        <v>40448</v>
      </c>
      <c r="T13061" s="29">
        <v>0.5</v>
      </c>
    </row>
    <row r="13062" spans="19:21" x14ac:dyDescent="0.25">
      <c r="S13062" s="78">
        <v>40449</v>
      </c>
      <c r="T13062" s="29">
        <v>0.5</v>
      </c>
    </row>
    <row r="13063" spans="19:21" x14ac:dyDescent="0.25">
      <c r="S13063" s="78">
        <v>40450</v>
      </c>
      <c r="T13063" s="29">
        <v>0.5</v>
      </c>
    </row>
    <row r="13064" spans="19:21" x14ac:dyDescent="0.25">
      <c r="S13064" s="78">
        <v>40451</v>
      </c>
      <c r="T13064" s="29">
        <v>0.5</v>
      </c>
      <c r="U13064" s="40">
        <f>AVERAGE(T12973:T13064)</f>
        <v>0.5</v>
      </c>
    </row>
    <row r="13065" spans="19:21" x14ac:dyDescent="0.25">
      <c r="S13065" s="78">
        <v>40452</v>
      </c>
      <c r="T13065" s="29">
        <v>0.5</v>
      </c>
    </row>
    <row r="13066" spans="19:21" x14ac:dyDescent="0.25">
      <c r="S13066" s="78">
        <v>40453</v>
      </c>
      <c r="T13066" s="29">
        <v>0.5</v>
      </c>
    </row>
    <row r="13067" spans="19:21" x14ac:dyDescent="0.25">
      <c r="S13067" s="78">
        <v>40454</v>
      </c>
      <c r="T13067" s="29">
        <v>0.5</v>
      </c>
    </row>
    <row r="13068" spans="19:21" x14ac:dyDescent="0.25">
      <c r="S13068" s="78">
        <v>40455</v>
      </c>
      <c r="T13068" s="29">
        <v>0.5</v>
      </c>
    </row>
    <row r="13069" spans="19:21" x14ac:dyDescent="0.25">
      <c r="S13069" s="78">
        <v>40456</v>
      </c>
      <c r="T13069" s="29">
        <v>0.5</v>
      </c>
    </row>
    <row r="13070" spans="19:21" x14ac:dyDescent="0.25">
      <c r="S13070" s="78">
        <v>40457</v>
      </c>
      <c r="T13070" s="29">
        <v>0.5</v>
      </c>
    </row>
    <row r="13071" spans="19:21" x14ac:dyDescent="0.25">
      <c r="S13071" s="78">
        <v>40458</v>
      </c>
      <c r="T13071" s="29">
        <v>0.5</v>
      </c>
    </row>
    <row r="13072" spans="19:21" x14ac:dyDescent="0.25">
      <c r="S13072" s="78">
        <v>40459</v>
      </c>
      <c r="T13072" s="29">
        <v>0.5</v>
      </c>
    </row>
    <row r="13073" spans="19:20" x14ac:dyDescent="0.25">
      <c r="S13073" s="78">
        <v>40460</v>
      </c>
      <c r="T13073" s="29">
        <v>0.5</v>
      </c>
    </row>
    <row r="13074" spans="19:20" x14ac:dyDescent="0.25">
      <c r="S13074" s="78">
        <v>40461</v>
      </c>
      <c r="T13074" s="29">
        <v>0.5</v>
      </c>
    </row>
    <row r="13075" spans="19:20" x14ac:dyDescent="0.25">
      <c r="S13075" s="78">
        <v>40462</v>
      </c>
      <c r="T13075" s="29">
        <v>0.5</v>
      </c>
    </row>
    <row r="13076" spans="19:20" x14ac:dyDescent="0.25">
      <c r="S13076" s="78">
        <v>40463</v>
      </c>
      <c r="T13076" s="29">
        <v>0.5</v>
      </c>
    </row>
    <row r="13077" spans="19:20" x14ac:dyDescent="0.25">
      <c r="S13077" s="78">
        <v>40464</v>
      </c>
      <c r="T13077" s="29">
        <v>0.5</v>
      </c>
    </row>
    <row r="13078" spans="19:20" x14ac:dyDescent="0.25">
      <c r="S13078" s="78">
        <v>40465</v>
      </c>
      <c r="T13078" s="29">
        <v>0.5</v>
      </c>
    </row>
    <row r="13079" spans="19:20" x14ac:dyDescent="0.25">
      <c r="S13079" s="78">
        <v>40466</v>
      </c>
      <c r="T13079" s="29">
        <v>0.5</v>
      </c>
    </row>
    <row r="13080" spans="19:20" x14ac:dyDescent="0.25">
      <c r="S13080" s="78">
        <v>40467</v>
      </c>
      <c r="T13080" s="29">
        <v>0.5</v>
      </c>
    </row>
    <row r="13081" spans="19:20" x14ac:dyDescent="0.25">
      <c r="S13081" s="78">
        <v>40468</v>
      </c>
      <c r="T13081" s="29">
        <v>0.5</v>
      </c>
    </row>
    <row r="13082" spans="19:20" x14ac:dyDescent="0.25">
      <c r="S13082" s="78">
        <v>40469</v>
      </c>
      <c r="T13082" s="29">
        <v>0.5</v>
      </c>
    </row>
    <row r="13083" spans="19:20" x14ac:dyDescent="0.25">
      <c r="S13083" s="78">
        <v>40470</v>
      </c>
      <c r="T13083" s="29">
        <v>0.5</v>
      </c>
    </row>
    <row r="13084" spans="19:20" x14ac:dyDescent="0.25">
      <c r="S13084" s="78">
        <v>40471</v>
      </c>
      <c r="T13084" s="29">
        <v>0.5</v>
      </c>
    </row>
    <row r="13085" spans="19:20" x14ac:dyDescent="0.25">
      <c r="S13085" s="78">
        <v>40472</v>
      </c>
      <c r="T13085" s="29">
        <v>0.5</v>
      </c>
    </row>
    <row r="13086" spans="19:20" x14ac:dyDescent="0.25">
      <c r="S13086" s="78">
        <v>40473</v>
      </c>
      <c r="T13086" s="29">
        <v>0.5</v>
      </c>
    </row>
    <row r="13087" spans="19:20" x14ac:dyDescent="0.25">
      <c r="S13087" s="78">
        <v>40474</v>
      </c>
      <c r="T13087" s="29">
        <v>0.5</v>
      </c>
    </row>
    <row r="13088" spans="19:20" x14ac:dyDescent="0.25">
      <c r="S13088" s="78">
        <v>40475</v>
      </c>
      <c r="T13088" s="29">
        <v>0.5</v>
      </c>
    </row>
    <row r="13089" spans="19:20" x14ac:dyDescent="0.25">
      <c r="S13089" s="78">
        <v>40476</v>
      </c>
      <c r="T13089" s="29">
        <v>0.5</v>
      </c>
    </row>
    <row r="13090" spans="19:20" x14ac:dyDescent="0.25">
      <c r="S13090" s="78">
        <v>40477</v>
      </c>
      <c r="T13090" s="29">
        <v>0.5</v>
      </c>
    </row>
    <row r="13091" spans="19:20" x14ac:dyDescent="0.25">
      <c r="S13091" s="78">
        <v>40478</v>
      </c>
      <c r="T13091" s="29">
        <v>0.5</v>
      </c>
    </row>
    <row r="13092" spans="19:20" x14ac:dyDescent="0.25">
      <c r="S13092" s="78">
        <v>40479</v>
      </c>
      <c r="T13092" s="29">
        <v>0.5</v>
      </c>
    </row>
    <row r="13093" spans="19:20" x14ac:dyDescent="0.25">
      <c r="S13093" s="78">
        <v>40480</v>
      </c>
      <c r="T13093" s="29">
        <v>0.5</v>
      </c>
    </row>
    <row r="13094" spans="19:20" x14ac:dyDescent="0.25">
      <c r="S13094" s="78">
        <v>40481</v>
      </c>
      <c r="T13094" s="29">
        <v>0.5</v>
      </c>
    </row>
    <row r="13095" spans="19:20" x14ac:dyDescent="0.25">
      <c r="S13095" s="78">
        <v>40482</v>
      </c>
      <c r="T13095" s="29">
        <v>0.5</v>
      </c>
    </row>
    <row r="13096" spans="19:20" x14ac:dyDescent="0.25">
      <c r="S13096" s="78">
        <v>40483</v>
      </c>
      <c r="T13096" s="29">
        <v>0.5</v>
      </c>
    </row>
    <row r="13097" spans="19:20" x14ac:dyDescent="0.25">
      <c r="S13097" s="78">
        <v>40484</v>
      </c>
      <c r="T13097" s="29">
        <v>0.5</v>
      </c>
    </row>
    <row r="13098" spans="19:20" x14ac:dyDescent="0.25">
      <c r="S13098" s="78">
        <v>40485</v>
      </c>
      <c r="T13098" s="29">
        <v>0.5</v>
      </c>
    </row>
    <row r="13099" spans="19:20" x14ac:dyDescent="0.25">
      <c r="S13099" s="78">
        <v>40486</v>
      </c>
      <c r="T13099" s="29">
        <v>0.5</v>
      </c>
    </row>
    <row r="13100" spans="19:20" x14ac:dyDescent="0.25">
      <c r="S13100" s="78">
        <v>40487</v>
      </c>
      <c r="T13100" s="29">
        <v>0.5</v>
      </c>
    </row>
    <row r="13101" spans="19:20" x14ac:dyDescent="0.25">
      <c r="S13101" s="78">
        <v>40488</v>
      </c>
      <c r="T13101" s="29">
        <v>0.5</v>
      </c>
    </row>
    <row r="13102" spans="19:20" x14ac:dyDescent="0.25">
      <c r="S13102" s="78">
        <v>40489</v>
      </c>
      <c r="T13102" s="29">
        <v>0.5</v>
      </c>
    </row>
    <row r="13103" spans="19:20" x14ac:dyDescent="0.25">
      <c r="S13103" s="78">
        <v>40490</v>
      </c>
      <c r="T13103" s="29">
        <v>0.5</v>
      </c>
    </row>
    <row r="13104" spans="19:20" x14ac:dyDescent="0.25">
      <c r="S13104" s="78">
        <v>40491</v>
      </c>
      <c r="T13104" s="29">
        <v>0.5</v>
      </c>
    </row>
    <row r="13105" spans="19:20" x14ac:dyDescent="0.25">
      <c r="S13105" s="78">
        <v>40492</v>
      </c>
      <c r="T13105" s="29">
        <v>0.5</v>
      </c>
    </row>
    <row r="13106" spans="19:20" x14ac:dyDescent="0.25">
      <c r="S13106" s="78">
        <v>40493</v>
      </c>
      <c r="T13106" s="29">
        <v>0.5</v>
      </c>
    </row>
    <row r="13107" spans="19:20" x14ac:dyDescent="0.25">
      <c r="S13107" s="78">
        <v>40494</v>
      </c>
      <c r="T13107" s="29">
        <v>0.5</v>
      </c>
    </row>
    <row r="13108" spans="19:20" x14ac:dyDescent="0.25">
      <c r="S13108" s="78">
        <v>40495</v>
      </c>
      <c r="T13108" s="29">
        <v>0.5</v>
      </c>
    </row>
    <row r="13109" spans="19:20" x14ac:dyDescent="0.25">
      <c r="S13109" s="78">
        <v>40496</v>
      </c>
      <c r="T13109" s="29">
        <v>0.5</v>
      </c>
    </row>
    <row r="13110" spans="19:20" x14ac:dyDescent="0.25">
      <c r="S13110" s="78">
        <v>40497</v>
      </c>
      <c r="T13110" s="29">
        <v>0.5</v>
      </c>
    </row>
    <row r="13111" spans="19:20" x14ac:dyDescent="0.25">
      <c r="S13111" s="78">
        <v>40498</v>
      </c>
      <c r="T13111" s="29">
        <v>0.5</v>
      </c>
    </row>
    <row r="13112" spans="19:20" x14ac:dyDescent="0.25">
      <c r="S13112" s="78">
        <v>40499</v>
      </c>
      <c r="T13112" s="29">
        <v>0.5</v>
      </c>
    </row>
    <row r="13113" spans="19:20" x14ac:dyDescent="0.25">
      <c r="S13113" s="78">
        <v>40500</v>
      </c>
      <c r="T13113" s="29">
        <v>0.5</v>
      </c>
    </row>
    <row r="13114" spans="19:20" x14ac:dyDescent="0.25">
      <c r="S13114" s="78">
        <v>40501</v>
      </c>
      <c r="T13114" s="29">
        <v>0.5</v>
      </c>
    </row>
    <row r="13115" spans="19:20" x14ac:dyDescent="0.25">
      <c r="S13115" s="78">
        <v>40502</v>
      </c>
      <c r="T13115" s="29">
        <v>0.5</v>
      </c>
    </row>
    <row r="13116" spans="19:20" x14ac:dyDescent="0.25">
      <c r="S13116" s="78">
        <v>40503</v>
      </c>
      <c r="T13116" s="29">
        <v>0.5</v>
      </c>
    </row>
    <row r="13117" spans="19:20" x14ac:dyDescent="0.25">
      <c r="S13117" s="78">
        <v>40504</v>
      </c>
      <c r="T13117" s="29">
        <v>0.5</v>
      </c>
    </row>
    <row r="13118" spans="19:20" x14ac:dyDescent="0.25">
      <c r="S13118" s="78">
        <v>40505</v>
      </c>
      <c r="T13118" s="29">
        <v>0.5</v>
      </c>
    </row>
    <row r="13119" spans="19:20" x14ac:dyDescent="0.25">
      <c r="S13119" s="78">
        <v>40506</v>
      </c>
      <c r="T13119" s="29">
        <v>0.5</v>
      </c>
    </row>
    <row r="13120" spans="19:20" x14ac:dyDescent="0.25">
      <c r="S13120" s="78">
        <v>40507</v>
      </c>
      <c r="T13120" s="29">
        <v>0.5</v>
      </c>
    </row>
    <row r="13121" spans="19:20" x14ac:dyDescent="0.25">
      <c r="S13121" s="78">
        <v>40508</v>
      </c>
      <c r="T13121" s="29">
        <v>0.5</v>
      </c>
    </row>
    <row r="13122" spans="19:20" x14ac:dyDescent="0.25">
      <c r="S13122" s="78">
        <v>40509</v>
      </c>
      <c r="T13122" s="29">
        <v>0.5</v>
      </c>
    </row>
    <row r="13123" spans="19:20" x14ac:dyDescent="0.25">
      <c r="S13123" s="78">
        <v>40510</v>
      </c>
      <c r="T13123" s="29">
        <v>0.5</v>
      </c>
    </row>
    <row r="13124" spans="19:20" x14ac:dyDescent="0.25">
      <c r="S13124" s="78">
        <v>40511</v>
      </c>
      <c r="T13124" s="29">
        <v>0.5</v>
      </c>
    </row>
    <row r="13125" spans="19:20" x14ac:dyDescent="0.25">
      <c r="S13125" s="78">
        <v>40512</v>
      </c>
      <c r="T13125" s="29">
        <v>0.5</v>
      </c>
    </row>
    <row r="13126" spans="19:20" x14ac:dyDescent="0.25">
      <c r="S13126" s="78">
        <v>40513</v>
      </c>
      <c r="T13126" s="29">
        <v>0.5</v>
      </c>
    </row>
    <row r="13127" spans="19:20" x14ac:dyDescent="0.25">
      <c r="S13127" s="78">
        <v>40514</v>
      </c>
      <c r="T13127" s="29">
        <v>0.5</v>
      </c>
    </row>
    <row r="13128" spans="19:20" x14ac:dyDescent="0.25">
      <c r="S13128" s="78">
        <v>40515</v>
      </c>
      <c r="T13128" s="29">
        <v>0.5</v>
      </c>
    </row>
    <row r="13129" spans="19:20" x14ac:dyDescent="0.25">
      <c r="S13129" s="78">
        <v>40516</v>
      </c>
      <c r="T13129" s="29">
        <v>0.5</v>
      </c>
    </row>
    <row r="13130" spans="19:20" x14ac:dyDescent="0.25">
      <c r="S13130" s="78">
        <v>40517</v>
      </c>
      <c r="T13130" s="29">
        <v>0.5</v>
      </c>
    </row>
    <row r="13131" spans="19:20" x14ac:dyDescent="0.25">
      <c r="S13131" s="78">
        <v>40518</v>
      </c>
      <c r="T13131" s="29">
        <v>0.5</v>
      </c>
    </row>
    <row r="13132" spans="19:20" x14ac:dyDescent="0.25">
      <c r="S13132" s="78">
        <v>40519</v>
      </c>
      <c r="T13132" s="29">
        <v>0.5</v>
      </c>
    </row>
    <row r="13133" spans="19:20" x14ac:dyDescent="0.25">
      <c r="S13133" s="78">
        <v>40520</v>
      </c>
      <c r="T13133" s="29">
        <v>0.5</v>
      </c>
    </row>
    <row r="13134" spans="19:20" x14ac:dyDescent="0.25">
      <c r="S13134" s="78">
        <v>40521</v>
      </c>
      <c r="T13134" s="29">
        <v>0.5</v>
      </c>
    </row>
    <row r="13135" spans="19:20" x14ac:dyDescent="0.25">
      <c r="S13135" s="78">
        <v>40522</v>
      </c>
      <c r="T13135" s="29">
        <v>0.5</v>
      </c>
    </row>
    <row r="13136" spans="19:20" x14ac:dyDescent="0.25">
      <c r="S13136" s="78">
        <v>40523</v>
      </c>
      <c r="T13136" s="29">
        <v>0.5</v>
      </c>
    </row>
    <row r="13137" spans="19:20" x14ac:dyDescent="0.25">
      <c r="S13137" s="78">
        <v>40524</v>
      </c>
      <c r="T13137" s="29">
        <v>0.5</v>
      </c>
    </row>
    <row r="13138" spans="19:20" x14ac:dyDescent="0.25">
      <c r="S13138" s="78">
        <v>40525</v>
      </c>
      <c r="T13138" s="29">
        <v>0.5</v>
      </c>
    </row>
    <row r="13139" spans="19:20" x14ac:dyDescent="0.25">
      <c r="S13139" s="78">
        <v>40526</v>
      </c>
      <c r="T13139" s="29">
        <v>0.5</v>
      </c>
    </row>
    <row r="13140" spans="19:20" x14ac:dyDescent="0.25">
      <c r="S13140" s="78">
        <v>40527</v>
      </c>
      <c r="T13140" s="29">
        <v>0.5</v>
      </c>
    </row>
    <row r="13141" spans="19:20" x14ac:dyDescent="0.25">
      <c r="S13141" s="78">
        <v>40528</v>
      </c>
      <c r="T13141" s="29">
        <v>0.5</v>
      </c>
    </row>
    <row r="13142" spans="19:20" x14ac:dyDescent="0.25">
      <c r="S13142" s="78">
        <v>40529</v>
      </c>
      <c r="T13142" s="29">
        <v>0.5</v>
      </c>
    </row>
    <row r="13143" spans="19:20" x14ac:dyDescent="0.25">
      <c r="S13143" s="78">
        <v>40530</v>
      </c>
      <c r="T13143" s="29">
        <v>0.5</v>
      </c>
    </row>
    <row r="13144" spans="19:20" x14ac:dyDescent="0.25">
      <c r="S13144" s="78">
        <v>40531</v>
      </c>
      <c r="T13144" s="29">
        <v>0.5</v>
      </c>
    </row>
    <row r="13145" spans="19:20" x14ac:dyDescent="0.25">
      <c r="S13145" s="78">
        <v>40532</v>
      </c>
      <c r="T13145" s="29">
        <v>0.5</v>
      </c>
    </row>
    <row r="13146" spans="19:20" x14ac:dyDescent="0.25">
      <c r="S13146" s="78">
        <v>40533</v>
      </c>
      <c r="T13146" s="29">
        <v>0.5</v>
      </c>
    </row>
    <row r="13147" spans="19:20" x14ac:dyDescent="0.25">
      <c r="S13147" s="78">
        <v>40534</v>
      </c>
      <c r="T13147" s="29">
        <v>0.5</v>
      </c>
    </row>
    <row r="13148" spans="19:20" x14ac:dyDescent="0.25">
      <c r="S13148" s="78">
        <v>40535</v>
      </c>
      <c r="T13148" s="29">
        <v>0.5</v>
      </c>
    </row>
    <row r="13149" spans="19:20" x14ac:dyDescent="0.25">
      <c r="S13149" s="78">
        <v>40536</v>
      </c>
      <c r="T13149" s="29">
        <v>0.5</v>
      </c>
    </row>
    <row r="13150" spans="19:20" x14ac:dyDescent="0.25">
      <c r="S13150" s="78">
        <v>40537</v>
      </c>
      <c r="T13150" s="29">
        <v>0.5</v>
      </c>
    </row>
    <row r="13151" spans="19:20" x14ac:dyDescent="0.25">
      <c r="S13151" s="78">
        <v>40538</v>
      </c>
      <c r="T13151" s="29">
        <v>0.5</v>
      </c>
    </row>
    <row r="13152" spans="19:20" x14ac:dyDescent="0.25">
      <c r="S13152" s="78">
        <v>40539</v>
      </c>
      <c r="T13152" s="29">
        <v>0.5</v>
      </c>
    </row>
    <row r="13153" spans="19:21" x14ac:dyDescent="0.25">
      <c r="S13153" s="78">
        <v>40540</v>
      </c>
      <c r="T13153" s="29">
        <v>0.5</v>
      </c>
    </row>
    <row r="13154" spans="19:21" x14ac:dyDescent="0.25">
      <c r="S13154" s="78">
        <v>40541</v>
      </c>
      <c r="T13154" s="29">
        <v>0.5</v>
      </c>
    </row>
    <row r="13155" spans="19:21" x14ac:dyDescent="0.25">
      <c r="S13155" s="78">
        <v>40542</v>
      </c>
      <c r="T13155" s="29">
        <v>0.5</v>
      </c>
    </row>
    <row r="13156" spans="19:21" x14ac:dyDescent="0.25">
      <c r="S13156" s="78">
        <v>40543</v>
      </c>
      <c r="T13156" s="29">
        <v>0.5</v>
      </c>
      <c r="U13156" s="40">
        <f>AVERAGE(T13065:T13156)</f>
        <v>0.5</v>
      </c>
    </row>
    <row r="13157" spans="19:21" x14ac:dyDescent="0.25">
      <c r="S13157" s="78">
        <v>40544</v>
      </c>
      <c r="T13157" s="29">
        <v>0.5</v>
      </c>
    </row>
    <row r="13158" spans="19:21" x14ac:dyDescent="0.25">
      <c r="S13158" s="78">
        <v>40545</v>
      </c>
      <c r="T13158" s="29">
        <v>0.5</v>
      </c>
    </row>
    <row r="13159" spans="19:21" x14ac:dyDescent="0.25">
      <c r="S13159" s="78">
        <v>40546</v>
      </c>
      <c r="T13159" s="29">
        <v>0.5</v>
      </c>
    </row>
    <row r="13160" spans="19:21" x14ac:dyDescent="0.25">
      <c r="S13160" s="78">
        <v>40547</v>
      </c>
      <c r="T13160" s="29">
        <v>0.5</v>
      </c>
    </row>
    <row r="13161" spans="19:21" x14ac:dyDescent="0.25">
      <c r="S13161" s="78">
        <v>40548</v>
      </c>
      <c r="T13161" s="29">
        <v>0.5</v>
      </c>
    </row>
    <row r="13162" spans="19:21" x14ac:dyDescent="0.25">
      <c r="S13162" s="78">
        <v>40549</v>
      </c>
      <c r="T13162" s="29">
        <v>0.5</v>
      </c>
    </row>
    <row r="13163" spans="19:21" x14ac:dyDescent="0.25">
      <c r="S13163" s="78">
        <v>40550</v>
      </c>
      <c r="T13163" s="29">
        <v>0.5</v>
      </c>
    </row>
    <row r="13164" spans="19:21" x14ac:dyDescent="0.25">
      <c r="S13164" s="78">
        <v>40551</v>
      </c>
      <c r="T13164" s="29">
        <v>0.5</v>
      </c>
    </row>
    <row r="13165" spans="19:21" x14ac:dyDescent="0.25">
      <c r="S13165" s="78">
        <v>40552</v>
      </c>
      <c r="T13165" s="29">
        <v>0.5</v>
      </c>
    </row>
    <row r="13166" spans="19:21" x14ac:dyDescent="0.25">
      <c r="S13166" s="78">
        <v>40553</v>
      </c>
      <c r="T13166" s="29">
        <v>0.5</v>
      </c>
    </row>
    <row r="13167" spans="19:21" x14ac:dyDescent="0.25">
      <c r="S13167" s="78">
        <v>40554</v>
      </c>
      <c r="T13167" s="29">
        <v>0.5</v>
      </c>
    </row>
    <row r="13168" spans="19:21" x14ac:dyDescent="0.25">
      <c r="S13168" s="78">
        <v>40555</v>
      </c>
      <c r="T13168" s="29">
        <v>0.5</v>
      </c>
    </row>
    <row r="13169" spans="19:20" x14ac:dyDescent="0.25">
      <c r="S13169" s="78">
        <v>40556</v>
      </c>
      <c r="T13169" s="29">
        <v>0.5</v>
      </c>
    </row>
    <row r="13170" spans="19:20" x14ac:dyDescent="0.25">
      <c r="S13170" s="78">
        <v>40557</v>
      </c>
      <c r="T13170" s="29">
        <v>0.5</v>
      </c>
    </row>
    <row r="13171" spans="19:20" x14ac:dyDescent="0.25">
      <c r="S13171" s="78">
        <v>40558</v>
      </c>
      <c r="T13171" s="29">
        <v>0.5</v>
      </c>
    </row>
    <row r="13172" spans="19:20" x14ac:dyDescent="0.25">
      <c r="S13172" s="78">
        <v>40559</v>
      </c>
      <c r="T13172" s="29">
        <v>0.5</v>
      </c>
    </row>
    <row r="13173" spans="19:20" x14ac:dyDescent="0.25">
      <c r="S13173" s="78">
        <v>40560</v>
      </c>
      <c r="T13173" s="29">
        <v>0.5</v>
      </c>
    </row>
    <row r="13174" spans="19:20" x14ac:dyDescent="0.25">
      <c r="S13174" s="78">
        <v>40561</v>
      </c>
      <c r="T13174" s="29">
        <v>0.5</v>
      </c>
    </row>
    <row r="13175" spans="19:20" x14ac:dyDescent="0.25">
      <c r="S13175" s="78">
        <v>40562</v>
      </c>
      <c r="T13175" s="29">
        <v>0.5</v>
      </c>
    </row>
    <row r="13176" spans="19:20" x14ac:dyDescent="0.25">
      <c r="S13176" s="78">
        <v>40563</v>
      </c>
      <c r="T13176" s="29">
        <v>0.5</v>
      </c>
    </row>
    <row r="13177" spans="19:20" x14ac:dyDescent="0.25">
      <c r="S13177" s="78">
        <v>40564</v>
      </c>
      <c r="T13177" s="29">
        <v>0.5</v>
      </c>
    </row>
    <row r="13178" spans="19:20" x14ac:dyDescent="0.25">
      <c r="S13178" s="78">
        <v>40565</v>
      </c>
      <c r="T13178" s="29">
        <v>0.5</v>
      </c>
    </row>
    <row r="13179" spans="19:20" x14ac:dyDescent="0.25">
      <c r="S13179" s="78">
        <v>40566</v>
      </c>
      <c r="T13179" s="29">
        <v>0.5</v>
      </c>
    </row>
    <row r="13180" spans="19:20" x14ac:dyDescent="0.25">
      <c r="S13180" s="78">
        <v>40567</v>
      </c>
      <c r="T13180" s="29">
        <v>0.5</v>
      </c>
    </row>
    <row r="13181" spans="19:20" x14ac:dyDescent="0.25">
      <c r="S13181" s="78">
        <v>40568</v>
      </c>
      <c r="T13181" s="29">
        <v>0.5</v>
      </c>
    </row>
    <row r="13182" spans="19:20" x14ac:dyDescent="0.25">
      <c r="S13182" s="78">
        <v>40569</v>
      </c>
      <c r="T13182" s="29">
        <v>0.5</v>
      </c>
    </row>
    <row r="13183" spans="19:20" x14ac:dyDescent="0.25">
      <c r="S13183" s="78">
        <v>40570</v>
      </c>
      <c r="T13183" s="29">
        <v>0.5</v>
      </c>
    </row>
    <row r="13184" spans="19:20" x14ac:dyDescent="0.25">
      <c r="S13184" s="78">
        <v>40571</v>
      </c>
      <c r="T13184" s="29">
        <v>0.5</v>
      </c>
    </row>
    <row r="13185" spans="19:20" x14ac:dyDescent="0.25">
      <c r="S13185" s="78">
        <v>40572</v>
      </c>
      <c r="T13185" s="29">
        <v>0.5</v>
      </c>
    </row>
    <row r="13186" spans="19:20" x14ac:dyDescent="0.25">
      <c r="S13186" s="78">
        <v>40573</v>
      </c>
      <c r="T13186" s="29">
        <v>0.5</v>
      </c>
    </row>
    <row r="13187" spans="19:20" x14ac:dyDescent="0.25">
      <c r="S13187" s="78">
        <v>40574</v>
      </c>
      <c r="T13187" s="29">
        <v>0.5</v>
      </c>
    </row>
    <row r="13188" spans="19:20" x14ac:dyDescent="0.25">
      <c r="S13188" s="78">
        <v>40575</v>
      </c>
      <c r="T13188" s="29">
        <v>0.5</v>
      </c>
    </row>
    <row r="13189" spans="19:20" x14ac:dyDescent="0.25">
      <c r="S13189" s="78">
        <v>40576</v>
      </c>
      <c r="T13189" s="29">
        <v>0.5</v>
      </c>
    </row>
    <row r="13190" spans="19:20" x14ac:dyDescent="0.25">
      <c r="S13190" s="78">
        <v>40577</v>
      </c>
      <c r="T13190" s="29">
        <v>0.5</v>
      </c>
    </row>
    <row r="13191" spans="19:20" x14ac:dyDescent="0.25">
      <c r="S13191" s="78">
        <v>40578</v>
      </c>
      <c r="T13191" s="29">
        <v>0.5</v>
      </c>
    </row>
    <row r="13192" spans="19:20" x14ac:dyDescent="0.25">
      <c r="S13192" s="78">
        <v>40579</v>
      </c>
      <c r="T13192" s="29">
        <v>0.5</v>
      </c>
    </row>
    <row r="13193" spans="19:20" x14ac:dyDescent="0.25">
      <c r="S13193" s="78">
        <v>40580</v>
      </c>
      <c r="T13193" s="29">
        <v>0.5</v>
      </c>
    </row>
    <row r="13194" spans="19:20" x14ac:dyDescent="0.25">
      <c r="S13194" s="78">
        <v>40581</v>
      </c>
      <c r="T13194" s="29">
        <v>0.5</v>
      </c>
    </row>
    <row r="13195" spans="19:20" x14ac:dyDescent="0.25">
      <c r="S13195" s="78">
        <v>40582</v>
      </c>
      <c r="T13195" s="29">
        <v>0.5</v>
      </c>
    </row>
    <row r="13196" spans="19:20" x14ac:dyDescent="0.25">
      <c r="S13196" s="78">
        <v>40583</v>
      </c>
      <c r="T13196" s="29">
        <v>0.5</v>
      </c>
    </row>
    <row r="13197" spans="19:20" x14ac:dyDescent="0.25">
      <c r="S13197" s="78">
        <v>40584</v>
      </c>
      <c r="T13197" s="29">
        <v>0.5</v>
      </c>
    </row>
    <row r="13198" spans="19:20" x14ac:dyDescent="0.25">
      <c r="S13198" s="78">
        <v>40585</v>
      </c>
      <c r="T13198" s="29">
        <v>0.5</v>
      </c>
    </row>
    <row r="13199" spans="19:20" x14ac:dyDescent="0.25">
      <c r="S13199" s="78">
        <v>40586</v>
      </c>
      <c r="T13199" s="29">
        <v>0.5</v>
      </c>
    </row>
    <row r="13200" spans="19:20" x14ac:dyDescent="0.25">
      <c r="S13200" s="78">
        <v>40587</v>
      </c>
      <c r="T13200" s="29">
        <v>0.5</v>
      </c>
    </row>
    <row r="13201" spans="19:20" x14ac:dyDescent="0.25">
      <c r="S13201" s="78">
        <v>40588</v>
      </c>
      <c r="T13201" s="29">
        <v>0.5</v>
      </c>
    </row>
    <row r="13202" spans="19:20" x14ac:dyDescent="0.25">
      <c r="S13202" s="78">
        <v>40589</v>
      </c>
      <c r="T13202" s="29">
        <v>0.5</v>
      </c>
    </row>
    <row r="13203" spans="19:20" x14ac:dyDescent="0.25">
      <c r="S13203" s="78">
        <v>40590</v>
      </c>
      <c r="T13203" s="29">
        <v>0.5</v>
      </c>
    </row>
    <row r="13204" spans="19:20" x14ac:dyDescent="0.25">
      <c r="S13204" s="78">
        <v>40591</v>
      </c>
      <c r="T13204" s="29">
        <v>0.5</v>
      </c>
    </row>
    <row r="13205" spans="19:20" x14ac:dyDescent="0.25">
      <c r="S13205" s="78">
        <v>40592</v>
      </c>
      <c r="T13205" s="29">
        <v>0.5</v>
      </c>
    </row>
    <row r="13206" spans="19:20" x14ac:dyDescent="0.25">
      <c r="S13206" s="78">
        <v>40593</v>
      </c>
      <c r="T13206" s="29">
        <v>0.5</v>
      </c>
    </row>
    <row r="13207" spans="19:20" x14ac:dyDescent="0.25">
      <c r="S13207" s="78">
        <v>40594</v>
      </c>
      <c r="T13207" s="29">
        <v>0.5</v>
      </c>
    </row>
    <row r="13208" spans="19:20" x14ac:dyDescent="0.25">
      <c r="S13208" s="78">
        <v>40595</v>
      </c>
      <c r="T13208" s="29">
        <v>0.5</v>
      </c>
    </row>
    <row r="13209" spans="19:20" x14ac:dyDescent="0.25">
      <c r="S13209" s="78">
        <v>40596</v>
      </c>
      <c r="T13209" s="29">
        <v>0.5</v>
      </c>
    </row>
    <row r="13210" spans="19:20" x14ac:dyDescent="0.25">
      <c r="S13210" s="78">
        <v>40597</v>
      </c>
      <c r="T13210" s="29">
        <v>0.5</v>
      </c>
    </row>
    <row r="13211" spans="19:20" x14ac:dyDescent="0.25">
      <c r="S13211" s="78">
        <v>40598</v>
      </c>
      <c r="T13211" s="29">
        <v>0.5</v>
      </c>
    </row>
    <row r="13212" spans="19:20" x14ac:dyDescent="0.25">
      <c r="S13212" s="78">
        <v>40599</v>
      </c>
      <c r="T13212" s="29">
        <v>0.5</v>
      </c>
    </row>
    <row r="13213" spans="19:20" x14ac:dyDescent="0.25">
      <c r="S13213" s="78">
        <v>40600</v>
      </c>
      <c r="T13213" s="29">
        <v>0.5</v>
      </c>
    </row>
    <row r="13214" spans="19:20" x14ac:dyDescent="0.25">
      <c r="S13214" s="78">
        <v>40601</v>
      </c>
      <c r="T13214" s="29">
        <v>0.5</v>
      </c>
    </row>
    <row r="13215" spans="19:20" x14ac:dyDescent="0.25">
      <c r="S13215" s="78">
        <v>40602</v>
      </c>
      <c r="T13215" s="29">
        <v>0.5</v>
      </c>
    </row>
    <row r="13216" spans="19:20" x14ac:dyDescent="0.25">
      <c r="S13216" s="78">
        <v>40603</v>
      </c>
      <c r="T13216" s="29">
        <v>0.5</v>
      </c>
    </row>
    <row r="13217" spans="19:20" x14ac:dyDescent="0.25">
      <c r="S13217" s="78">
        <v>40604</v>
      </c>
      <c r="T13217" s="29">
        <v>0.5</v>
      </c>
    </row>
    <row r="13218" spans="19:20" x14ac:dyDescent="0.25">
      <c r="S13218" s="78">
        <v>40605</v>
      </c>
      <c r="T13218" s="29">
        <v>0.5</v>
      </c>
    </row>
    <row r="13219" spans="19:20" x14ac:dyDescent="0.25">
      <c r="S13219" s="78">
        <v>40606</v>
      </c>
      <c r="T13219" s="29">
        <v>0.5</v>
      </c>
    </row>
    <row r="13220" spans="19:20" x14ac:dyDescent="0.25">
      <c r="S13220" s="78">
        <v>40607</v>
      </c>
      <c r="T13220" s="29">
        <v>0.5</v>
      </c>
    </row>
    <row r="13221" spans="19:20" x14ac:dyDescent="0.25">
      <c r="S13221" s="78">
        <v>40608</v>
      </c>
      <c r="T13221" s="29">
        <v>0.5</v>
      </c>
    </row>
    <row r="13222" spans="19:20" x14ac:dyDescent="0.25">
      <c r="S13222" s="78">
        <v>40609</v>
      </c>
      <c r="T13222" s="29">
        <v>0.5</v>
      </c>
    </row>
    <row r="13223" spans="19:20" x14ac:dyDescent="0.25">
      <c r="S13223" s="78">
        <v>40610</v>
      </c>
      <c r="T13223" s="29">
        <v>0.5</v>
      </c>
    </row>
    <row r="13224" spans="19:20" x14ac:dyDescent="0.25">
      <c r="S13224" s="78">
        <v>40611</v>
      </c>
      <c r="T13224" s="29">
        <v>0.5</v>
      </c>
    </row>
    <row r="13225" spans="19:20" x14ac:dyDescent="0.25">
      <c r="S13225" s="78">
        <v>40612</v>
      </c>
      <c r="T13225" s="29">
        <v>0.5</v>
      </c>
    </row>
    <row r="13226" spans="19:20" x14ac:dyDescent="0.25">
      <c r="S13226" s="78">
        <v>40613</v>
      </c>
      <c r="T13226" s="29">
        <v>0.5</v>
      </c>
    </row>
    <row r="13227" spans="19:20" x14ac:dyDescent="0.25">
      <c r="S13227" s="78">
        <v>40614</v>
      </c>
      <c r="T13227" s="29">
        <v>0.5</v>
      </c>
    </row>
    <row r="13228" spans="19:20" x14ac:dyDescent="0.25">
      <c r="S13228" s="78">
        <v>40615</v>
      </c>
      <c r="T13228" s="29">
        <v>0.5</v>
      </c>
    </row>
    <row r="13229" spans="19:20" x14ac:dyDescent="0.25">
      <c r="S13229" s="78">
        <v>40616</v>
      </c>
      <c r="T13229" s="29">
        <v>0.5</v>
      </c>
    </row>
    <row r="13230" spans="19:20" x14ac:dyDescent="0.25">
      <c r="S13230" s="78">
        <v>40617</v>
      </c>
      <c r="T13230" s="29">
        <v>0.5</v>
      </c>
    </row>
    <row r="13231" spans="19:20" x14ac:dyDescent="0.25">
      <c r="S13231" s="78">
        <v>40618</v>
      </c>
      <c r="T13231" s="29">
        <v>0.5</v>
      </c>
    </row>
    <row r="13232" spans="19:20" x14ac:dyDescent="0.25">
      <c r="S13232" s="78">
        <v>40619</v>
      </c>
      <c r="T13232" s="29">
        <v>0.5</v>
      </c>
    </row>
    <row r="13233" spans="19:21" x14ac:dyDescent="0.25">
      <c r="S13233" s="78">
        <v>40620</v>
      </c>
      <c r="T13233" s="29">
        <v>0.5</v>
      </c>
    </row>
    <row r="13234" spans="19:21" x14ac:dyDescent="0.25">
      <c r="S13234" s="78">
        <v>40621</v>
      </c>
      <c r="T13234" s="29">
        <v>0.5</v>
      </c>
    </row>
    <row r="13235" spans="19:21" x14ac:dyDescent="0.25">
      <c r="S13235" s="78">
        <v>40622</v>
      </c>
      <c r="T13235" s="29">
        <v>0.5</v>
      </c>
    </row>
    <row r="13236" spans="19:21" x14ac:dyDescent="0.25">
      <c r="S13236" s="78">
        <v>40623</v>
      </c>
      <c r="T13236" s="29">
        <v>0.5</v>
      </c>
    </row>
    <row r="13237" spans="19:21" x14ac:dyDescent="0.25">
      <c r="S13237" s="78">
        <v>40624</v>
      </c>
      <c r="T13237" s="29">
        <v>0.5</v>
      </c>
    </row>
    <row r="13238" spans="19:21" x14ac:dyDescent="0.25">
      <c r="S13238" s="78">
        <v>40625</v>
      </c>
      <c r="T13238" s="29">
        <v>0.5</v>
      </c>
    </row>
    <row r="13239" spans="19:21" x14ac:dyDescent="0.25">
      <c r="S13239" s="78">
        <v>40626</v>
      </c>
      <c r="T13239" s="29">
        <v>0.5</v>
      </c>
    </row>
    <row r="13240" spans="19:21" x14ac:dyDescent="0.25">
      <c r="S13240" s="78">
        <v>40627</v>
      </c>
      <c r="T13240" s="29">
        <v>0.5</v>
      </c>
    </row>
    <row r="13241" spans="19:21" x14ac:dyDescent="0.25">
      <c r="S13241" s="78">
        <v>40628</v>
      </c>
      <c r="T13241" s="29">
        <v>0.5</v>
      </c>
    </row>
    <row r="13242" spans="19:21" x14ac:dyDescent="0.25">
      <c r="S13242" s="78">
        <v>40629</v>
      </c>
      <c r="T13242" s="29">
        <v>0.5</v>
      </c>
    </row>
    <row r="13243" spans="19:21" x14ac:dyDescent="0.25">
      <c r="S13243" s="78">
        <v>40630</v>
      </c>
      <c r="T13243" s="29">
        <v>0.5</v>
      </c>
    </row>
    <row r="13244" spans="19:21" x14ac:dyDescent="0.25">
      <c r="S13244" s="78">
        <v>40631</v>
      </c>
      <c r="T13244" s="29">
        <v>0.5</v>
      </c>
    </row>
    <row r="13245" spans="19:21" x14ac:dyDescent="0.25">
      <c r="S13245" s="78">
        <v>40632</v>
      </c>
      <c r="T13245" s="29">
        <v>0.5</v>
      </c>
    </row>
    <row r="13246" spans="19:21" x14ac:dyDescent="0.25">
      <c r="S13246" s="78">
        <v>40633</v>
      </c>
      <c r="T13246" s="29">
        <v>0.5</v>
      </c>
      <c r="U13246" s="39">
        <f>AVERAGE(T13157:T13246)</f>
        <v>0.5</v>
      </c>
    </row>
    <row r="13247" spans="19:21" x14ac:dyDescent="0.25">
      <c r="S13247" s="78">
        <v>40634</v>
      </c>
      <c r="T13247" s="29">
        <v>0.5</v>
      </c>
    </row>
    <row r="13248" spans="19:21" x14ac:dyDescent="0.25">
      <c r="S13248" s="78">
        <v>40635</v>
      </c>
      <c r="T13248" s="29">
        <v>0.5</v>
      </c>
    </row>
    <row r="13249" spans="19:20" x14ac:dyDescent="0.25">
      <c r="S13249" s="78">
        <v>40636</v>
      </c>
      <c r="T13249" s="29">
        <v>0.5</v>
      </c>
    </row>
    <row r="13250" spans="19:20" x14ac:dyDescent="0.25">
      <c r="S13250" s="78">
        <v>40637</v>
      </c>
      <c r="T13250" s="29">
        <v>0.5</v>
      </c>
    </row>
    <row r="13251" spans="19:20" x14ac:dyDescent="0.25">
      <c r="S13251" s="78">
        <v>40638</v>
      </c>
      <c r="T13251" s="29">
        <v>0.5</v>
      </c>
    </row>
    <row r="13252" spans="19:20" x14ac:dyDescent="0.25">
      <c r="S13252" s="78">
        <v>40639</v>
      </c>
      <c r="T13252" s="29">
        <v>0.5</v>
      </c>
    </row>
    <row r="13253" spans="19:20" x14ac:dyDescent="0.25">
      <c r="S13253" s="78">
        <v>40640</v>
      </c>
      <c r="T13253" s="29">
        <v>0.5</v>
      </c>
    </row>
    <row r="13254" spans="19:20" x14ac:dyDescent="0.25">
      <c r="S13254" s="78">
        <v>40641</v>
      </c>
      <c r="T13254" s="29">
        <v>0.5</v>
      </c>
    </row>
    <row r="13255" spans="19:20" x14ac:dyDescent="0.25">
      <c r="S13255" s="78">
        <v>40642</v>
      </c>
      <c r="T13255" s="29">
        <v>0.5</v>
      </c>
    </row>
    <row r="13256" spans="19:20" x14ac:dyDescent="0.25">
      <c r="S13256" s="78">
        <v>40643</v>
      </c>
      <c r="T13256" s="29">
        <v>0.5</v>
      </c>
    </row>
    <row r="13257" spans="19:20" x14ac:dyDescent="0.25">
      <c r="S13257" s="78">
        <v>40644</v>
      </c>
      <c r="T13257" s="29">
        <v>0.5</v>
      </c>
    </row>
    <row r="13258" spans="19:20" x14ac:dyDescent="0.25">
      <c r="S13258" s="78">
        <v>40645</v>
      </c>
      <c r="T13258" s="29">
        <v>0.5</v>
      </c>
    </row>
    <row r="13259" spans="19:20" x14ac:dyDescent="0.25">
      <c r="S13259" s="78">
        <v>40646</v>
      </c>
      <c r="T13259" s="29">
        <v>0.5</v>
      </c>
    </row>
    <row r="13260" spans="19:20" x14ac:dyDescent="0.25">
      <c r="S13260" s="78">
        <v>40647</v>
      </c>
      <c r="T13260" s="29">
        <v>0.5</v>
      </c>
    </row>
    <row r="13261" spans="19:20" x14ac:dyDescent="0.25">
      <c r="S13261" s="78">
        <v>40648</v>
      </c>
      <c r="T13261" s="29">
        <v>0.5</v>
      </c>
    </row>
    <row r="13262" spans="19:20" x14ac:dyDescent="0.25">
      <c r="S13262" s="78">
        <v>40649</v>
      </c>
      <c r="T13262" s="29">
        <v>0.5</v>
      </c>
    </row>
    <row r="13263" spans="19:20" x14ac:dyDescent="0.25">
      <c r="S13263" s="78">
        <v>40650</v>
      </c>
      <c r="T13263" s="29">
        <v>0.5</v>
      </c>
    </row>
    <row r="13264" spans="19:20" x14ac:dyDescent="0.25">
      <c r="S13264" s="78">
        <v>40651</v>
      </c>
      <c r="T13264" s="29">
        <v>0.5</v>
      </c>
    </row>
    <row r="13265" spans="19:20" x14ac:dyDescent="0.25">
      <c r="S13265" s="78">
        <v>40652</v>
      </c>
      <c r="T13265" s="29">
        <v>0.5</v>
      </c>
    </row>
    <row r="13266" spans="19:20" x14ac:dyDescent="0.25">
      <c r="S13266" s="78">
        <v>40653</v>
      </c>
      <c r="T13266" s="29">
        <v>0.5</v>
      </c>
    </row>
    <row r="13267" spans="19:20" x14ac:dyDescent="0.25">
      <c r="S13267" s="78">
        <v>40654</v>
      </c>
      <c r="T13267" s="29">
        <v>0.5</v>
      </c>
    </row>
    <row r="13268" spans="19:20" x14ac:dyDescent="0.25">
      <c r="S13268" s="78">
        <v>40655</v>
      </c>
      <c r="T13268" s="29">
        <v>0.5</v>
      </c>
    </row>
    <row r="13269" spans="19:20" x14ac:dyDescent="0.25">
      <c r="S13269" s="78">
        <v>40656</v>
      </c>
      <c r="T13269" s="29">
        <v>0.5</v>
      </c>
    </row>
    <row r="13270" spans="19:20" x14ac:dyDescent="0.25">
      <c r="S13270" s="78">
        <v>40657</v>
      </c>
      <c r="T13270" s="29">
        <v>0.5</v>
      </c>
    </row>
    <row r="13271" spans="19:20" x14ac:dyDescent="0.25">
      <c r="S13271" s="78">
        <v>40658</v>
      </c>
      <c r="T13271" s="29">
        <v>0.5</v>
      </c>
    </row>
    <row r="13272" spans="19:20" x14ac:dyDescent="0.25">
      <c r="S13272" s="78">
        <v>40659</v>
      </c>
      <c r="T13272" s="29">
        <v>0.5</v>
      </c>
    </row>
    <row r="13273" spans="19:20" x14ac:dyDescent="0.25">
      <c r="S13273" s="78">
        <v>40660</v>
      </c>
      <c r="T13273" s="29">
        <v>0.5</v>
      </c>
    </row>
    <row r="13274" spans="19:20" x14ac:dyDescent="0.25">
      <c r="S13274" s="78">
        <v>40661</v>
      </c>
      <c r="T13274" s="29">
        <v>0.5</v>
      </c>
    </row>
    <row r="13275" spans="19:20" x14ac:dyDescent="0.25">
      <c r="S13275" s="78">
        <v>40662</v>
      </c>
      <c r="T13275" s="29">
        <v>0.5</v>
      </c>
    </row>
    <row r="13276" spans="19:20" x14ac:dyDescent="0.25">
      <c r="S13276" s="78">
        <v>40663</v>
      </c>
      <c r="T13276" s="29">
        <v>0.5</v>
      </c>
    </row>
    <row r="13277" spans="19:20" x14ac:dyDescent="0.25">
      <c r="S13277" s="78">
        <v>40664</v>
      </c>
      <c r="T13277" s="29">
        <v>0.5</v>
      </c>
    </row>
    <row r="13278" spans="19:20" x14ac:dyDescent="0.25">
      <c r="S13278" s="78">
        <v>40665</v>
      </c>
      <c r="T13278" s="29">
        <v>0.5</v>
      </c>
    </row>
    <row r="13279" spans="19:20" x14ac:dyDescent="0.25">
      <c r="S13279" s="78">
        <v>40666</v>
      </c>
      <c r="T13279" s="29">
        <v>0.5</v>
      </c>
    </row>
    <row r="13280" spans="19:20" x14ac:dyDescent="0.25">
      <c r="S13280" s="78">
        <v>40667</v>
      </c>
      <c r="T13280" s="29">
        <v>0.5</v>
      </c>
    </row>
    <row r="13281" spans="19:20" x14ac:dyDescent="0.25">
      <c r="S13281" s="78">
        <v>40668</v>
      </c>
      <c r="T13281" s="29">
        <v>0.5</v>
      </c>
    </row>
    <row r="13282" spans="19:20" x14ac:dyDescent="0.25">
      <c r="S13282" s="78">
        <v>40669</v>
      </c>
      <c r="T13282" s="29">
        <v>0.5</v>
      </c>
    </row>
    <row r="13283" spans="19:20" x14ac:dyDescent="0.25">
      <c r="S13283" s="78">
        <v>40670</v>
      </c>
      <c r="T13283" s="29">
        <v>0.5</v>
      </c>
    </row>
    <row r="13284" spans="19:20" x14ac:dyDescent="0.25">
      <c r="S13284" s="78">
        <v>40671</v>
      </c>
      <c r="T13284" s="29">
        <v>0.5</v>
      </c>
    </row>
    <row r="13285" spans="19:20" x14ac:dyDescent="0.25">
      <c r="S13285" s="78">
        <v>40672</v>
      </c>
      <c r="T13285" s="29">
        <v>0.5</v>
      </c>
    </row>
    <row r="13286" spans="19:20" x14ac:dyDescent="0.25">
      <c r="S13286" s="78">
        <v>40673</v>
      </c>
      <c r="T13286" s="29">
        <v>0.5</v>
      </c>
    </row>
    <row r="13287" spans="19:20" x14ac:dyDescent="0.25">
      <c r="S13287" s="78">
        <v>40674</v>
      </c>
      <c r="T13287" s="29">
        <v>0.5</v>
      </c>
    </row>
    <row r="13288" spans="19:20" x14ac:dyDescent="0.25">
      <c r="S13288" s="78">
        <v>40675</v>
      </c>
      <c r="T13288" s="29">
        <v>0.5</v>
      </c>
    </row>
    <row r="13289" spans="19:20" x14ac:dyDescent="0.25">
      <c r="S13289" s="78">
        <v>40676</v>
      </c>
      <c r="T13289" s="29">
        <v>0.5</v>
      </c>
    </row>
    <row r="13290" spans="19:20" x14ac:dyDescent="0.25">
      <c r="S13290" s="78">
        <v>40677</v>
      </c>
      <c r="T13290" s="29">
        <v>0.5</v>
      </c>
    </row>
    <row r="13291" spans="19:20" x14ac:dyDescent="0.25">
      <c r="S13291" s="78">
        <v>40678</v>
      </c>
      <c r="T13291" s="29">
        <v>0.5</v>
      </c>
    </row>
    <row r="13292" spans="19:20" x14ac:dyDescent="0.25">
      <c r="S13292" s="78">
        <v>40679</v>
      </c>
      <c r="T13292" s="29">
        <v>0.5</v>
      </c>
    </row>
    <row r="13293" spans="19:20" x14ac:dyDescent="0.25">
      <c r="S13293" s="78">
        <v>40680</v>
      </c>
      <c r="T13293" s="29">
        <v>0.5</v>
      </c>
    </row>
    <row r="13294" spans="19:20" x14ac:dyDescent="0.25">
      <c r="S13294" s="78">
        <v>40681</v>
      </c>
      <c r="T13294" s="29">
        <v>0.5</v>
      </c>
    </row>
    <row r="13295" spans="19:20" x14ac:dyDescent="0.25">
      <c r="S13295" s="78">
        <v>40682</v>
      </c>
      <c r="T13295" s="29">
        <v>0.5</v>
      </c>
    </row>
    <row r="13296" spans="19:20" x14ac:dyDescent="0.25">
      <c r="S13296" s="78">
        <v>40683</v>
      </c>
      <c r="T13296" s="29">
        <v>0.5</v>
      </c>
    </row>
    <row r="13297" spans="19:20" x14ac:dyDescent="0.25">
      <c r="S13297" s="78">
        <v>40684</v>
      </c>
      <c r="T13297" s="29">
        <v>0.5</v>
      </c>
    </row>
    <row r="13298" spans="19:20" x14ac:dyDescent="0.25">
      <c r="S13298" s="78">
        <v>40685</v>
      </c>
      <c r="T13298" s="29">
        <v>0.5</v>
      </c>
    </row>
    <row r="13299" spans="19:20" x14ac:dyDescent="0.25">
      <c r="S13299" s="78">
        <v>40686</v>
      </c>
      <c r="T13299" s="29">
        <v>0.5</v>
      </c>
    </row>
    <row r="13300" spans="19:20" x14ac:dyDescent="0.25">
      <c r="S13300" s="78">
        <v>40687</v>
      </c>
      <c r="T13300" s="29">
        <v>0.5</v>
      </c>
    </row>
    <row r="13301" spans="19:20" x14ac:dyDescent="0.25">
      <c r="S13301" s="78">
        <v>40688</v>
      </c>
      <c r="T13301" s="29">
        <v>0.5</v>
      </c>
    </row>
    <row r="13302" spans="19:20" x14ac:dyDescent="0.25">
      <c r="S13302" s="78">
        <v>40689</v>
      </c>
      <c r="T13302" s="29">
        <v>0.5</v>
      </c>
    </row>
    <row r="13303" spans="19:20" x14ac:dyDescent="0.25">
      <c r="S13303" s="78">
        <v>40690</v>
      </c>
      <c r="T13303" s="29">
        <v>0.5</v>
      </c>
    </row>
    <row r="13304" spans="19:20" x14ac:dyDescent="0.25">
      <c r="S13304" s="78">
        <v>40691</v>
      </c>
      <c r="T13304" s="29">
        <v>0.5</v>
      </c>
    </row>
    <row r="13305" spans="19:20" x14ac:dyDescent="0.25">
      <c r="S13305" s="78">
        <v>40692</v>
      </c>
      <c r="T13305" s="29">
        <v>0.5</v>
      </c>
    </row>
    <row r="13306" spans="19:20" x14ac:dyDescent="0.25">
      <c r="S13306" s="78">
        <v>40693</v>
      </c>
      <c r="T13306" s="29">
        <v>0.5</v>
      </c>
    </row>
    <row r="13307" spans="19:20" x14ac:dyDescent="0.25">
      <c r="S13307" s="78">
        <v>40694</v>
      </c>
      <c r="T13307" s="29">
        <v>0.5</v>
      </c>
    </row>
    <row r="13308" spans="19:20" x14ac:dyDescent="0.25">
      <c r="S13308" s="78">
        <v>40695</v>
      </c>
      <c r="T13308" s="29">
        <v>0.5</v>
      </c>
    </row>
    <row r="13309" spans="19:20" x14ac:dyDescent="0.25">
      <c r="S13309" s="78">
        <v>40696</v>
      </c>
      <c r="T13309" s="29">
        <v>0.5</v>
      </c>
    </row>
    <row r="13310" spans="19:20" x14ac:dyDescent="0.25">
      <c r="S13310" s="78">
        <v>40697</v>
      </c>
      <c r="T13310" s="29">
        <v>0.5</v>
      </c>
    </row>
    <row r="13311" spans="19:20" x14ac:dyDescent="0.25">
      <c r="S13311" s="78">
        <v>40698</v>
      </c>
      <c r="T13311" s="29">
        <v>0.5</v>
      </c>
    </row>
    <row r="13312" spans="19:20" x14ac:dyDescent="0.25">
      <c r="S13312" s="78">
        <v>40699</v>
      </c>
      <c r="T13312" s="29">
        <v>0.5</v>
      </c>
    </row>
    <row r="13313" spans="19:20" x14ac:dyDescent="0.25">
      <c r="S13313" s="78">
        <v>40700</v>
      </c>
      <c r="T13313" s="29">
        <v>0.5</v>
      </c>
    </row>
    <row r="13314" spans="19:20" x14ac:dyDescent="0.25">
      <c r="S13314" s="78">
        <v>40701</v>
      </c>
      <c r="T13314" s="29">
        <v>0.5</v>
      </c>
    </row>
    <row r="13315" spans="19:20" x14ac:dyDescent="0.25">
      <c r="S13315" s="78">
        <v>40702</v>
      </c>
      <c r="T13315" s="29">
        <v>0.5</v>
      </c>
    </row>
    <row r="13316" spans="19:20" x14ac:dyDescent="0.25">
      <c r="S13316" s="78">
        <v>40703</v>
      </c>
      <c r="T13316" s="29">
        <v>0.5</v>
      </c>
    </row>
    <row r="13317" spans="19:20" x14ac:dyDescent="0.25">
      <c r="S13317" s="78">
        <v>40704</v>
      </c>
      <c r="T13317" s="29">
        <v>0.5</v>
      </c>
    </row>
    <row r="13318" spans="19:20" x14ac:dyDescent="0.25">
      <c r="S13318" s="78">
        <v>40705</v>
      </c>
      <c r="T13318" s="29">
        <v>0.5</v>
      </c>
    </row>
    <row r="13319" spans="19:20" x14ac:dyDescent="0.25">
      <c r="S13319" s="78">
        <v>40706</v>
      </c>
      <c r="T13319" s="29">
        <v>0.5</v>
      </c>
    </row>
    <row r="13320" spans="19:20" x14ac:dyDescent="0.25">
      <c r="S13320" s="78">
        <v>40707</v>
      </c>
      <c r="T13320" s="29">
        <v>0.5</v>
      </c>
    </row>
    <row r="13321" spans="19:20" x14ac:dyDescent="0.25">
      <c r="S13321" s="78">
        <v>40708</v>
      </c>
      <c r="T13321" s="29">
        <v>0.5</v>
      </c>
    </row>
    <row r="13322" spans="19:20" x14ac:dyDescent="0.25">
      <c r="S13322" s="78">
        <v>40709</v>
      </c>
      <c r="T13322" s="29">
        <v>0.5</v>
      </c>
    </row>
    <row r="13323" spans="19:20" x14ac:dyDescent="0.25">
      <c r="S13323" s="78">
        <v>40710</v>
      </c>
      <c r="T13323" s="29">
        <v>0.5</v>
      </c>
    </row>
    <row r="13324" spans="19:20" x14ac:dyDescent="0.25">
      <c r="S13324" s="78">
        <v>40711</v>
      </c>
      <c r="T13324" s="29">
        <v>0.5</v>
      </c>
    </row>
    <row r="13325" spans="19:20" x14ac:dyDescent="0.25">
      <c r="S13325" s="78">
        <v>40712</v>
      </c>
      <c r="T13325" s="29">
        <v>0.5</v>
      </c>
    </row>
    <row r="13326" spans="19:20" x14ac:dyDescent="0.25">
      <c r="S13326" s="78">
        <v>40713</v>
      </c>
      <c r="T13326" s="29">
        <v>0.5</v>
      </c>
    </row>
    <row r="13327" spans="19:20" x14ac:dyDescent="0.25">
      <c r="S13327" s="78">
        <v>40714</v>
      </c>
      <c r="T13327" s="29">
        <v>0.5</v>
      </c>
    </row>
    <row r="13328" spans="19:20" x14ac:dyDescent="0.25">
      <c r="S13328" s="78">
        <v>40715</v>
      </c>
      <c r="T13328" s="29">
        <v>0.5</v>
      </c>
    </row>
    <row r="13329" spans="19:21" x14ac:dyDescent="0.25">
      <c r="S13329" s="78">
        <v>40716</v>
      </c>
      <c r="T13329" s="29">
        <v>0.5</v>
      </c>
    </row>
    <row r="13330" spans="19:21" x14ac:dyDescent="0.25">
      <c r="S13330" s="78">
        <v>40717</v>
      </c>
      <c r="T13330" s="29">
        <v>0.5</v>
      </c>
    </row>
    <row r="13331" spans="19:21" x14ac:dyDescent="0.25">
      <c r="S13331" s="78">
        <v>40718</v>
      </c>
      <c r="T13331" s="29">
        <v>0.5</v>
      </c>
    </row>
    <row r="13332" spans="19:21" x14ac:dyDescent="0.25">
      <c r="S13332" s="78">
        <v>40719</v>
      </c>
      <c r="T13332" s="29">
        <v>0.5</v>
      </c>
    </row>
    <row r="13333" spans="19:21" x14ac:dyDescent="0.25">
      <c r="S13333" s="78">
        <v>40720</v>
      </c>
      <c r="T13333" s="29">
        <v>0.5</v>
      </c>
    </row>
    <row r="13334" spans="19:21" x14ac:dyDescent="0.25">
      <c r="S13334" s="78">
        <v>40721</v>
      </c>
      <c r="T13334" s="29">
        <v>0.5</v>
      </c>
    </row>
    <row r="13335" spans="19:21" x14ac:dyDescent="0.25">
      <c r="S13335" s="78">
        <v>40722</v>
      </c>
      <c r="T13335" s="29">
        <v>0.5</v>
      </c>
    </row>
    <row r="13336" spans="19:21" x14ac:dyDescent="0.25">
      <c r="S13336" s="78">
        <v>40723</v>
      </c>
      <c r="T13336" s="29">
        <v>0.5</v>
      </c>
    </row>
    <row r="13337" spans="19:21" x14ac:dyDescent="0.25">
      <c r="S13337" s="78">
        <v>40724</v>
      </c>
      <c r="T13337" s="29">
        <v>0.5</v>
      </c>
      <c r="U13337" s="40">
        <f>AVERAGE(T13247:T13337)</f>
        <v>0.5</v>
      </c>
    </row>
    <row r="13338" spans="19:21" x14ac:dyDescent="0.25">
      <c r="S13338" s="78">
        <v>40725</v>
      </c>
      <c r="T13338" s="29">
        <v>0.5</v>
      </c>
    </row>
    <row r="13339" spans="19:21" x14ac:dyDescent="0.25">
      <c r="S13339" s="78">
        <v>40726</v>
      </c>
      <c r="T13339" s="29">
        <v>0.5</v>
      </c>
    </row>
    <row r="13340" spans="19:21" x14ac:dyDescent="0.25">
      <c r="S13340" s="78">
        <v>40727</v>
      </c>
      <c r="T13340" s="29">
        <v>0.5</v>
      </c>
    </row>
    <row r="13341" spans="19:21" x14ac:dyDescent="0.25">
      <c r="S13341" s="78">
        <v>40728</v>
      </c>
      <c r="T13341" s="29">
        <v>0.5</v>
      </c>
    </row>
    <row r="13342" spans="19:21" x14ac:dyDescent="0.25">
      <c r="S13342" s="78">
        <v>40729</v>
      </c>
      <c r="T13342" s="29">
        <v>0.5</v>
      </c>
    </row>
    <row r="13343" spans="19:21" x14ac:dyDescent="0.25">
      <c r="S13343" s="78">
        <v>40730</v>
      </c>
      <c r="T13343" s="29">
        <v>0.5</v>
      </c>
    </row>
    <row r="13344" spans="19:21" x14ac:dyDescent="0.25">
      <c r="S13344" s="78">
        <v>40731</v>
      </c>
      <c r="T13344" s="29">
        <v>0.5</v>
      </c>
    </row>
    <row r="13345" spans="19:20" x14ac:dyDescent="0.25">
      <c r="S13345" s="78">
        <v>40732</v>
      </c>
      <c r="T13345" s="29">
        <v>0.5</v>
      </c>
    </row>
    <row r="13346" spans="19:20" x14ac:dyDescent="0.25">
      <c r="S13346" s="78">
        <v>40733</v>
      </c>
      <c r="T13346" s="29">
        <v>0.5</v>
      </c>
    </row>
    <row r="13347" spans="19:20" x14ac:dyDescent="0.25">
      <c r="S13347" s="78">
        <v>40734</v>
      </c>
      <c r="T13347" s="29">
        <v>0.5</v>
      </c>
    </row>
    <row r="13348" spans="19:20" x14ac:dyDescent="0.25">
      <c r="S13348" s="78">
        <v>40735</v>
      </c>
      <c r="T13348" s="29">
        <v>0.5</v>
      </c>
    </row>
    <row r="13349" spans="19:20" x14ac:dyDescent="0.25">
      <c r="S13349" s="78">
        <v>40736</v>
      </c>
      <c r="T13349" s="29">
        <v>0.5</v>
      </c>
    </row>
    <row r="13350" spans="19:20" x14ac:dyDescent="0.25">
      <c r="S13350" s="78">
        <v>40737</v>
      </c>
      <c r="T13350" s="29">
        <v>0.5</v>
      </c>
    </row>
    <row r="13351" spans="19:20" x14ac:dyDescent="0.25">
      <c r="S13351" s="78">
        <v>40738</v>
      </c>
      <c r="T13351" s="29">
        <v>0.5</v>
      </c>
    </row>
    <row r="13352" spans="19:20" x14ac:dyDescent="0.25">
      <c r="S13352" s="78">
        <v>40739</v>
      </c>
      <c r="T13352" s="29">
        <v>0.5</v>
      </c>
    </row>
    <row r="13353" spans="19:20" x14ac:dyDescent="0.25">
      <c r="S13353" s="78">
        <v>40740</v>
      </c>
      <c r="T13353" s="29">
        <v>0.5</v>
      </c>
    </row>
    <row r="13354" spans="19:20" x14ac:dyDescent="0.25">
      <c r="S13354" s="78">
        <v>40741</v>
      </c>
      <c r="T13354" s="29">
        <v>0.5</v>
      </c>
    </row>
    <row r="13355" spans="19:20" x14ac:dyDescent="0.25">
      <c r="S13355" s="78">
        <v>40742</v>
      </c>
      <c r="T13355" s="29">
        <v>0.5</v>
      </c>
    </row>
    <row r="13356" spans="19:20" x14ac:dyDescent="0.25">
      <c r="S13356" s="78">
        <v>40743</v>
      </c>
      <c r="T13356" s="29">
        <v>0.5</v>
      </c>
    </row>
    <row r="13357" spans="19:20" x14ac:dyDescent="0.25">
      <c r="S13357" s="78">
        <v>40744</v>
      </c>
      <c r="T13357" s="29">
        <v>0.5</v>
      </c>
    </row>
    <row r="13358" spans="19:20" x14ac:dyDescent="0.25">
      <c r="S13358" s="78">
        <v>40745</v>
      </c>
      <c r="T13358" s="29">
        <v>0.5</v>
      </c>
    </row>
    <row r="13359" spans="19:20" x14ac:dyDescent="0.25">
      <c r="S13359" s="78">
        <v>40746</v>
      </c>
      <c r="T13359" s="29">
        <v>0.5</v>
      </c>
    </row>
    <row r="13360" spans="19:20" x14ac:dyDescent="0.25">
      <c r="S13360" s="78">
        <v>40747</v>
      </c>
      <c r="T13360" s="29">
        <v>0.5</v>
      </c>
    </row>
    <row r="13361" spans="19:20" x14ac:dyDescent="0.25">
      <c r="S13361" s="78">
        <v>40748</v>
      </c>
      <c r="T13361" s="29">
        <v>0.5</v>
      </c>
    </row>
    <row r="13362" spans="19:20" x14ac:dyDescent="0.25">
      <c r="S13362" s="78">
        <v>40749</v>
      </c>
      <c r="T13362" s="29">
        <v>0.5</v>
      </c>
    </row>
    <row r="13363" spans="19:20" x14ac:dyDescent="0.25">
      <c r="S13363" s="78">
        <v>40750</v>
      </c>
      <c r="T13363" s="29">
        <v>0.5</v>
      </c>
    </row>
    <row r="13364" spans="19:20" x14ac:dyDescent="0.25">
      <c r="S13364" s="78">
        <v>40751</v>
      </c>
      <c r="T13364" s="29">
        <v>0.5</v>
      </c>
    </row>
    <row r="13365" spans="19:20" x14ac:dyDescent="0.25">
      <c r="S13365" s="78">
        <v>40752</v>
      </c>
      <c r="T13365" s="29">
        <v>0.5</v>
      </c>
    </row>
    <row r="13366" spans="19:20" x14ac:dyDescent="0.25">
      <c r="S13366" s="78">
        <v>40753</v>
      </c>
      <c r="T13366" s="29">
        <v>0.5</v>
      </c>
    </row>
    <row r="13367" spans="19:20" x14ac:dyDescent="0.25">
      <c r="S13367" s="78">
        <v>40754</v>
      </c>
      <c r="T13367" s="29">
        <v>0.5</v>
      </c>
    </row>
    <row r="13368" spans="19:20" x14ac:dyDescent="0.25">
      <c r="S13368" s="78">
        <v>40755</v>
      </c>
      <c r="T13368" s="29">
        <v>0.5</v>
      </c>
    </row>
    <row r="13369" spans="19:20" x14ac:dyDescent="0.25">
      <c r="S13369" s="78">
        <v>40756</v>
      </c>
      <c r="T13369" s="29">
        <v>0.5</v>
      </c>
    </row>
    <row r="13370" spans="19:20" x14ac:dyDescent="0.25">
      <c r="S13370" s="78">
        <v>40757</v>
      </c>
      <c r="T13370" s="29">
        <v>0.5</v>
      </c>
    </row>
    <row r="13371" spans="19:20" x14ac:dyDescent="0.25">
      <c r="S13371" s="78">
        <v>40758</v>
      </c>
      <c r="T13371" s="29">
        <v>0.5</v>
      </c>
    </row>
    <row r="13372" spans="19:20" x14ac:dyDescent="0.25">
      <c r="S13372" s="78">
        <v>40759</v>
      </c>
      <c r="T13372" s="29">
        <v>0.5</v>
      </c>
    </row>
    <row r="13373" spans="19:20" x14ac:dyDescent="0.25">
      <c r="S13373" s="78">
        <v>40760</v>
      </c>
      <c r="T13373" s="29">
        <v>0.5</v>
      </c>
    </row>
    <row r="13374" spans="19:20" x14ac:dyDescent="0.25">
      <c r="S13374" s="78">
        <v>40761</v>
      </c>
      <c r="T13374" s="29">
        <v>0.5</v>
      </c>
    </row>
    <row r="13375" spans="19:20" x14ac:dyDescent="0.25">
      <c r="S13375" s="78">
        <v>40762</v>
      </c>
      <c r="T13375" s="29">
        <v>0.5</v>
      </c>
    </row>
    <row r="13376" spans="19:20" x14ac:dyDescent="0.25">
      <c r="S13376" s="78">
        <v>40763</v>
      </c>
      <c r="T13376" s="29">
        <v>0.5</v>
      </c>
    </row>
    <row r="13377" spans="19:20" x14ac:dyDescent="0.25">
      <c r="S13377" s="78">
        <v>40764</v>
      </c>
      <c r="T13377" s="29">
        <v>0.5</v>
      </c>
    </row>
    <row r="13378" spans="19:20" x14ac:dyDescent="0.25">
      <c r="S13378" s="78">
        <v>40765</v>
      </c>
      <c r="T13378" s="29">
        <v>0.5</v>
      </c>
    </row>
    <row r="13379" spans="19:20" x14ac:dyDescent="0.25">
      <c r="S13379" s="78">
        <v>40766</v>
      </c>
      <c r="T13379" s="29">
        <v>0.5</v>
      </c>
    </row>
    <row r="13380" spans="19:20" x14ac:dyDescent="0.25">
      <c r="S13380" s="78">
        <v>40767</v>
      </c>
      <c r="T13380" s="29">
        <v>0.5</v>
      </c>
    </row>
    <row r="13381" spans="19:20" x14ac:dyDescent="0.25">
      <c r="S13381" s="78">
        <v>40768</v>
      </c>
      <c r="T13381" s="29">
        <v>0.5</v>
      </c>
    </row>
    <row r="13382" spans="19:20" x14ac:dyDescent="0.25">
      <c r="S13382" s="78">
        <v>40769</v>
      </c>
      <c r="T13382" s="29">
        <v>0.5</v>
      </c>
    </row>
    <row r="13383" spans="19:20" x14ac:dyDescent="0.25">
      <c r="S13383" s="78">
        <v>40770</v>
      </c>
      <c r="T13383" s="29">
        <v>0.5</v>
      </c>
    </row>
    <row r="13384" spans="19:20" x14ac:dyDescent="0.25">
      <c r="S13384" s="78">
        <v>40771</v>
      </c>
      <c r="T13384" s="29">
        <v>0.5</v>
      </c>
    </row>
    <row r="13385" spans="19:20" x14ac:dyDescent="0.25">
      <c r="S13385" s="78">
        <v>40772</v>
      </c>
      <c r="T13385" s="29">
        <v>0.5</v>
      </c>
    </row>
    <row r="13386" spans="19:20" x14ac:dyDescent="0.25">
      <c r="S13386" s="78">
        <v>40773</v>
      </c>
      <c r="T13386" s="29">
        <v>0.5</v>
      </c>
    </row>
    <row r="13387" spans="19:20" x14ac:dyDescent="0.25">
      <c r="S13387" s="78">
        <v>40774</v>
      </c>
      <c r="T13387" s="29">
        <v>0.5</v>
      </c>
    </row>
    <row r="13388" spans="19:20" x14ac:dyDescent="0.25">
      <c r="S13388" s="78">
        <v>40775</v>
      </c>
      <c r="T13388" s="29">
        <v>0.5</v>
      </c>
    </row>
    <row r="13389" spans="19:20" x14ac:dyDescent="0.25">
      <c r="S13389" s="78">
        <v>40776</v>
      </c>
      <c r="T13389" s="29">
        <v>0.5</v>
      </c>
    </row>
    <row r="13390" spans="19:20" x14ac:dyDescent="0.25">
      <c r="S13390" s="78">
        <v>40777</v>
      </c>
      <c r="T13390" s="29">
        <v>0.5</v>
      </c>
    </row>
    <row r="13391" spans="19:20" x14ac:dyDescent="0.25">
      <c r="S13391" s="78">
        <v>40778</v>
      </c>
      <c r="T13391" s="29">
        <v>0.5</v>
      </c>
    </row>
    <row r="13392" spans="19:20" x14ac:dyDescent="0.25">
      <c r="S13392" s="78">
        <v>40779</v>
      </c>
      <c r="T13392" s="29">
        <v>0.5</v>
      </c>
    </row>
    <row r="13393" spans="19:20" x14ac:dyDescent="0.25">
      <c r="S13393" s="78">
        <v>40780</v>
      </c>
      <c r="T13393" s="29">
        <v>0.5</v>
      </c>
    </row>
    <row r="13394" spans="19:20" x14ac:dyDescent="0.25">
      <c r="S13394" s="78">
        <v>40781</v>
      </c>
      <c r="T13394" s="29">
        <v>0.5</v>
      </c>
    </row>
    <row r="13395" spans="19:20" x14ac:dyDescent="0.25">
      <c r="S13395" s="78">
        <v>40782</v>
      </c>
      <c r="T13395" s="29">
        <v>0.5</v>
      </c>
    </row>
    <row r="13396" spans="19:20" x14ac:dyDescent="0.25">
      <c r="S13396" s="78">
        <v>40783</v>
      </c>
      <c r="T13396" s="29">
        <v>0.5</v>
      </c>
    </row>
    <row r="13397" spans="19:20" x14ac:dyDescent="0.25">
      <c r="S13397" s="78">
        <v>40784</v>
      </c>
      <c r="T13397" s="29">
        <v>0.5</v>
      </c>
    </row>
    <row r="13398" spans="19:20" x14ac:dyDescent="0.25">
      <c r="S13398" s="78">
        <v>40785</v>
      </c>
      <c r="T13398" s="29">
        <v>0.5</v>
      </c>
    </row>
    <row r="13399" spans="19:20" x14ac:dyDescent="0.25">
      <c r="S13399" s="78">
        <v>40786</v>
      </c>
      <c r="T13399" s="29">
        <v>0.5</v>
      </c>
    </row>
    <row r="13400" spans="19:20" x14ac:dyDescent="0.25">
      <c r="S13400" s="78">
        <v>40787</v>
      </c>
      <c r="T13400" s="29">
        <v>0.5</v>
      </c>
    </row>
    <row r="13401" spans="19:20" x14ac:dyDescent="0.25">
      <c r="S13401" s="78">
        <v>40788</v>
      </c>
      <c r="T13401" s="29">
        <v>0.5</v>
      </c>
    </row>
    <row r="13402" spans="19:20" x14ac:dyDescent="0.25">
      <c r="S13402" s="78">
        <v>40789</v>
      </c>
      <c r="T13402" s="29">
        <v>0.5</v>
      </c>
    </row>
    <row r="13403" spans="19:20" x14ac:dyDescent="0.25">
      <c r="S13403" s="78">
        <v>40790</v>
      </c>
      <c r="T13403" s="29">
        <v>0.5</v>
      </c>
    </row>
    <row r="13404" spans="19:20" x14ac:dyDescent="0.25">
      <c r="S13404" s="78">
        <v>40791</v>
      </c>
      <c r="T13404" s="29">
        <v>0.5</v>
      </c>
    </row>
    <row r="13405" spans="19:20" x14ac:dyDescent="0.25">
      <c r="S13405" s="78">
        <v>40792</v>
      </c>
      <c r="T13405" s="29">
        <v>0.5</v>
      </c>
    </row>
    <row r="13406" spans="19:20" x14ac:dyDescent="0.25">
      <c r="S13406" s="78">
        <v>40793</v>
      </c>
      <c r="T13406" s="29">
        <v>0.5</v>
      </c>
    </row>
    <row r="13407" spans="19:20" x14ac:dyDescent="0.25">
      <c r="S13407" s="78">
        <v>40794</v>
      </c>
      <c r="T13407" s="29">
        <v>0.5</v>
      </c>
    </row>
    <row r="13408" spans="19:20" x14ac:dyDescent="0.25">
      <c r="S13408" s="78">
        <v>40795</v>
      </c>
      <c r="T13408" s="29">
        <v>0.5</v>
      </c>
    </row>
    <row r="13409" spans="19:20" x14ac:dyDescent="0.25">
      <c r="S13409" s="78">
        <v>40796</v>
      </c>
      <c r="T13409" s="29">
        <v>0.5</v>
      </c>
    </row>
    <row r="13410" spans="19:20" x14ac:dyDescent="0.25">
      <c r="S13410" s="78">
        <v>40797</v>
      </c>
      <c r="T13410" s="29">
        <v>0.5</v>
      </c>
    </row>
    <row r="13411" spans="19:20" x14ac:dyDescent="0.25">
      <c r="S13411" s="78">
        <v>40798</v>
      </c>
      <c r="T13411" s="29">
        <v>0.5</v>
      </c>
    </row>
    <row r="13412" spans="19:20" x14ac:dyDescent="0.25">
      <c r="S13412" s="78">
        <v>40799</v>
      </c>
      <c r="T13412" s="29">
        <v>0.5</v>
      </c>
    </row>
    <row r="13413" spans="19:20" x14ac:dyDescent="0.25">
      <c r="S13413" s="78">
        <v>40800</v>
      </c>
      <c r="T13413" s="29">
        <v>0.5</v>
      </c>
    </row>
    <row r="13414" spans="19:20" x14ac:dyDescent="0.25">
      <c r="S13414" s="78">
        <v>40801</v>
      </c>
      <c r="T13414" s="29">
        <v>0.5</v>
      </c>
    </row>
    <row r="13415" spans="19:20" x14ac:dyDescent="0.25">
      <c r="S13415" s="78">
        <v>40802</v>
      </c>
      <c r="T13415" s="29">
        <v>0.5</v>
      </c>
    </row>
    <row r="13416" spans="19:20" x14ac:dyDescent="0.25">
      <c r="S13416" s="78">
        <v>40803</v>
      </c>
      <c r="T13416" s="29">
        <v>0.5</v>
      </c>
    </row>
    <row r="13417" spans="19:20" x14ac:dyDescent="0.25">
      <c r="S13417" s="78">
        <v>40804</v>
      </c>
      <c r="T13417" s="29">
        <v>0.5</v>
      </c>
    </row>
    <row r="13418" spans="19:20" x14ac:dyDescent="0.25">
      <c r="S13418" s="78">
        <v>40805</v>
      </c>
      <c r="T13418" s="29">
        <v>0.5</v>
      </c>
    </row>
    <row r="13419" spans="19:20" x14ac:dyDescent="0.25">
      <c r="S13419" s="78">
        <v>40806</v>
      </c>
      <c r="T13419" s="29">
        <v>0.5</v>
      </c>
    </row>
    <row r="13420" spans="19:20" x14ac:dyDescent="0.25">
      <c r="S13420" s="78">
        <v>40807</v>
      </c>
      <c r="T13420" s="29">
        <v>0.5</v>
      </c>
    </row>
    <row r="13421" spans="19:20" x14ac:dyDescent="0.25">
      <c r="S13421" s="78">
        <v>40808</v>
      </c>
      <c r="T13421" s="29">
        <v>0.5</v>
      </c>
    </row>
    <row r="13422" spans="19:20" x14ac:dyDescent="0.25">
      <c r="S13422" s="78">
        <v>40809</v>
      </c>
      <c r="T13422" s="29">
        <v>0.5</v>
      </c>
    </row>
    <row r="13423" spans="19:20" x14ac:dyDescent="0.25">
      <c r="S13423" s="78">
        <v>40810</v>
      </c>
      <c r="T13423" s="29">
        <v>0.5</v>
      </c>
    </row>
    <row r="13424" spans="19:20" x14ac:dyDescent="0.25">
      <c r="S13424" s="78">
        <v>40811</v>
      </c>
      <c r="T13424" s="29">
        <v>0.5</v>
      </c>
    </row>
    <row r="13425" spans="19:21" x14ac:dyDescent="0.25">
      <c r="S13425" s="78">
        <v>40812</v>
      </c>
      <c r="T13425" s="29">
        <v>0.5</v>
      </c>
    </row>
    <row r="13426" spans="19:21" x14ac:dyDescent="0.25">
      <c r="S13426" s="78">
        <v>40813</v>
      </c>
      <c r="T13426" s="29">
        <v>0.5</v>
      </c>
    </row>
    <row r="13427" spans="19:21" x14ac:dyDescent="0.25">
      <c r="S13427" s="78">
        <v>40814</v>
      </c>
      <c r="T13427" s="29">
        <v>0.5</v>
      </c>
    </row>
    <row r="13428" spans="19:21" x14ac:dyDescent="0.25">
      <c r="S13428" s="78">
        <v>40815</v>
      </c>
      <c r="T13428" s="29">
        <v>0.5</v>
      </c>
    </row>
    <row r="13429" spans="19:21" x14ac:dyDescent="0.25">
      <c r="S13429" s="78">
        <v>40816</v>
      </c>
      <c r="T13429" s="29">
        <v>0.5</v>
      </c>
      <c r="U13429" s="40">
        <f>AVERAGE(T13338:T13429)</f>
        <v>0.5</v>
      </c>
    </row>
    <row r="13430" spans="19:21" x14ac:dyDescent="0.25">
      <c r="S13430" s="78">
        <v>40817</v>
      </c>
      <c r="T13430" s="29">
        <v>0.5</v>
      </c>
    </row>
    <row r="13431" spans="19:21" x14ac:dyDescent="0.25">
      <c r="S13431" s="78">
        <v>40818</v>
      </c>
      <c r="T13431" s="29">
        <v>0.5</v>
      </c>
    </row>
    <row r="13432" spans="19:21" x14ac:dyDescent="0.25">
      <c r="S13432" s="78">
        <v>40819</v>
      </c>
      <c r="T13432" s="29">
        <v>0.5</v>
      </c>
    </row>
    <row r="13433" spans="19:21" x14ac:dyDescent="0.25">
      <c r="S13433" s="78">
        <v>40820</v>
      </c>
      <c r="T13433" s="29">
        <v>0.5</v>
      </c>
    </row>
    <row r="13434" spans="19:21" x14ac:dyDescent="0.25">
      <c r="S13434" s="78">
        <v>40821</v>
      </c>
      <c r="T13434" s="29">
        <v>0.5</v>
      </c>
    </row>
    <row r="13435" spans="19:21" x14ac:dyDescent="0.25">
      <c r="S13435" s="78">
        <v>40822</v>
      </c>
      <c r="T13435" s="29">
        <v>0.5</v>
      </c>
    </row>
    <row r="13436" spans="19:21" x14ac:dyDescent="0.25">
      <c r="S13436" s="78">
        <v>40823</v>
      </c>
      <c r="T13436" s="29">
        <v>0.5</v>
      </c>
    </row>
    <row r="13437" spans="19:21" x14ac:dyDescent="0.25">
      <c r="S13437" s="78">
        <v>40824</v>
      </c>
      <c r="T13437" s="29">
        <v>0.5</v>
      </c>
    </row>
    <row r="13438" spans="19:21" x14ac:dyDescent="0.25">
      <c r="S13438" s="78">
        <v>40825</v>
      </c>
      <c r="T13438" s="29">
        <v>0.5</v>
      </c>
    </row>
    <row r="13439" spans="19:21" x14ac:dyDescent="0.25">
      <c r="S13439" s="78">
        <v>40826</v>
      </c>
      <c r="T13439" s="29">
        <v>0.5</v>
      </c>
    </row>
    <row r="13440" spans="19:21" x14ac:dyDescent="0.25">
      <c r="S13440" s="78">
        <v>40827</v>
      </c>
      <c r="T13440" s="29">
        <v>0.5</v>
      </c>
    </row>
    <row r="13441" spans="19:20" x14ac:dyDescent="0.25">
      <c r="S13441" s="78">
        <v>40828</v>
      </c>
      <c r="T13441" s="29">
        <v>0.5</v>
      </c>
    </row>
    <row r="13442" spans="19:20" x14ac:dyDescent="0.25">
      <c r="S13442" s="78">
        <v>40829</v>
      </c>
      <c r="T13442" s="29">
        <v>0.5</v>
      </c>
    </row>
    <row r="13443" spans="19:20" x14ac:dyDescent="0.25">
      <c r="S13443" s="78">
        <v>40830</v>
      </c>
      <c r="T13443" s="29">
        <v>0.5</v>
      </c>
    </row>
    <row r="13444" spans="19:20" x14ac:dyDescent="0.25">
      <c r="S13444" s="78">
        <v>40831</v>
      </c>
      <c r="T13444" s="29">
        <v>0.5</v>
      </c>
    </row>
    <row r="13445" spans="19:20" x14ac:dyDescent="0.25">
      <c r="S13445" s="78">
        <v>40832</v>
      </c>
      <c r="T13445" s="29">
        <v>0.5</v>
      </c>
    </row>
    <row r="13446" spans="19:20" x14ac:dyDescent="0.25">
      <c r="S13446" s="78">
        <v>40833</v>
      </c>
      <c r="T13446" s="29">
        <v>0.5</v>
      </c>
    </row>
    <row r="13447" spans="19:20" x14ac:dyDescent="0.25">
      <c r="S13447" s="78">
        <v>40834</v>
      </c>
      <c r="T13447" s="29">
        <v>0.5</v>
      </c>
    </row>
    <row r="13448" spans="19:20" x14ac:dyDescent="0.25">
      <c r="S13448" s="78">
        <v>40835</v>
      </c>
      <c r="T13448" s="29">
        <v>0.5</v>
      </c>
    </row>
    <row r="13449" spans="19:20" x14ac:dyDescent="0.25">
      <c r="S13449" s="78">
        <v>40836</v>
      </c>
      <c r="T13449" s="29">
        <v>0.5</v>
      </c>
    </row>
    <row r="13450" spans="19:20" x14ac:dyDescent="0.25">
      <c r="S13450" s="78">
        <v>40837</v>
      </c>
      <c r="T13450" s="29">
        <v>0.5</v>
      </c>
    </row>
    <row r="13451" spans="19:20" x14ac:dyDescent="0.25">
      <c r="S13451" s="78">
        <v>40838</v>
      </c>
      <c r="T13451" s="29">
        <v>0.5</v>
      </c>
    </row>
    <row r="13452" spans="19:20" x14ac:dyDescent="0.25">
      <c r="S13452" s="78">
        <v>40839</v>
      </c>
      <c r="T13452" s="29">
        <v>0.5</v>
      </c>
    </row>
    <row r="13453" spans="19:20" x14ac:dyDescent="0.25">
      <c r="S13453" s="78">
        <v>40840</v>
      </c>
      <c r="T13453" s="29">
        <v>0.5</v>
      </c>
    </row>
    <row r="13454" spans="19:20" x14ac:dyDescent="0.25">
      <c r="S13454" s="78">
        <v>40841</v>
      </c>
      <c r="T13454" s="29">
        <v>0.5</v>
      </c>
    </row>
    <row r="13455" spans="19:20" x14ac:dyDescent="0.25">
      <c r="S13455" s="78">
        <v>40842</v>
      </c>
      <c r="T13455" s="29">
        <v>0.5</v>
      </c>
    </row>
    <row r="13456" spans="19:20" x14ac:dyDescent="0.25">
      <c r="S13456" s="78">
        <v>40843</v>
      </c>
      <c r="T13456" s="29">
        <v>0.5</v>
      </c>
    </row>
    <row r="13457" spans="19:20" x14ac:dyDescent="0.25">
      <c r="S13457" s="78">
        <v>40844</v>
      </c>
      <c r="T13457" s="29">
        <v>0.5</v>
      </c>
    </row>
    <row r="13458" spans="19:20" x14ac:dyDescent="0.25">
      <c r="S13458" s="78">
        <v>40845</v>
      </c>
      <c r="T13458" s="29">
        <v>0.5</v>
      </c>
    </row>
    <row r="13459" spans="19:20" x14ac:dyDescent="0.25">
      <c r="S13459" s="78">
        <v>40846</v>
      </c>
      <c r="T13459" s="29">
        <v>0.5</v>
      </c>
    </row>
    <row r="13460" spans="19:20" x14ac:dyDescent="0.25">
      <c r="S13460" s="78">
        <v>40847</v>
      </c>
      <c r="T13460" s="29">
        <v>0.5</v>
      </c>
    </row>
    <row r="13461" spans="19:20" x14ac:dyDescent="0.25">
      <c r="S13461" s="78">
        <v>40848</v>
      </c>
      <c r="T13461" s="29">
        <v>0.5</v>
      </c>
    </row>
    <row r="13462" spans="19:20" x14ac:dyDescent="0.25">
      <c r="S13462" s="78">
        <v>40849</v>
      </c>
      <c r="T13462" s="29">
        <v>0.5</v>
      </c>
    </row>
    <row r="13463" spans="19:20" x14ac:dyDescent="0.25">
      <c r="S13463" s="78">
        <v>40850</v>
      </c>
      <c r="T13463" s="29">
        <v>0.5</v>
      </c>
    </row>
    <row r="13464" spans="19:20" x14ac:dyDescent="0.25">
      <c r="S13464" s="78">
        <v>40851</v>
      </c>
      <c r="T13464" s="29">
        <v>0.5</v>
      </c>
    </row>
    <row r="13465" spans="19:20" x14ac:dyDescent="0.25">
      <c r="S13465" s="78">
        <v>40852</v>
      </c>
      <c r="T13465" s="29">
        <v>0.5</v>
      </c>
    </row>
    <row r="13466" spans="19:20" x14ac:dyDescent="0.25">
      <c r="S13466" s="78">
        <v>40853</v>
      </c>
      <c r="T13466" s="29">
        <v>0.5</v>
      </c>
    </row>
    <row r="13467" spans="19:20" x14ac:dyDescent="0.25">
      <c r="S13467" s="78">
        <v>40854</v>
      </c>
      <c r="T13467" s="29">
        <v>0.5</v>
      </c>
    </row>
    <row r="13468" spans="19:20" x14ac:dyDescent="0.25">
      <c r="S13468" s="78">
        <v>40855</v>
      </c>
      <c r="T13468" s="29">
        <v>0.5</v>
      </c>
    </row>
    <row r="13469" spans="19:20" x14ac:dyDescent="0.25">
      <c r="S13469" s="78">
        <v>40856</v>
      </c>
      <c r="T13469" s="29">
        <v>0.5</v>
      </c>
    </row>
    <row r="13470" spans="19:20" x14ac:dyDescent="0.25">
      <c r="S13470" s="78">
        <v>40857</v>
      </c>
      <c r="T13470" s="29">
        <v>0.5</v>
      </c>
    </row>
    <row r="13471" spans="19:20" x14ac:dyDescent="0.25">
      <c r="S13471" s="78">
        <v>40858</v>
      </c>
      <c r="T13471" s="29">
        <v>0.5</v>
      </c>
    </row>
    <row r="13472" spans="19:20" x14ac:dyDescent="0.25">
      <c r="S13472" s="78">
        <v>40859</v>
      </c>
      <c r="T13472" s="29">
        <v>0.5</v>
      </c>
    </row>
    <row r="13473" spans="19:20" x14ac:dyDescent="0.25">
      <c r="S13473" s="78">
        <v>40860</v>
      </c>
      <c r="T13473" s="29">
        <v>0.5</v>
      </c>
    </row>
    <row r="13474" spans="19:20" x14ac:dyDescent="0.25">
      <c r="S13474" s="78">
        <v>40861</v>
      </c>
      <c r="T13474" s="29">
        <v>0.5</v>
      </c>
    </row>
    <row r="13475" spans="19:20" x14ac:dyDescent="0.25">
      <c r="S13475" s="78">
        <v>40862</v>
      </c>
      <c r="T13475" s="29">
        <v>0.5</v>
      </c>
    </row>
    <row r="13476" spans="19:20" x14ac:dyDescent="0.25">
      <c r="S13476" s="78">
        <v>40863</v>
      </c>
      <c r="T13476" s="29">
        <v>0.5</v>
      </c>
    </row>
    <row r="13477" spans="19:20" x14ac:dyDescent="0.25">
      <c r="S13477" s="78">
        <v>40864</v>
      </c>
      <c r="T13477" s="29">
        <v>0.5</v>
      </c>
    </row>
    <row r="13478" spans="19:20" x14ac:dyDescent="0.25">
      <c r="S13478" s="78">
        <v>40865</v>
      </c>
      <c r="T13478" s="29">
        <v>0.5</v>
      </c>
    </row>
    <row r="13479" spans="19:20" x14ac:dyDescent="0.25">
      <c r="S13479" s="78">
        <v>40866</v>
      </c>
      <c r="T13479" s="29">
        <v>0.5</v>
      </c>
    </row>
    <row r="13480" spans="19:20" x14ac:dyDescent="0.25">
      <c r="S13480" s="78">
        <v>40867</v>
      </c>
      <c r="T13480" s="29">
        <v>0.5</v>
      </c>
    </row>
    <row r="13481" spans="19:20" x14ac:dyDescent="0.25">
      <c r="S13481" s="78">
        <v>40868</v>
      </c>
      <c r="T13481" s="29">
        <v>0.5</v>
      </c>
    </row>
    <row r="13482" spans="19:20" x14ac:dyDescent="0.25">
      <c r="S13482" s="78">
        <v>40869</v>
      </c>
      <c r="T13482" s="29">
        <v>0.5</v>
      </c>
    </row>
    <row r="13483" spans="19:20" x14ac:dyDescent="0.25">
      <c r="S13483" s="78">
        <v>40870</v>
      </c>
      <c r="T13483" s="29">
        <v>0.5</v>
      </c>
    </row>
    <row r="13484" spans="19:20" x14ac:dyDescent="0.25">
      <c r="S13484" s="78">
        <v>40871</v>
      </c>
      <c r="T13484" s="29">
        <v>0.5</v>
      </c>
    </row>
    <row r="13485" spans="19:20" x14ac:dyDescent="0.25">
      <c r="S13485" s="78">
        <v>40872</v>
      </c>
      <c r="T13485" s="29">
        <v>0.5</v>
      </c>
    </row>
    <row r="13486" spans="19:20" x14ac:dyDescent="0.25">
      <c r="S13486" s="78">
        <v>40873</v>
      </c>
      <c r="T13486" s="29">
        <v>0.5</v>
      </c>
    </row>
    <row r="13487" spans="19:20" x14ac:dyDescent="0.25">
      <c r="S13487" s="78">
        <v>40874</v>
      </c>
      <c r="T13487" s="29">
        <v>0.5</v>
      </c>
    </row>
    <row r="13488" spans="19:20" x14ac:dyDescent="0.25">
      <c r="S13488" s="78">
        <v>40875</v>
      </c>
      <c r="T13488" s="29">
        <v>0.5</v>
      </c>
    </row>
    <row r="13489" spans="19:20" x14ac:dyDescent="0.25">
      <c r="S13489" s="78">
        <v>40876</v>
      </c>
      <c r="T13489" s="29">
        <v>0.5</v>
      </c>
    </row>
    <row r="13490" spans="19:20" x14ac:dyDescent="0.25">
      <c r="S13490" s="78">
        <v>40877</v>
      </c>
      <c r="T13490" s="29">
        <v>0.5</v>
      </c>
    </row>
    <row r="13491" spans="19:20" x14ac:dyDescent="0.25">
      <c r="S13491" s="78">
        <v>40878</v>
      </c>
      <c r="T13491" s="29">
        <v>0.5</v>
      </c>
    </row>
    <row r="13492" spans="19:20" x14ac:dyDescent="0.25">
      <c r="S13492" s="78">
        <v>40879</v>
      </c>
      <c r="T13492" s="29">
        <v>0.5</v>
      </c>
    </row>
    <row r="13493" spans="19:20" x14ac:dyDescent="0.25">
      <c r="S13493" s="78">
        <v>40880</v>
      </c>
      <c r="T13493" s="29">
        <v>0.5</v>
      </c>
    </row>
    <row r="13494" spans="19:20" x14ac:dyDescent="0.25">
      <c r="S13494" s="78">
        <v>40881</v>
      </c>
      <c r="T13494" s="29">
        <v>0.5</v>
      </c>
    </row>
    <row r="13495" spans="19:20" x14ac:dyDescent="0.25">
      <c r="S13495" s="78">
        <v>40882</v>
      </c>
      <c r="T13495" s="29">
        <v>0.5</v>
      </c>
    </row>
    <row r="13496" spans="19:20" x14ac:dyDescent="0.25">
      <c r="S13496" s="78">
        <v>40883</v>
      </c>
      <c r="T13496" s="29">
        <v>0.5</v>
      </c>
    </row>
    <row r="13497" spans="19:20" x14ac:dyDescent="0.25">
      <c r="S13497" s="78">
        <v>40884</v>
      </c>
      <c r="T13497" s="29">
        <v>0.5</v>
      </c>
    </row>
    <row r="13498" spans="19:20" x14ac:dyDescent="0.25">
      <c r="S13498" s="78">
        <v>40885</v>
      </c>
      <c r="T13498" s="29">
        <v>0.5</v>
      </c>
    </row>
    <row r="13499" spans="19:20" x14ac:dyDescent="0.25">
      <c r="S13499" s="78">
        <v>40886</v>
      </c>
      <c r="T13499" s="29">
        <v>0.5</v>
      </c>
    </row>
    <row r="13500" spans="19:20" x14ac:dyDescent="0.25">
      <c r="S13500" s="78">
        <v>40887</v>
      </c>
      <c r="T13500" s="29">
        <v>0.5</v>
      </c>
    </row>
    <row r="13501" spans="19:20" x14ac:dyDescent="0.25">
      <c r="S13501" s="78">
        <v>40888</v>
      </c>
      <c r="T13501" s="29">
        <v>0.5</v>
      </c>
    </row>
    <row r="13502" spans="19:20" x14ac:dyDescent="0.25">
      <c r="S13502" s="78">
        <v>40889</v>
      </c>
      <c r="T13502" s="29">
        <v>0.5</v>
      </c>
    </row>
    <row r="13503" spans="19:20" x14ac:dyDescent="0.25">
      <c r="S13503" s="78">
        <v>40890</v>
      </c>
      <c r="T13503" s="29">
        <v>0.5</v>
      </c>
    </row>
    <row r="13504" spans="19:20" x14ac:dyDescent="0.25">
      <c r="S13504" s="78">
        <v>40891</v>
      </c>
      <c r="T13504" s="29">
        <v>0.5</v>
      </c>
    </row>
    <row r="13505" spans="19:20" x14ac:dyDescent="0.25">
      <c r="S13505" s="78">
        <v>40892</v>
      </c>
      <c r="T13505" s="29">
        <v>0.5</v>
      </c>
    </row>
    <row r="13506" spans="19:20" x14ac:dyDescent="0.25">
      <c r="S13506" s="78">
        <v>40893</v>
      </c>
      <c r="T13506" s="29">
        <v>0.5</v>
      </c>
    </row>
    <row r="13507" spans="19:20" x14ac:dyDescent="0.25">
      <c r="S13507" s="78">
        <v>40894</v>
      </c>
      <c r="T13507" s="29">
        <v>0.5</v>
      </c>
    </row>
    <row r="13508" spans="19:20" x14ac:dyDescent="0.25">
      <c r="S13508" s="78">
        <v>40895</v>
      </c>
      <c r="T13508" s="29">
        <v>0.5</v>
      </c>
    </row>
    <row r="13509" spans="19:20" x14ac:dyDescent="0.25">
      <c r="S13509" s="78">
        <v>40896</v>
      </c>
      <c r="T13509" s="29">
        <v>0.5</v>
      </c>
    </row>
    <row r="13510" spans="19:20" x14ac:dyDescent="0.25">
      <c r="S13510" s="78">
        <v>40897</v>
      </c>
      <c r="T13510" s="29">
        <v>0.5</v>
      </c>
    </row>
    <row r="13511" spans="19:20" x14ac:dyDescent="0.25">
      <c r="S13511" s="78">
        <v>40898</v>
      </c>
      <c r="T13511" s="29">
        <v>0.5</v>
      </c>
    </row>
    <row r="13512" spans="19:20" x14ac:dyDescent="0.25">
      <c r="S13512" s="78">
        <v>40899</v>
      </c>
      <c r="T13512" s="29">
        <v>0.5</v>
      </c>
    </row>
    <row r="13513" spans="19:20" x14ac:dyDescent="0.25">
      <c r="S13513" s="78">
        <v>40900</v>
      </c>
      <c r="T13513" s="29">
        <v>0.5</v>
      </c>
    </row>
    <row r="13514" spans="19:20" x14ac:dyDescent="0.25">
      <c r="S13514" s="78">
        <v>40901</v>
      </c>
      <c r="T13514" s="29">
        <v>0.5</v>
      </c>
    </row>
    <row r="13515" spans="19:20" x14ac:dyDescent="0.25">
      <c r="S13515" s="78">
        <v>40902</v>
      </c>
      <c r="T13515" s="29">
        <v>0.5</v>
      </c>
    </row>
    <row r="13516" spans="19:20" x14ac:dyDescent="0.25">
      <c r="S13516" s="78">
        <v>40903</v>
      </c>
      <c r="T13516" s="29">
        <v>0.5</v>
      </c>
    </row>
    <row r="13517" spans="19:20" x14ac:dyDescent="0.25">
      <c r="S13517" s="78">
        <v>40904</v>
      </c>
      <c r="T13517" s="29">
        <v>0.5</v>
      </c>
    </row>
    <row r="13518" spans="19:20" x14ac:dyDescent="0.25">
      <c r="S13518" s="78">
        <v>40905</v>
      </c>
      <c r="T13518" s="29">
        <v>0.5</v>
      </c>
    </row>
    <row r="13519" spans="19:20" x14ac:dyDescent="0.25">
      <c r="S13519" s="78">
        <v>40906</v>
      </c>
      <c r="T13519" s="29">
        <v>0.5</v>
      </c>
    </row>
    <row r="13520" spans="19:20" x14ac:dyDescent="0.25">
      <c r="S13520" s="78">
        <v>40907</v>
      </c>
      <c r="T13520" s="29">
        <v>0.5</v>
      </c>
    </row>
    <row r="13521" spans="19:21" x14ac:dyDescent="0.25">
      <c r="S13521" s="78">
        <v>40908</v>
      </c>
      <c r="T13521" s="29">
        <v>0.5</v>
      </c>
      <c r="U13521" s="40">
        <f>AVERAGE(T13430:T13521)</f>
        <v>0.5</v>
      </c>
    </row>
    <row r="13522" spans="19:21" x14ac:dyDescent="0.25">
      <c r="S13522" s="78">
        <v>40909</v>
      </c>
      <c r="T13522" s="29">
        <v>0.5</v>
      </c>
    </row>
    <row r="13523" spans="19:21" x14ac:dyDescent="0.25">
      <c r="S13523" s="78">
        <v>40910</v>
      </c>
      <c r="T13523" s="29">
        <v>0.5</v>
      </c>
    </row>
    <row r="13524" spans="19:21" x14ac:dyDescent="0.25">
      <c r="S13524" s="78">
        <v>40911</v>
      </c>
      <c r="T13524" s="29">
        <v>0.5</v>
      </c>
    </row>
    <row r="13525" spans="19:21" x14ac:dyDescent="0.25">
      <c r="S13525" s="78">
        <v>40912</v>
      </c>
      <c r="T13525" s="29">
        <v>0.5</v>
      </c>
    </row>
    <row r="13526" spans="19:21" x14ac:dyDescent="0.25">
      <c r="S13526" s="78">
        <v>40913</v>
      </c>
      <c r="T13526" s="29">
        <v>0.5</v>
      </c>
    </row>
    <row r="13527" spans="19:21" x14ac:dyDescent="0.25">
      <c r="S13527" s="78">
        <v>40914</v>
      </c>
      <c r="T13527" s="29">
        <v>0.5</v>
      </c>
    </row>
    <row r="13528" spans="19:21" x14ac:dyDescent="0.25">
      <c r="S13528" s="78">
        <v>40915</v>
      </c>
      <c r="T13528" s="29">
        <v>0.5</v>
      </c>
    </row>
    <row r="13529" spans="19:21" x14ac:dyDescent="0.25">
      <c r="S13529" s="78">
        <v>40916</v>
      </c>
      <c r="T13529" s="29">
        <v>0.5</v>
      </c>
    </row>
    <row r="13530" spans="19:21" x14ac:dyDescent="0.25">
      <c r="S13530" s="78">
        <v>40917</v>
      </c>
      <c r="T13530" s="29">
        <v>0.5</v>
      </c>
    </row>
    <row r="13531" spans="19:21" x14ac:dyDescent="0.25">
      <c r="S13531" s="78">
        <v>40918</v>
      </c>
      <c r="T13531" s="29">
        <v>0.5</v>
      </c>
    </row>
    <row r="13532" spans="19:21" x14ac:dyDescent="0.25">
      <c r="S13532" s="78">
        <v>40919</v>
      </c>
      <c r="T13532" s="29">
        <v>0.5</v>
      </c>
    </row>
    <row r="13533" spans="19:21" x14ac:dyDescent="0.25">
      <c r="S13533" s="78">
        <v>40920</v>
      </c>
      <c r="T13533" s="29">
        <v>0.5</v>
      </c>
    </row>
    <row r="13534" spans="19:21" x14ac:dyDescent="0.25">
      <c r="S13534" s="78">
        <v>40921</v>
      </c>
      <c r="T13534" s="29">
        <v>0.5</v>
      </c>
    </row>
    <row r="13535" spans="19:21" x14ac:dyDescent="0.25">
      <c r="S13535" s="78">
        <v>40922</v>
      </c>
      <c r="T13535" s="29">
        <v>0.5</v>
      </c>
    </row>
    <row r="13536" spans="19:21" x14ac:dyDescent="0.25">
      <c r="S13536" s="78">
        <v>40923</v>
      </c>
      <c r="T13536" s="29">
        <v>0.5</v>
      </c>
    </row>
    <row r="13537" spans="19:20" x14ac:dyDescent="0.25">
      <c r="S13537" s="78">
        <v>40924</v>
      </c>
      <c r="T13537" s="29">
        <v>0.5</v>
      </c>
    </row>
    <row r="13538" spans="19:20" x14ac:dyDescent="0.25">
      <c r="S13538" s="78">
        <v>40925</v>
      </c>
      <c r="T13538" s="29">
        <v>0.5</v>
      </c>
    </row>
    <row r="13539" spans="19:20" x14ac:dyDescent="0.25">
      <c r="S13539" s="78">
        <v>40926</v>
      </c>
      <c r="T13539" s="29">
        <v>0.5</v>
      </c>
    </row>
    <row r="13540" spans="19:20" x14ac:dyDescent="0.25">
      <c r="S13540" s="78">
        <v>40927</v>
      </c>
      <c r="T13540" s="29">
        <v>0.5</v>
      </c>
    </row>
    <row r="13541" spans="19:20" x14ac:dyDescent="0.25">
      <c r="S13541" s="78">
        <v>40928</v>
      </c>
      <c r="T13541" s="29">
        <v>0.5</v>
      </c>
    </row>
    <row r="13542" spans="19:20" x14ac:dyDescent="0.25">
      <c r="S13542" s="78">
        <v>40929</v>
      </c>
      <c r="T13542" s="29">
        <v>0.5</v>
      </c>
    </row>
    <row r="13543" spans="19:20" x14ac:dyDescent="0.25">
      <c r="S13543" s="78">
        <v>40930</v>
      </c>
      <c r="T13543" s="29">
        <v>0.5</v>
      </c>
    </row>
    <row r="13544" spans="19:20" x14ac:dyDescent="0.25">
      <c r="S13544" s="78">
        <v>40931</v>
      </c>
      <c r="T13544" s="29">
        <v>0.5</v>
      </c>
    </row>
    <row r="13545" spans="19:20" x14ac:dyDescent="0.25">
      <c r="S13545" s="78">
        <v>40932</v>
      </c>
      <c r="T13545" s="29">
        <v>0.5</v>
      </c>
    </row>
    <row r="13546" spans="19:20" x14ac:dyDescent="0.25">
      <c r="S13546" s="78">
        <v>40933</v>
      </c>
      <c r="T13546" s="29">
        <v>0.5</v>
      </c>
    </row>
    <row r="13547" spans="19:20" x14ac:dyDescent="0.25">
      <c r="S13547" s="78">
        <v>40934</v>
      </c>
      <c r="T13547" s="29">
        <v>0.5</v>
      </c>
    </row>
    <row r="13548" spans="19:20" x14ac:dyDescent="0.25">
      <c r="S13548" s="78">
        <v>40935</v>
      </c>
      <c r="T13548" s="29">
        <v>0.5</v>
      </c>
    </row>
    <row r="13549" spans="19:20" x14ac:dyDescent="0.25">
      <c r="S13549" s="78">
        <v>40936</v>
      </c>
      <c r="T13549" s="29">
        <v>0.5</v>
      </c>
    </row>
    <row r="13550" spans="19:20" x14ac:dyDescent="0.25">
      <c r="S13550" s="78">
        <v>40937</v>
      </c>
      <c r="T13550" s="29">
        <v>0.5</v>
      </c>
    </row>
    <row r="13551" spans="19:20" x14ac:dyDescent="0.25">
      <c r="S13551" s="78">
        <v>40938</v>
      </c>
      <c r="T13551" s="29">
        <v>0.5</v>
      </c>
    </row>
    <row r="13552" spans="19:20" x14ac:dyDescent="0.25">
      <c r="S13552" s="78">
        <v>40939</v>
      </c>
      <c r="T13552" s="29">
        <v>0.5</v>
      </c>
    </row>
    <row r="13553" spans="19:20" x14ac:dyDescent="0.25">
      <c r="S13553" s="78">
        <v>40940</v>
      </c>
      <c r="T13553" s="29">
        <v>0.5</v>
      </c>
    </row>
    <row r="13554" spans="19:20" x14ac:dyDescent="0.25">
      <c r="S13554" s="78">
        <v>40941</v>
      </c>
      <c r="T13554" s="29">
        <v>0.5</v>
      </c>
    </row>
    <row r="13555" spans="19:20" x14ac:dyDescent="0.25">
      <c r="S13555" s="78">
        <v>40942</v>
      </c>
      <c r="T13555" s="29">
        <v>0.5</v>
      </c>
    </row>
    <row r="13556" spans="19:20" x14ac:dyDescent="0.25">
      <c r="S13556" s="78">
        <v>40943</v>
      </c>
      <c r="T13556" s="29">
        <v>0.5</v>
      </c>
    </row>
    <row r="13557" spans="19:20" x14ac:dyDescent="0.25">
      <c r="S13557" s="78">
        <v>40944</v>
      </c>
      <c r="T13557" s="29">
        <v>0.5</v>
      </c>
    </row>
    <row r="13558" spans="19:20" x14ac:dyDescent="0.25">
      <c r="S13558" s="78">
        <v>40945</v>
      </c>
      <c r="T13558" s="29">
        <v>0.5</v>
      </c>
    </row>
    <row r="13559" spans="19:20" x14ac:dyDescent="0.25">
      <c r="S13559" s="78">
        <v>40946</v>
      </c>
      <c r="T13559" s="29">
        <v>0.5</v>
      </c>
    </row>
    <row r="13560" spans="19:20" x14ac:dyDescent="0.25">
      <c r="S13560" s="78">
        <v>40947</v>
      </c>
      <c r="T13560" s="29">
        <v>0.5</v>
      </c>
    </row>
    <row r="13561" spans="19:20" x14ac:dyDescent="0.25">
      <c r="S13561" s="78">
        <v>40948</v>
      </c>
      <c r="T13561" s="29">
        <v>0.5</v>
      </c>
    </row>
    <row r="13562" spans="19:20" x14ac:dyDescent="0.25">
      <c r="S13562" s="78">
        <v>40949</v>
      </c>
      <c r="T13562" s="29">
        <v>0.5</v>
      </c>
    </row>
    <row r="13563" spans="19:20" x14ac:dyDescent="0.25">
      <c r="S13563" s="78">
        <v>40950</v>
      </c>
      <c r="T13563" s="29">
        <v>0.5</v>
      </c>
    </row>
    <row r="13564" spans="19:20" x14ac:dyDescent="0.25">
      <c r="S13564" s="78">
        <v>40951</v>
      </c>
      <c r="T13564" s="29">
        <v>0.5</v>
      </c>
    </row>
    <row r="13565" spans="19:20" x14ac:dyDescent="0.25">
      <c r="S13565" s="78">
        <v>40952</v>
      </c>
      <c r="T13565" s="29">
        <v>0.5</v>
      </c>
    </row>
    <row r="13566" spans="19:20" x14ac:dyDescent="0.25">
      <c r="S13566" s="78">
        <v>40953</v>
      </c>
      <c r="T13566" s="29">
        <v>0.5</v>
      </c>
    </row>
    <row r="13567" spans="19:20" x14ac:dyDescent="0.25">
      <c r="S13567" s="78">
        <v>40954</v>
      </c>
      <c r="T13567" s="29">
        <v>0.5</v>
      </c>
    </row>
    <row r="13568" spans="19:20" x14ac:dyDescent="0.25">
      <c r="S13568" s="78">
        <v>40955</v>
      </c>
      <c r="T13568" s="29">
        <v>0.5</v>
      </c>
    </row>
    <row r="13569" spans="19:20" x14ac:dyDescent="0.25">
      <c r="S13569" s="78">
        <v>40956</v>
      </c>
      <c r="T13569" s="29">
        <v>0.5</v>
      </c>
    </row>
    <row r="13570" spans="19:20" x14ac:dyDescent="0.25">
      <c r="S13570" s="78">
        <v>40957</v>
      </c>
      <c r="T13570" s="29">
        <v>0.5</v>
      </c>
    </row>
    <row r="13571" spans="19:20" x14ac:dyDescent="0.25">
      <c r="S13571" s="78">
        <v>40958</v>
      </c>
      <c r="T13571" s="29">
        <v>0.5</v>
      </c>
    </row>
    <row r="13572" spans="19:20" x14ac:dyDescent="0.25">
      <c r="S13572" s="78">
        <v>40959</v>
      </c>
      <c r="T13572" s="29">
        <v>0.5</v>
      </c>
    </row>
    <row r="13573" spans="19:20" x14ac:dyDescent="0.25">
      <c r="S13573" s="78">
        <v>40960</v>
      </c>
      <c r="T13573" s="29">
        <v>0.5</v>
      </c>
    </row>
    <row r="13574" spans="19:20" x14ac:dyDescent="0.25">
      <c r="S13574" s="78">
        <v>40961</v>
      </c>
      <c r="T13574" s="29">
        <v>0.5</v>
      </c>
    </row>
    <row r="13575" spans="19:20" x14ac:dyDescent="0.25">
      <c r="S13575" s="78">
        <v>40962</v>
      </c>
      <c r="T13575" s="29">
        <v>0.5</v>
      </c>
    </row>
    <row r="13576" spans="19:20" x14ac:dyDescent="0.25">
      <c r="S13576" s="78">
        <v>40963</v>
      </c>
      <c r="T13576" s="29">
        <v>0.5</v>
      </c>
    </row>
    <row r="13577" spans="19:20" x14ac:dyDescent="0.25">
      <c r="S13577" s="78">
        <v>40964</v>
      </c>
      <c r="T13577" s="29">
        <v>0.5</v>
      </c>
    </row>
    <row r="13578" spans="19:20" x14ac:dyDescent="0.25">
      <c r="S13578" s="78">
        <v>40965</v>
      </c>
      <c r="T13578" s="29">
        <v>0.5</v>
      </c>
    </row>
    <row r="13579" spans="19:20" x14ac:dyDescent="0.25">
      <c r="S13579" s="78">
        <v>40966</v>
      </c>
      <c r="T13579" s="29">
        <v>0.5</v>
      </c>
    </row>
    <row r="13580" spans="19:20" x14ac:dyDescent="0.25">
      <c r="S13580" s="78">
        <v>40967</v>
      </c>
      <c r="T13580" s="29">
        <v>0.5</v>
      </c>
    </row>
    <row r="13581" spans="19:20" x14ac:dyDescent="0.25">
      <c r="S13581" s="78">
        <v>40968</v>
      </c>
      <c r="T13581" s="29">
        <v>0.5</v>
      </c>
    </row>
    <row r="13582" spans="19:20" x14ac:dyDescent="0.25">
      <c r="S13582" s="78">
        <v>40969</v>
      </c>
      <c r="T13582" s="29">
        <v>0.5</v>
      </c>
    </row>
    <row r="13583" spans="19:20" x14ac:dyDescent="0.25">
      <c r="S13583" s="78">
        <v>40970</v>
      </c>
      <c r="T13583" s="29">
        <v>0.5</v>
      </c>
    </row>
    <row r="13584" spans="19:20" x14ac:dyDescent="0.25">
      <c r="S13584" s="78">
        <v>40971</v>
      </c>
      <c r="T13584" s="29">
        <v>0.5</v>
      </c>
    </row>
    <row r="13585" spans="19:20" x14ac:dyDescent="0.25">
      <c r="S13585" s="78">
        <v>40972</v>
      </c>
      <c r="T13585" s="29">
        <v>0.5</v>
      </c>
    </row>
    <row r="13586" spans="19:20" x14ac:dyDescent="0.25">
      <c r="S13586" s="78">
        <v>40973</v>
      </c>
      <c r="T13586" s="29">
        <v>0.5</v>
      </c>
    </row>
    <row r="13587" spans="19:20" x14ac:dyDescent="0.25">
      <c r="S13587" s="78">
        <v>40974</v>
      </c>
      <c r="T13587" s="29">
        <v>0.5</v>
      </c>
    </row>
    <row r="13588" spans="19:20" x14ac:dyDescent="0.25">
      <c r="S13588" s="78">
        <v>40975</v>
      </c>
      <c r="T13588" s="29">
        <v>0.5</v>
      </c>
    </row>
    <row r="13589" spans="19:20" x14ac:dyDescent="0.25">
      <c r="S13589" s="78">
        <v>40976</v>
      </c>
      <c r="T13589" s="29">
        <v>0.5</v>
      </c>
    </row>
    <row r="13590" spans="19:20" x14ac:dyDescent="0.25">
      <c r="S13590" s="78">
        <v>40977</v>
      </c>
      <c r="T13590" s="29">
        <v>0.5</v>
      </c>
    </row>
    <row r="13591" spans="19:20" x14ac:dyDescent="0.25">
      <c r="S13591" s="78">
        <v>40978</v>
      </c>
      <c r="T13591" s="29">
        <v>0.5</v>
      </c>
    </row>
    <row r="13592" spans="19:20" x14ac:dyDescent="0.25">
      <c r="S13592" s="78">
        <v>40979</v>
      </c>
      <c r="T13592" s="29">
        <v>0.5</v>
      </c>
    </row>
    <row r="13593" spans="19:20" x14ac:dyDescent="0.25">
      <c r="S13593" s="78">
        <v>40980</v>
      </c>
      <c r="T13593" s="29">
        <v>0.5</v>
      </c>
    </row>
    <row r="13594" spans="19:20" x14ac:dyDescent="0.25">
      <c r="S13594" s="78">
        <v>40981</v>
      </c>
      <c r="T13594" s="29">
        <v>0.5</v>
      </c>
    </row>
    <row r="13595" spans="19:20" x14ac:dyDescent="0.25">
      <c r="S13595" s="78">
        <v>40982</v>
      </c>
      <c r="T13595" s="29">
        <v>0.5</v>
      </c>
    </row>
    <row r="13596" spans="19:20" x14ac:dyDescent="0.25">
      <c r="S13596" s="78">
        <v>40983</v>
      </c>
      <c r="T13596" s="29">
        <v>0.5</v>
      </c>
    </row>
    <row r="13597" spans="19:20" x14ac:dyDescent="0.25">
      <c r="S13597" s="78">
        <v>40984</v>
      </c>
      <c r="T13597" s="29">
        <v>0.5</v>
      </c>
    </row>
    <row r="13598" spans="19:20" x14ac:dyDescent="0.25">
      <c r="S13598" s="78">
        <v>40985</v>
      </c>
      <c r="T13598" s="29">
        <v>0.5</v>
      </c>
    </row>
    <row r="13599" spans="19:20" x14ac:dyDescent="0.25">
      <c r="S13599" s="78">
        <v>40986</v>
      </c>
      <c r="T13599" s="29">
        <v>0.5</v>
      </c>
    </row>
    <row r="13600" spans="19:20" x14ac:dyDescent="0.25">
      <c r="S13600" s="78">
        <v>40987</v>
      </c>
      <c r="T13600" s="29">
        <v>0.5</v>
      </c>
    </row>
    <row r="13601" spans="19:21" x14ac:dyDescent="0.25">
      <c r="S13601" s="78">
        <v>40988</v>
      </c>
      <c r="T13601" s="29">
        <v>0.5</v>
      </c>
    </row>
    <row r="13602" spans="19:21" x14ac:dyDescent="0.25">
      <c r="S13602" s="78">
        <v>40989</v>
      </c>
      <c r="T13602" s="29">
        <v>0.5</v>
      </c>
    </row>
    <row r="13603" spans="19:21" x14ac:dyDescent="0.25">
      <c r="S13603" s="78">
        <v>40990</v>
      </c>
      <c r="T13603" s="29">
        <v>0.5</v>
      </c>
    </row>
    <row r="13604" spans="19:21" x14ac:dyDescent="0.25">
      <c r="S13604" s="78">
        <v>40991</v>
      </c>
      <c r="T13604" s="29">
        <v>0.5</v>
      </c>
    </row>
    <row r="13605" spans="19:21" x14ac:dyDescent="0.25">
      <c r="S13605" s="78">
        <v>40992</v>
      </c>
      <c r="T13605" s="29">
        <v>0.5</v>
      </c>
    </row>
    <row r="13606" spans="19:21" x14ac:dyDescent="0.25">
      <c r="S13606" s="78">
        <v>40993</v>
      </c>
      <c r="T13606" s="29">
        <v>0.5</v>
      </c>
    </row>
    <row r="13607" spans="19:21" x14ac:dyDescent="0.25">
      <c r="S13607" s="78">
        <v>40994</v>
      </c>
      <c r="T13607" s="29">
        <v>0.5</v>
      </c>
    </row>
    <row r="13608" spans="19:21" x14ac:dyDescent="0.25">
      <c r="S13608" s="78">
        <v>40995</v>
      </c>
      <c r="T13608" s="29">
        <v>0.5</v>
      </c>
    </row>
    <row r="13609" spans="19:21" x14ac:dyDescent="0.25">
      <c r="S13609" s="78">
        <v>40996</v>
      </c>
      <c r="T13609" s="29">
        <v>0.5</v>
      </c>
    </row>
    <row r="13610" spans="19:21" x14ac:dyDescent="0.25">
      <c r="S13610" s="78">
        <v>40997</v>
      </c>
      <c r="T13610" s="29">
        <v>0.5</v>
      </c>
    </row>
    <row r="13611" spans="19:21" x14ac:dyDescent="0.25">
      <c r="S13611" s="78">
        <v>40998</v>
      </c>
      <c r="T13611" s="29">
        <v>0.5</v>
      </c>
    </row>
    <row r="13612" spans="19:21" x14ac:dyDescent="0.25">
      <c r="S13612" s="78">
        <v>40999</v>
      </c>
      <c r="T13612" s="29">
        <v>0.5</v>
      </c>
      <c r="U13612" s="39">
        <f>AVERAGE(T13522:T13612)</f>
        <v>0.5</v>
      </c>
    </row>
    <row r="13613" spans="19:21" x14ac:dyDescent="0.25">
      <c r="S13613" s="78">
        <v>41000</v>
      </c>
      <c r="T13613" s="29">
        <v>0.5</v>
      </c>
    </row>
    <row r="13614" spans="19:21" x14ac:dyDescent="0.25">
      <c r="S13614" s="78">
        <v>41001</v>
      </c>
      <c r="T13614" s="29">
        <v>0.5</v>
      </c>
    </row>
    <row r="13615" spans="19:21" x14ac:dyDescent="0.25">
      <c r="S13615" s="78">
        <v>41002</v>
      </c>
      <c r="T13615" s="29">
        <v>0.5</v>
      </c>
    </row>
    <row r="13616" spans="19:21" x14ac:dyDescent="0.25">
      <c r="S13616" s="78">
        <v>41003</v>
      </c>
      <c r="T13616" s="29">
        <v>0.5</v>
      </c>
    </row>
    <row r="13617" spans="19:20" x14ac:dyDescent="0.25">
      <c r="S13617" s="78">
        <v>41004</v>
      </c>
      <c r="T13617" s="29">
        <v>0.5</v>
      </c>
    </row>
    <row r="13618" spans="19:20" x14ac:dyDescent="0.25">
      <c r="S13618" s="78">
        <v>41005</v>
      </c>
      <c r="T13618" s="29">
        <v>0.5</v>
      </c>
    </row>
    <row r="13619" spans="19:20" x14ac:dyDescent="0.25">
      <c r="S13619" s="78">
        <v>41006</v>
      </c>
      <c r="T13619" s="29">
        <v>0.5</v>
      </c>
    </row>
    <row r="13620" spans="19:20" x14ac:dyDescent="0.25">
      <c r="S13620" s="78">
        <v>41007</v>
      </c>
      <c r="T13620" s="29">
        <v>0.5</v>
      </c>
    </row>
    <row r="13621" spans="19:20" x14ac:dyDescent="0.25">
      <c r="S13621" s="78">
        <v>41008</v>
      </c>
      <c r="T13621" s="29">
        <v>0.5</v>
      </c>
    </row>
    <row r="13622" spans="19:20" x14ac:dyDescent="0.25">
      <c r="S13622" s="78">
        <v>41009</v>
      </c>
      <c r="T13622" s="29">
        <v>0.5</v>
      </c>
    </row>
    <row r="13623" spans="19:20" x14ac:dyDescent="0.25">
      <c r="S13623" s="78">
        <v>41010</v>
      </c>
      <c r="T13623" s="29">
        <v>0.5</v>
      </c>
    </row>
    <row r="13624" spans="19:20" x14ac:dyDescent="0.25">
      <c r="S13624" s="78">
        <v>41011</v>
      </c>
      <c r="T13624" s="29">
        <v>0.5</v>
      </c>
    </row>
    <row r="13625" spans="19:20" x14ac:dyDescent="0.25">
      <c r="S13625" s="78">
        <v>41012</v>
      </c>
      <c r="T13625" s="29">
        <v>0.5</v>
      </c>
    </row>
    <row r="13626" spans="19:20" x14ac:dyDescent="0.25">
      <c r="S13626" s="78">
        <v>41013</v>
      </c>
      <c r="T13626" s="29">
        <v>0.5</v>
      </c>
    </row>
    <row r="13627" spans="19:20" x14ac:dyDescent="0.25">
      <c r="S13627" s="78">
        <v>41014</v>
      </c>
      <c r="T13627" s="29">
        <v>0.5</v>
      </c>
    </row>
    <row r="13628" spans="19:20" x14ac:dyDescent="0.25">
      <c r="S13628" s="78">
        <v>41015</v>
      </c>
      <c r="T13628" s="29">
        <v>0.5</v>
      </c>
    </row>
    <row r="13629" spans="19:20" x14ac:dyDescent="0.25">
      <c r="S13629" s="78">
        <v>41016</v>
      </c>
      <c r="T13629" s="29">
        <v>0.5</v>
      </c>
    </row>
    <row r="13630" spans="19:20" x14ac:dyDescent="0.25">
      <c r="S13630" s="78">
        <v>41017</v>
      </c>
      <c r="T13630" s="29">
        <v>0.5</v>
      </c>
    </row>
    <row r="13631" spans="19:20" x14ac:dyDescent="0.25">
      <c r="S13631" s="78">
        <v>41018</v>
      </c>
      <c r="T13631" s="29">
        <v>0.5</v>
      </c>
    </row>
    <row r="13632" spans="19:20" x14ac:dyDescent="0.25">
      <c r="S13632" s="78">
        <v>41019</v>
      </c>
      <c r="T13632" s="29">
        <v>0.5</v>
      </c>
    </row>
    <row r="13633" spans="19:20" x14ac:dyDescent="0.25">
      <c r="S13633" s="78">
        <v>41020</v>
      </c>
      <c r="T13633" s="29">
        <v>0.5</v>
      </c>
    </row>
    <row r="13634" spans="19:20" x14ac:dyDescent="0.25">
      <c r="S13634" s="78">
        <v>41021</v>
      </c>
      <c r="T13634" s="29">
        <v>0.5</v>
      </c>
    </row>
    <row r="13635" spans="19:20" x14ac:dyDescent="0.25">
      <c r="S13635" s="78">
        <v>41022</v>
      </c>
      <c r="T13635" s="29">
        <v>0.5</v>
      </c>
    </row>
    <row r="13636" spans="19:20" x14ac:dyDescent="0.25">
      <c r="S13636" s="78">
        <v>41023</v>
      </c>
      <c r="T13636" s="29">
        <v>0.5</v>
      </c>
    </row>
    <row r="13637" spans="19:20" x14ac:dyDescent="0.25">
      <c r="S13637" s="78">
        <v>41024</v>
      </c>
      <c r="T13637" s="29">
        <v>0.5</v>
      </c>
    </row>
    <row r="13638" spans="19:20" x14ac:dyDescent="0.25">
      <c r="S13638" s="78">
        <v>41025</v>
      </c>
      <c r="T13638" s="29">
        <v>0.5</v>
      </c>
    </row>
    <row r="13639" spans="19:20" x14ac:dyDescent="0.25">
      <c r="S13639" s="78">
        <v>41026</v>
      </c>
      <c r="T13639" s="29">
        <v>0.5</v>
      </c>
    </row>
    <row r="13640" spans="19:20" x14ac:dyDescent="0.25">
      <c r="S13640" s="78">
        <v>41027</v>
      </c>
      <c r="T13640" s="29">
        <v>0.5</v>
      </c>
    </row>
    <row r="13641" spans="19:20" x14ac:dyDescent="0.25">
      <c r="S13641" s="78">
        <v>41028</v>
      </c>
      <c r="T13641" s="29">
        <v>0.5</v>
      </c>
    </row>
    <row r="13642" spans="19:20" x14ac:dyDescent="0.25">
      <c r="S13642" s="78">
        <v>41029</v>
      </c>
      <c r="T13642" s="29">
        <v>0.5</v>
      </c>
    </row>
    <row r="13643" spans="19:20" x14ac:dyDescent="0.25">
      <c r="S13643" s="78">
        <v>41030</v>
      </c>
      <c r="T13643" s="29">
        <v>0.5</v>
      </c>
    </row>
    <row r="13644" spans="19:20" x14ac:dyDescent="0.25">
      <c r="S13644" s="78">
        <v>41031</v>
      </c>
      <c r="T13644" s="29">
        <v>0.5</v>
      </c>
    </row>
    <row r="13645" spans="19:20" x14ac:dyDescent="0.25">
      <c r="S13645" s="78">
        <v>41032</v>
      </c>
      <c r="T13645" s="29">
        <v>0.5</v>
      </c>
    </row>
    <row r="13646" spans="19:20" x14ac:dyDescent="0.25">
      <c r="S13646" s="78">
        <v>41033</v>
      </c>
      <c r="T13646" s="29">
        <v>0.5</v>
      </c>
    </row>
    <row r="13647" spans="19:20" x14ac:dyDescent="0.25">
      <c r="S13647" s="78">
        <v>41034</v>
      </c>
      <c r="T13647" s="29">
        <v>0.5</v>
      </c>
    </row>
    <row r="13648" spans="19:20" x14ac:dyDescent="0.25">
      <c r="S13648" s="78">
        <v>41035</v>
      </c>
      <c r="T13648" s="29">
        <v>0.5</v>
      </c>
    </row>
    <row r="13649" spans="19:20" x14ac:dyDescent="0.25">
      <c r="S13649" s="78">
        <v>41036</v>
      </c>
      <c r="T13649" s="29">
        <v>0.5</v>
      </c>
    </row>
    <row r="13650" spans="19:20" x14ac:dyDescent="0.25">
      <c r="S13650" s="78">
        <v>41037</v>
      </c>
      <c r="T13650" s="29">
        <v>0.5</v>
      </c>
    </row>
    <row r="13651" spans="19:20" x14ac:dyDescent="0.25">
      <c r="S13651" s="78">
        <v>41038</v>
      </c>
      <c r="T13651" s="29">
        <v>0.5</v>
      </c>
    </row>
    <row r="13652" spans="19:20" x14ac:dyDescent="0.25">
      <c r="S13652" s="78">
        <v>41039</v>
      </c>
      <c r="T13652" s="29">
        <v>0.5</v>
      </c>
    </row>
    <row r="13653" spans="19:20" x14ac:dyDescent="0.25">
      <c r="S13653" s="78">
        <v>41040</v>
      </c>
      <c r="T13653" s="29">
        <v>0.5</v>
      </c>
    </row>
    <row r="13654" spans="19:20" x14ac:dyDescent="0.25">
      <c r="S13654" s="78">
        <v>41041</v>
      </c>
      <c r="T13654" s="29">
        <v>0.5</v>
      </c>
    </row>
    <row r="13655" spans="19:20" x14ac:dyDescent="0.25">
      <c r="S13655" s="78">
        <v>41042</v>
      </c>
      <c r="T13655" s="29">
        <v>0.5</v>
      </c>
    </row>
    <row r="13656" spans="19:20" x14ac:dyDescent="0.25">
      <c r="S13656" s="78">
        <v>41043</v>
      </c>
      <c r="T13656" s="29">
        <v>0.5</v>
      </c>
    </row>
    <row r="13657" spans="19:20" x14ac:dyDescent="0.25">
      <c r="S13657" s="78">
        <v>41044</v>
      </c>
      <c r="T13657" s="29">
        <v>0.5</v>
      </c>
    </row>
    <row r="13658" spans="19:20" x14ac:dyDescent="0.25">
      <c r="S13658" s="78">
        <v>41045</v>
      </c>
      <c r="T13658" s="29">
        <v>0.5</v>
      </c>
    </row>
    <row r="13659" spans="19:20" x14ac:dyDescent="0.25">
      <c r="S13659" s="78">
        <v>41046</v>
      </c>
      <c r="T13659" s="29">
        <v>0.5</v>
      </c>
    </row>
    <row r="13660" spans="19:20" x14ac:dyDescent="0.25">
      <c r="S13660" s="78">
        <v>41047</v>
      </c>
      <c r="T13660" s="29">
        <v>0.5</v>
      </c>
    </row>
    <row r="13661" spans="19:20" x14ac:dyDescent="0.25">
      <c r="S13661" s="78">
        <v>41048</v>
      </c>
      <c r="T13661" s="29">
        <v>0.5</v>
      </c>
    </row>
    <row r="13662" spans="19:20" x14ac:dyDescent="0.25">
      <c r="S13662" s="78">
        <v>41049</v>
      </c>
      <c r="T13662" s="29">
        <v>0.5</v>
      </c>
    </row>
    <row r="13663" spans="19:20" x14ac:dyDescent="0.25">
      <c r="S13663" s="78">
        <v>41050</v>
      </c>
      <c r="T13663" s="29">
        <v>0.5</v>
      </c>
    </row>
    <row r="13664" spans="19:20" x14ac:dyDescent="0.25">
      <c r="S13664" s="78">
        <v>41051</v>
      </c>
      <c r="T13664" s="29">
        <v>0.5</v>
      </c>
    </row>
    <row r="13665" spans="19:20" x14ac:dyDescent="0.25">
      <c r="S13665" s="78">
        <v>41052</v>
      </c>
      <c r="T13665" s="29">
        <v>0.5</v>
      </c>
    </row>
    <row r="13666" spans="19:20" x14ac:dyDescent="0.25">
      <c r="S13666" s="78">
        <v>41053</v>
      </c>
      <c r="T13666" s="29">
        <v>0.5</v>
      </c>
    </row>
    <row r="13667" spans="19:20" x14ac:dyDescent="0.25">
      <c r="S13667" s="78">
        <v>41054</v>
      </c>
      <c r="T13667" s="29">
        <v>0.5</v>
      </c>
    </row>
    <row r="13668" spans="19:20" x14ac:dyDescent="0.25">
      <c r="S13668" s="78">
        <v>41055</v>
      </c>
      <c r="T13668" s="29">
        <v>0.5</v>
      </c>
    </row>
    <row r="13669" spans="19:20" x14ac:dyDescent="0.25">
      <c r="S13669" s="78">
        <v>41056</v>
      </c>
      <c r="T13669" s="29">
        <v>0.5</v>
      </c>
    </row>
    <row r="13670" spans="19:20" x14ac:dyDescent="0.25">
      <c r="S13670" s="78">
        <v>41057</v>
      </c>
      <c r="T13670" s="29">
        <v>0.5</v>
      </c>
    </row>
    <row r="13671" spans="19:20" x14ac:dyDescent="0.25">
      <c r="S13671" s="78">
        <v>41058</v>
      </c>
      <c r="T13671" s="29">
        <v>0.5</v>
      </c>
    </row>
    <row r="13672" spans="19:20" x14ac:dyDescent="0.25">
      <c r="S13672" s="78">
        <v>41059</v>
      </c>
      <c r="T13672" s="29">
        <v>0.5</v>
      </c>
    </row>
    <row r="13673" spans="19:20" x14ac:dyDescent="0.25">
      <c r="S13673" s="78">
        <v>41060</v>
      </c>
      <c r="T13673" s="29">
        <v>0.5</v>
      </c>
    </row>
    <row r="13674" spans="19:20" x14ac:dyDescent="0.25">
      <c r="S13674" s="78">
        <v>41061</v>
      </c>
      <c r="T13674" s="29">
        <v>0.5</v>
      </c>
    </row>
    <row r="13675" spans="19:20" x14ac:dyDescent="0.25">
      <c r="S13675" s="78">
        <v>41062</v>
      </c>
      <c r="T13675" s="29">
        <v>0.5</v>
      </c>
    </row>
    <row r="13676" spans="19:20" x14ac:dyDescent="0.25">
      <c r="S13676" s="78">
        <v>41063</v>
      </c>
      <c r="T13676" s="29">
        <v>0.5</v>
      </c>
    </row>
    <row r="13677" spans="19:20" x14ac:dyDescent="0.25">
      <c r="S13677" s="78">
        <v>41064</v>
      </c>
      <c r="T13677" s="29">
        <v>0.5</v>
      </c>
    </row>
    <row r="13678" spans="19:20" x14ac:dyDescent="0.25">
      <c r="S13678" s="78">
        <v>41065</v>
      </c>
      <c r="T13678" s="29">
        <v>0.5</v>
      </c>
    </row>
    <row r="13679" spans="19:20" x14ac:dyDescent="0.25">
      <c r="S13679" s="78">
        <v>41066</v>
      </c>
      <c r="T13679" s="29">
        <v>0.5</v>
      </c>
    </row>
    <row r="13680" spans="19:20" x14ac:dyDescent="0.25">
      <c r="S13680" s="78">
        <v>41067</v>
      </c>
      <c r="T13680" s="29">
        <v>0.5</v>
      </c>
    </row>
    <row r="13681" spans="19:20" x14ac:dyDescent="0.25">
      <c r="S13681" s="78">
        <v>41068</v>
      </c>
      <c r="T13681" s="29">
        <v>0.5</v>
      </c>
    </row>
    <row r="13682" spans="19:20" x14ac:dyDescent="0.25">
      <c r="S13682" s="78">
        <v>41069</v>
      </c>
      <c r="T13682" s="29">
        <v>0.5</v>
      </c>
    </row>
    <row r="13683" spans="19:20" x14ac:dyDescent="0.25">
      <c r="S13683" s="78">
        <v>41070</v>
      </c>
      <c r="T13683" s="29">
        <v>0.5</v>
      </c>
    </row>
    <row r="13684" spans="19:20" x14ac:dyDescent="0.25">
      <c r="S13684" s="78">
        <v>41071</v>
      </c>
      <c r="T13684" s="29">
        <v>0.5</v>
      </c>
    </row>
    <row r="13685" spans="19:20" x14ac:dyDescent="0.25">
      <c r="S13685" s="78">
        <v>41072</v>
      </c>
      <c r="T13685" s="29">
        <v>0.5</v>
      </c>
    </row>
    <row r="13686" spans="19:20" x14ac:dyDescent="0.25">
      <c r="S13686" s="78">
        <v>41073</v>
      </c>
      <c r="T13686" s="29">
        <v>0.5</v>
      </c>
    </row>
    <row r="13687" spans="19:20" x14ac:dyDescent="0.25">
      <c r="S13687" s="78">
        <v>41074</v>
      </c>
      <c r="T13687" s="29">
        <v>0.5</v>
      </c>
    </row>
    <row r="13688" spans="19:20" x14ac:dyDescent="0.25">
      <c r="S13688" s="78">
        <v>41075</v>
      </c>
      <c r="T13688" s="29">
        <v>0.5</v>
      </c>
    </row>
    <row r="13689" spans="19:20" x14ac:dyDescent="0.25">
      <c r="S13689" s="78">
        <v>41076</v>
      </c>
      <c r="T13689" s="29">
        <v>0.5</v>
      </c>
    </row>
    <row r="13690" spans="19:20" x14ac:dyDescent="0.25">
      <c r="S13690" s="78">
        <v>41077</v>
      </c>
      <c r="T13690" s="29">
        <v>0.5</v>
      </c>
    </row>
    <row r="13691" spans="19:20" x14ac:dyDescent="0.25">
      <c r="S13691" s="78">
        <v>41078</v>
      </c>
      <c r="T13691" s="29">
        <v>0.5</v>
      </c>
    </row>
    <row r="13692" spans="19:20" x14ac:dyDescent="0.25">
      <c r="S13692" s="78">
        <v>41079</v>
      </c>
      <c r="T13692" s="29">
        <v>0.5</v>
      </c>
    </row>
    <row r="13693" spans="19:20" x14ac:dyDescent="0.25">
      <c r="S13693" s="78">
        <v>41080</v>
      </c>
      <c r="T13693" s="29">
        <v>0.5</v>
      </c>
    </row>
    <row r="13694" spans="19:20" x14ac:dyDescent="0.25">
      <c r="S13694" s="78">
        <v>41081</v>
      </c>
      <c r="T13694" s="29">
        <v>0.5</v>
      </c>
    </row>
    <row r="13695" spans="19:20" x14ac:dyDescent="0.25">
      <c r="S13695" s="78">
        <v>41082</v>
      </c>
      <c r="T13695" s="29">
        <v>0.5</v>
      </c>
    </row>
    <row r="13696" spans="19:20" x14ac:dyDescent="0.25">
      <c r="S13696" s="78">
        <v>41083</v>
      </c>
      <c r="T13696" s="29">
        <v>0.5</v>
      </c>
    </row>
    <row r="13697" spans="19:21" x14ac:dyDescent="0.25">
      <c r="S13697" s="78">
        <v>41084</v>
      </c>
      <c r="T13697" s="29">
        <v>0.5</v>
      </c>
    </row>
    <row r="13698" spans="19:21" x14ac:dyDescent="0.25">
      <c r="S13698" s="78">
        <v>41085</v>
      </c>
      <c r="T13698" s="29">
        <v>0.5</v>
      </c>
    </row>
    <row r="13699" spans="19:21" x14ac:dyDescent="0.25">
      <c r="S13699" s="78">
        <v>41086</v>
      </c>
      <c r="T13699" s="29">
        <v>0.5</v>
      </c>
    </row>
    <row r="13700" spans="19:21" x14ac:dyDescent="0.25">
      <c r="S13700" s="78">
        <v>41087</v>
      </c>
      <c r="T13700" s="29">
        <v>0.5</v>
      </c>
    </row>
    <row r="13701" spans="19:21" x14ac:dyDescent="0.25">
      <c r="S13701" s="78">
        <v>41088</v>
      </c>
      <c r="T13701" s="29">
        <v>0.5</v>
      </c>
    </row>
    <row r="13702" spans="19:21" x14ac:dyDescent="0.25">
      <c r="S13702" s="78">
        <v>41089</v>
      </c>
      <c r="T13702" s="29">
        <v>0.5</v>
      </c>
      <c r="U13702" s="40"/>
    </row>
    <row r="13703" spans="19:21" x14ac:dyDescent="0.25">
      <c r="S13703" s="78">
        <v>41090</v>
      </c>
      <c r="T13703" s="29">
        <v>0.5</v>
      </c>
      <c r="U13703" s="40">
        <f>AVERAGE(T13613:T13703)</f>
        <v>0.5</v>
      </c>
    </row>
    <row r="13704" spans="19:21" x14ac:dyDescent="0.25">
      <c r="S13704" s="78">
        <v>41091</v>
      </c>
      <c r="T13704" s="29">
        <v>0.5</v>
      </c>
    </row>
    <row r="13705" spans="19:21" x14ac:dyDescent="0.25">
      <c r="S13705" s="78">
        <v>41092</v>
      </c>
      <c r="T13705" s="29">
        <v>0.5</v>
      </c>
    </row>
    <row r="13706" spans="19:21" x14ac:dyDescent="0.25">
      <c r="S13706" s="78">
        <v>41093</v>
      </c>
      <c r="T13706" s="29">
        <v>0.5</v>
      </c>
    </row>
    <row r="13707" spans="19:21" x14ac:dyDescent="0.25">
      <c r="S13707" s="78">
        <v>41094</v>
      </c>
      <c r="T13707" s="29">
        <v>0.5</v>
      </c>
    </row>
    <row r="13708" spans="19:21" x14ac:dyDescent="0.25">
      <c r="S13708" s="78">
        <v>41095</v>
      </c>
      <c r="T13708" s="29">
        <v>0.5</v>
      </c>
    </row>
    <row r="13709" spans="19:21" x14ac:dyDescent="0.25">
      <c r="S13709" s="78">
        <v>41096</v>
      </c>
      <c r="T13709" s="29">
        <v>0.5</v>
      </c>
    </row>
    <row r="13710" spans="19:21" x14ac:dyDescent="0.25">
      <c r="S13710" s="78">
        <v>41097</v>
      </c>
      <c r="T13710" s="29">
        <v>0.5</v>
      </c>
    </row>
    <row r="13711" spans="19:21" x14ac:dyDescent="0.25">
      <c r="S13711" s="78">
        <v>41098</v>
      </c>
      <c r="T13711" s="29">
        <v>0.5</v>
      </c>
    </row>
    <row r="13712" spans="19:21" x14ac:dyDescent="0.25">
      <c r="S13712" s="78">
        <v>41099</v>
      </c>
      <c r="T13712" s="29">
        <v>0.5</v>
      </c>
    </row>
    <row r="13713" spans="19:20" x14ac:dyDescent="0.25">
      <c r="S13713" s="78">
        <v>41100</v>
      </c>
      <c r="T13713" s="29">
        <v>0.5</v>
      </c>
    </row>
    <row r="13714" spans="19:20" x14ac:dyDescent="0.25">
      <c r="S13714" s="78">
        <v>41101</v>
      </c>
      <c r="T13714" s="29">
        <v>0.5</v>
      </c>
    </row>
    <row r="13715" spans="19:20" x14ac:dyDescent="0.25">
      <c r="S13715" s="78">
        <v>41102</v>
      </c>
      <c r="T13715" s="29">
        <v>0.5</v>
      </c>
    </row>
    <row r="13716" spans="19:20" x14ac:dyDescent="0.25">
      <c r="S13716" s="78">
        <v>41103</v>
      </c>
      <c r="T13716" s="29">
        <v>0.5</v>
      </c>
    </row>
    <row r="13717" spans="19:20" x14ac:dyDescent="0.25">
      <c r="S13717" s="78">
        <v>41104</v>
      </c>
      <c r="T13717" s="29">
        <v>0.5</v>
      </c>
    </row>
    <row r="13718" spans="19:20" x14ac:dyDescent="0.25">
      <c r="S13718" s="78">
        <v>41105</v>
      </c>
      <c r="T13718" s="29">
        <v>0.5</v>
      </c>
    </row>
    <row r="13719" spans="19:20" x14ac:dyDescent="0.25">
      <c r="S13719" s="78">
        <v>41106</v>
      </c>
      <c r="T13719" s="29">
        <v>0.5</v>
      </c>
    </row>
    <row r="13720" spans="19:20" x14ac:dyDescent="0.25">
      <c r="S13720" s="78">
        <v>41107</v>
      </c>
      <c r="T13720" s="29">
        <v>0.5</v>
      </c>
    </row>
    <row r="13721" spans="19:20" x14ac:dyDescent="0.25">
      <c r="S13721" s="78">
        <v>41108</v>
      </c>
      <c r="T13721" s="29">
        <v>0.5</v>
      </c>
    </row>
    <row r="13722" spans="19:20" x14ac:dyDescent="0.25">
      <c r="S13722" s="78">
        <v>41109</v>
      </c>
      <c r="T13722" s="29">
        <v>0.5</v>
      </c>
    </row>
    <row r="13723" spans="19:20" x14ac:dyDescent="0.25">
      <c r="S13723" s="78">
        <v>41110</v>
      </c>
      <c r="T13723" s="29">
        <v>0.5</v>
      </c>
    </row>
    <row r="13724" spans="19:20" x14ac:dyDescent="0.25">
      <c r="S13724" s="78">
        <v>41111</v>
      </c>
      <c r="T13724" s="29">
        <v>0.5</v>
      </c>
    </row>
    <row r="13725" spans="19:20" x14ac:dyDescent="0.25">
      <c r="S13725" s="78">
        <v>41112</v>
      </c>
      <c r="T13725" s="29">
        <v>0.5</v>
      </c>
    </row>
    <row r="13726" spans="19:20" x14ac:dyDescent="0.25">
      <c r="S13726" s="78">
        <v>41113</v>
      </c>
      <c r="T13726" s="29">
        <v>0.5</v>
      </c>
    </row>
    <row r="13727" spans="19:20" x14ac:dyDescent="0.25">
      <c r="S13727" s="78">
        <v>41114</v>
      </c>
      <c r="T13727" s="29">
        <v>0.5</v>
      </c>
    </row>
    <row r="13728" spans="19:20" x14ac:dyDescent="0.25">
      <c r="S13728" s="78">
        <v>41115</v>
      </c>
      <c r="T13728" s="29">
        <v>0.5</v>
      </c>
    </row>
    <row r="13729" spans="19:20" x14ac:dyDescent="0.25">
      <c r="S13729" s="78">
        <v>41116</v>
      </c>
      <c r="T13729" s="29">
        <v>0.5</v>
      </c>
    </row>
    <row r="13730" spans="19:20" x14ac:dyDescent="0.25">
      <c r="S13730" s="78">
        <v>41117</v>
      </c>
      <c r="T13730" s="29">
        <v>0.5</v>
      </c>
    </row>
    <row r="13731" spans="19:20" x14ac:dyDescent="0.25">
      <c r="S13731" s="78">
        <v>41118</v>
      </c>
      <c r="T13731" s="29">
        <v>0.5</v>
      </c>
    </row>
    <row r="13732" spans="19:20" x14ac:dyDescent="0.25">
      <c r="S13732" s="78">
        <v>41119</v>
      </c>
      <c r="T13732" s="29">
        <v>0.5</v>
      </c>
    </row>
    <row r="13733" spans="19:20" x14ac:dyDescent="0.25">
      <c r="S13733" s="78">
        <v>41120</v>
      </c>
      <c r="T13733" s="29">
        <v>0.5</v>
      </c>
    </row>
    <row r="13734" spans="19:20" x14ac:dyDescent="0.25">
      <c r="S13734" s="78">
        <v>41121</v>
      </c>
      <c r="T13734" s="29">
        <v>0.5</v>
      </c>
    </row>
    <row r="13735" spans="19:20" x14ac:dyDescent="0.25">
      <c r="S13735" s="78">
        <v>41122</v>
      </c>
      <c r="T13735" s="29">
        <v>0.5</v>
      </c>
    </row>
    <row r="13736" spans="19:20" x14ac:dyDescent="0.25">
      <c r="S13736" s="78">
        <v>41123</v>
      </c>
      <c r="T13736" s="29">
        <v>0.5</v>
      </c>
    </row>
    <row r="13737" spans="19:20" x14ac:dyDescent="0.25">
      <c r="S13737" s="78">
        <v>41124</v>
      </c>
      <c r="T13737" s="29">
        <v>0.5</v>
      </c>
    </row>
    <row r="13738" spans="19:20" x14ac:dyDescent="0.25">
      <c r="S13738" s="78">
        <v>41125</v>
      </c>
      <c r="T13738" s="29">
        <v>0.5</v>
      </c>
    </row>
    <row r="13739" spans="19:20" x14ac:dyDescent="0.25">
      <c r="S13739" s="78">
        <v>41126</v>
      </c>
      <c r="T13739" s="29">
        <v>0.5</v>
      </c>
    </row>
    <row r="13740" spans="19:20" x14ac:dyDescent="0.25">
      <c r="S13740" s="78">
        <v>41127</v>
      </c>
      <c r="T13740" s="29">
        <v>0.5</v>
      </c>
    </row>
    <row r="13741" spans="19:20" x14ac:dyDescent="0.25">
      <c r="S13741" s="78">
        <v>41128</v>
      </c>
      <c r="T13741" s="29">
        <v>0.5</v>
      </c>
    </row>
    <row r="13742" spans="19:20" x14ac:dyDescent="0.25">
      <c r="S13742" s="78">
        <v>41129</v>
      </c>
      <c r="T13742" s="29">
        <v>0.5</v>
      </c>
    </row>
    <row r="13743" spans="19:20" x14ac:dyDescent="0.25">
      <c r="S13743" s="78">
        <v>41130</v>
      </c>
      <c r="T13743" s="29">
        <v>0.5</v>
      </c>
    </row>
    <row r="13744" spans="19:20" x14ac:dyDescent="0.25">
      <c r="S13744" s="78">
        <v>41131</v>
      </c>
      <c r="T13744" s="29">
        <v>0.5</v>
      </c>
    </row>
    <row r="13745" spans="19:20" x14ac:dyDescent="0.25">
      <c r="S13745" s="78">
        <v>41132</v>
      </c>
      <c r="T13745" s="29">
        <v>0.5</v>
      </c>
    </row>
    <row r="13746" spans="19:20" x14ac:dyDescent="0.25">
      <c r="S13746" s="78">
        <v>41133</v>
      </c>
      <c r="T13746" s="29">
        <v>0.5</v>
      </c>
    </row>
    <row r="13747" spans="19:20" x14ac:dyDescent="0.25">
      <c r="S13747" s="78">
        <v>41134</v>
      </c>
      <c r="T13747" s="29">
        <v>0.5</v>
      </c>
    </row>
    <row r="13748" spans="19:20" x14ac:dyDescent="0.25">
      <c r="S13748" s="78">
        <v>41135</v>
      </c>
      <c r="T13748" s="29">
        <v>0.5</v>
      </c>
    </row>
    <row r="13749" spans="19:20" x14ac:dyDescent="0.25">
      <c r="S13749" s="78">
        <v>41136</v>
      </c>
      <c r="T13749" s="29">
        <v>0.5</v>
      </c>
    </row>
    <row r="13750" spans="19:20" x14ac:dyDescent="0.25">
      <c r="S13750" s="78">
        <v>41137</v>
      </c>
      <c r="T13750" s="29">
        <v>0.5</v>
      </c>
    </row>
    <row r="13751" spans="19:20" x14ac:dyDescent="0.25">
      <c r="S13751" s="78">
        <v>41138</v>
      </c>
      <c r="T13751" s="29">
        <v>0.5</v>
      </c>
    </row>
    <row r="13752" spans="19:20" x14ac:dyDescent="0.25">
      <c r="S13752" s="78">
        <v>41139</v>
      </c>
      <c r="T13752" s="29">
        <v>0.5</v>
      </c>
    </row>
    <row r="13753" spans="19:20" x14ac:dyDescent="0.25">
      <c r="S13753" s="78">
        <v>41140</v>
      </c>
      <c r="T13753" s="29">
        <v>0.5</v>
      </c>
    </row>
    <row r="13754" spans="19:20" x14ac:dyDescent="0.25">
      <c r="S13754" s="78">
        <v>41141</v>
      </c>
      <c r="T13754" s="29">
        <v>0.5</v>
      </c>
    </row>
    <row r="13755" spans="19:20" x14ac:dyDescent="0.25">
      <c r="S13755" s="78">
        <v>41142</v>
      </c>
      <c r="T13755" s="29">
        <v>0.5</v>
      </c>
    </row>
    <row r="13756" spans="19:20" x14ac:dyDescent="0.25">
      <c r="S13756" s="78">
        <v>41143</v>
      </c>
      <c r="T13756" s="29">
        <v>0.5</v>
      </c>
    </row>
    <row r="13757" spans="19:20" x14ac:dyDescent="0.25">
      <c r="S13757" s="78">
        <v>41144</v>
      </c>
      <c r="T13757" s="29">
        <v>0.5</v>
      </c>
    </row>
    <row r="13758" spans="19:20" x14ac:dyDescent="0.25">
      <c r="S13758" s="78">
        <v>41145</v>
      </c>
      <c r="T13758" s="29">
        <v>0.5</v>
      </c>
    </row>
    <row r="13759" spans="19:20" x14ac:dyDescent="0.25">
      <c r="S13759" s="78">
        <v>41146</v>
      </c>
      <c r="T13759" s="29">
        <v>0.5</v>
      </c>
    </row>
    <row r="13760" spans="19:20" x14ac:dyDescent="0.25">
      <c r="S13760" s="78">
        <v>41147</v>
      </c>
      <c r="T13760" s="29">
        <v>0.5</v>
      </c>
    </row>
    <row r="13761" spans="19:20" x14ac:dyDescent="0.25">
      <c r="S13761" s="78">
        <v>41148</v>
      </c>
      <c r="T13761" s="29">
        <v>0.5</v>
      </c>
    </row>
    <row r="13762" spans="19:20" x14ac:dyDescent="0.25">
      <c r="S13762" s="78">
        <v>41149</v>
      </c>
      <c r="T13762" s="29">
        <v>0.5</v>
      </c>
    </row>
    <row r="13763" spans="19:20" x14ac:dyDescent="0.25">
      <c r="S13763" s="78">
        <v>41150</v>
      </c>
      <c r="T13763" s="29">
        <v>0.5</v>
      </c>
    </row>
    <row r="13764" spans="19:20" x14ac:dyDescent="0.25">
      <c r="S13764" s="78">
        <v>41151</v>
      </c>
      <c r="T13764" s="29">
        <v>0.5</v>
      </c>
    </row>
    <row r="13765" spans="19:20" x14ac:dyDescent="0.25">
      <c r="S13765" s="78">
        <v>41152</v>
      </c>
      <c r="T13765" s="29">
        <v>0.5</v>
      </c>
    </row>
    <row r="13766" spans="19:20" x14ac:dyDescent="0.25">
      <c r="S13766" s="78">
        <v>41153</v>
      </c>
      <c r="T13766" s="29">
        <v>0.5</v>
      </c>
    </row>
    <row r="13767" spans="19:20" x14ac:dyDescent="0.25">
      <c r="S13767" s="78">
        <v>41154</v>
      </c>
      <c r="T13767" s="29">
        <v>0.5</v>
      </c>
    </row>
    <row r="13768" spans="19:20" x14ac:dyDescent="0.25">
      <c r="S13768" s="78">
        <v>41155</v>
      </c>
      <c r="T13768" s="29">
        <v>0.5</v>
      </c>
    </row>
    <row r="13769" spans="19:20" x14ac:dyDescent="0.25">
      <c r="S13769" s="78">
        <v>41156</v>
      </c>
      <c r="T13769" s="29">
        <v>0.5</v>
      </c>
    </row>
    <row r="13770" spans="19:20" x14ac:dyDescent="0.25">
      <c r="S13770" s="78">
        <v>41157</v>
      </c>
      <c r="T13770" s="29">
        <v>0.5</v>
      </c>
    </row>
    <row r="13771" spans="19:20" x14ac:dyDescent="0.25">
      <c r="S13771" s="78">
        <v>41158</v>
      </c>
      <c r="T13771" s="29">
        <v>0.5</v>
      </c>
    </row>
    <row r="13772" spans="19:20" x14ac:dyDescent="0.25">
      <c r="S13772" s="78">
        <v>41159</v>
      </c>
      <c r="T13772" s="29">
        <v>0.5</v>
      </c>
    </row>
    <row r="13773" spans="19:20" x14ac:dyDescent="0.25">
      <c r="S13773" s="78">
        <v>41160</v>
      </c>
      <c r="T13773" s="29">
        <v>0.5</v>
      </c>
    </row>
    <row r="13774" spans="19:20" x14ac:dyDescent="0.25">
      <c r="S13774" s="78">
        <v>41161</v>
      </c>
      <c r="T13774" s="29">
        <v>0.5</v>
      </c>
    </row>
    <row r="13775" spans="19:20" x14ac:dyDescent="0.25">
      <c r="S13775" s="78">
        <v>41162</v>
      </c>
      <c r="T13775" s="29">
        <v>0.5</v>
      </c>
    </row>
    <row r="13776" spans="19:20" x14ac:dyDescent="0.25">
      <c r="S13776" s="78">
        <v>41163</v>
      </c>
      <c r="T13776" s="29">
        <v>0.5</v>
      </c>
    </row>
    <row r="13777" spans="19:20" x14ac:dyDescent="0.25">
      <c r="S13777" s="78">
        <v>41164</v>
      </c>
      <c r="T13777" s="29">
        <v>0.5</v>
      </c>
    </row>
    <row r="13778" spans="19:20" x14ac:dyDescent="0.25">
      <c r="S13778" s="78">
        <v>41165</v>
      </c>
      <c r="T13778" s="29">
        <v>0.5</v>
      </c>
    </row>
    <row r="13779" spans="19:20" x14ac:dyDescent="0.25">
      <c r="S13779" s="78">
        <v>41166</v>
      </c>
      <c r="T13779" s="29">
        <v>0.5</v>
      </c>
    </row>
    <row r="13780" spans="19:20" x14ac:dyDescent="0.25">
      <c r="S13780" s="78">
        <v>41167</v>
      </c>
      <c r="T13780" s="29">
        <v>0.5</v>
      </c>
    </row>
    <row r="13781" spans="19:20" x14ac:dyDescent="0.25">
      <c r="S13781" s="78">
        <v>41168</v>
      </c>
      <c r="T13781" s="29">
        <v>0.5</v>
      </c>
    </row>
    <row r="13782" spans="19:20" x14ac:dyDescent="0.25">
      <c r="S13782" s="78">
        <v>41169</v>
      </c>
      <c r="T13782" s="29">
        <v>0.5</v>
      </c>
    </row>
    <row r="13783" spans="19:20" x14ac:dyDescent="0.25">
      <c r="S13783" s="78">
        <v>41170</v>
      </c>
      <c r="T13783" s="29">
        <v>0.5</v>
      </c>
    </row>
    <row r="13784" spans="19:20" x14ac:dyDescent="0.25">
      <c r="S13784" s="78">
        <v>41171</v>
      </c>
      <c r="T13784" s="29">
        <v>0.5</v>
      </c>
    </row>
    <row r="13785" spans="19:20" x14ac:dyDescent="0.25">
      <c r="S13785" s="78">
        <v>41172</v>
      </c>
      <c r="T13785" s="29">
        <v>0.5</v>
      </c>
    </row>
    <row r="13786" spans="19:20" x14ac:dyDescent="0.25">
      <c r="S13786" s="78">
        <v>41173</v>
      </c>
      <c r="T13786" s="29">
        <v>0.5</v>
      </c>
    </row>
    <row r="13787" spans="19:20" x14ac:dyDescent="0.25">
      <c r="S13787" s="78">
        <v>41174</v>
      </c>
      <c r="T13787" s="29">
        <v>0.5</v>
      </c>
    </row>
    <row r="13788" spans="19:20" x14ac:dyDescent="0.25">
      <c r="S13788" s="78">
        <v>41175</v>
      </c>
      <c r="T13788" s="29">
        <v>0.5</v>
      </c>
    </row>
    <row r="13789" spans="19:20" x14ac:dyDescent="0.25">
      <c r="S13789" s="78">
        <v>41176</v>
      </c>
      <c r="T13789" s="29">
        <v>0.5</v>
      </c>
    </row>
    <row r="13790" spans="19:20" x14ac:dyDescent="0.25">
      <c r="S13790" s="78">
        <v>41177</v>
      </c>
      <c r="T13790" s="29">
        <v>0.5</v>
      </c>
    </row>
    <row r="13791" spans="19:20" x14ac:dyDescent="0.25">
      <c r="S13791" s="78">
        <v>41178</v>
      </c>
      <c r="T13791" s="29">
        <v>0.5</v>
      </c>
    </row>
    <row r="13792" spans="19:20" x14ac:dyDescent="0.25">
      <c r="S13792" s="78">
        <v>41179</v>
      </c>
      <c r="T13792" s="29">
        <v>0.5</v>
      </c>
    </row>
    <row r="13793" spans="19:21" x14ac:dyDescent="0.25">
      <c r="S13793" s="78">
        <v>41180</v>
      </c>
      <c r="T13793" s="29">
        <v>0.5</v>
      </c>
    </row>
    <row r="13794" spans="19:21" x14ac:dyDescent="0.25">
      <c r="S13794" s="78">
        <v>41181</v>
      </c>
      <c r="T13794" s="29">
        <v>0.5</v>
      </c>
      <c r="U13794" s="40"/>
    </row>
    <row r="13795" spans="19:21" x14ac:dyDescent="0.25">
      <c r="S13795" s="78">
        <v>41182</v>
      </c>
      <c r="T13795" s="29">
        <v>0.5</v>
      </c>
      <c r="U13795" s="40">
        <f>AVERAGE(T13704:T13795)</f>
        <v>0.5</v>
      </c>
    </row>
    <row r="13796" spans="19:21" x14ac:dyDescent="0.25">
      <c r="S13796" s="78">
        <v>41183</v>
      </c>
      <c r="T13796" s="29">
        <v>0.5</v>
      </c>
    </row>
    <row r="13797" spans="19:21" x14ac:dyDescent="0.25">
      <c r="S13797" s="78">
        <v>41184</v>
      </c>
      <c r="T13797" s="29">
        <v>0.5</v>
      </c>
    </row>
    <row r="13798" spans="19:21" x14ac:dyDescent="0.25">
      <c r="S13798" s="78">
        <v>41185</v>
      </c>
      <c r="T13798" s="29">
        <v>0.5</v>
      </c>
    </row>
    <row r="13799" spans="19:21" x14ac:dyDescent="0.25">
      <c r="S13799" s="78">
        <v>41186</v>
      </c>
      <c r="T13799" s="29">
        <v>0.5</v>
      </c>
    </row>
    <row r="13800" spans="19:21" x14ac:dyDescent="0.25">
      <c r="S13800" s="78">
        <v>41187</v>
      </c>
      <c r="T13800" s="29">
        <v>0.5</v>
      </c>
    </row>
    <row r="13801" spans="19:21" x14ac:dyDescent="0.25">
      <c r="S13801" s="78">
        <v>41188</v>
      </c>
      <c r="T13801" s="29">
        <v>0.5</v>
      </c>
    </row>
    <row r="13802" spans="19:21" x14ac:dyDescent="0.25">
      <c r="S13802" s="78">
        <v>41189</v>
      </c>
      <c r="T13802" s="29">
        <v>0.5</v>
      </c>
    </row>
    <row r="13803" spans="19:21" x14ac:dyDescent="0.25">
      <c r="S13803" s="78">
        <v>41190</v>
      </c>
      <c r="T13803" s="29">
        <v>0.5</v>
      </c>
    </row>
    <row r="13804" spans="19:21" x14ac:dyDescent="0.25">
      <c r="S13804" s="78">
        <v>41191</v>
      </c>
      <c r="T13804" s="29">
        <v>0.5</v>
      </c>
    </row>
    <row r="13805" spans="19:21" x14ac:dyDescent="0.25">
      <c r="S13805" s="78">
        <v>41192</v>
      </c>
      <c r="T13805" s="29">
        <v>0.5</v>
      </c>
    </row>
    <row r="13806" spans="19:21" x14ac:dyDescent="0.25">
      <c r="S13806" s="78">
        <v>41193</v>
      </c>
      <c r="T13806" s="29">
        <v>0.5</v>
      </c>
    </row>
    <row r="13807" spans="19:21" x14ac:dyDescent="0.25">
      <c r="S13807" s="78">
        <v>41194</v>
      </c>
      <c r="T13807" s="29">
        <v>0.5</v>
      </c>
    </row>
    <row r="13808" spans="19:21" x14ac:dyDescent="0.25">
      <c r="S13808" s="78">
        <v>41195</v>
      </c>
      <c r="T13808" s="29">
        <v>0.5</v>
      </c>
    </row>
    <row r="13809" spans="19:20" x14ac:dyDescent="0.25">
      <c r="S13809" s="78">
        <v>41196</v>
      </c>
      <c r="T13809" s="29">
        <v>0.5</v>
      </c>
    </row>
    <row r="13810" spans="19:20" x14ac:dyDescent="0.25">
      <c r="S13810" s="78">
        <v>41197</v>
      </c>
      <c r="T13810" s="29">
        <v>0.5</v>
      </c>
    </row>
    <row r="13811" spans="19:20" x14ac:dyDescent="0.25">
      <c r="S13811" s="78">
        <v>41198</v>
      </c>
      <c r="T13811" s="29">
        <v>0.5</v>
      </c>
    </row>
    <row r="13812" spans="19:20" x14ac:dyDescent="0.25">
      <c r="S13812" s="78">
        <v>41199</v>
      </c>
      <c r="T13812" s="29">
        <v>0.5</v>
      </c>
    </row>
    <row r="13813" spans="19:20" x14ac:dyDescent="0.25">
      <c r="S13813" s="78">
        <v>41200</v>
      </c>
      <c r="T13813" s="29">
        <v>0.5</v>
      </c>
    </row>
    <row r="13814" spans="19:20" x14ac:dyDescent="0.25">
      <c r="S13814" s="78">
        <v>41201</v>
      </c>
      <c r="T13814" s="29">
        <v>0.5</v>
      </c>
    </row>
    <row r="13815" spans="19:20" x14ac:dyDescent="0.25">
      <c r="S13815" s="78">
        <v>41202</v>
      </c>
      <c r="T13815" s="29">
        <v>0.5</v>
      </c>
    </row>
    <row r="13816" spans="19:20" x14ac:dyDescent="0.25">
      <c r="S13816" s="78">
        <v>41203</v>
      </c>
      <c r="T13816" s="29">
        <v>0.5</v>
      </c>
    </row>
    <row r="13817" spans="19:20" x14ac:dyDescent="0.25">
      <c r="S13817" s="78">
        <v>41204</v>
      </c>
      <c r="T13817" s="29">
        <v>0.5</v>
      </c>
    </row>
    <row r="13818" spans="19:20" x14ac:dyDescent="0.25">
      <c r="S13818" s="78">
        <v>41205</v>
      </c>
      <c r="T13818" s="29">
        <v>0.5</v>
      </c>
    </row>
    <row r="13819" spans="19:20" x14ac:dyDescent="0.25">
      <c r="S13819" s="78">
        <v>41206</v>
      </c>
      <c r="T13819" s="29">
        <v>0.5</v>
      </c>
    </row>
    <row r="13820" spans="19:20" x14ac:dyDescent="0.25">
      <c r="S13820" s="78">
        <v>41207</v>
      </c>
      <c r="T13820" s="29">
        <v>0.5</v>
      </c>
    </row>
    <row r="13821" spans="19:20" x14ac:dyDescent="0.25">
      <c r="S13821" s="78">
        <v>41208</v>
      </c>
      <c r="T13821" s="29">
        <v>0.5</v>
      </c>
    </row>
    <row r="13822" spans="19:20" x14ac:dyDescent="0.25">
      <c r="S13822" s="78">
        <v>41209</v>
      </c>
      <c r="T13822" s="29">
        <v>0.5</v>
      </c>
    </row>
    <row r="13823" spans="19:20" x14ac:dyDescent="0.25">
      <c r="S13823" s="78">
        <v>41210</v>
      </c>
      <c r="T13823" s="29">
        <v>0.5</v>
      </c>
    </row>
    <row r="13824" spans="19:20" x14ac:dyDescent="0.25">
      <c r="S13824" s="78">
        <v>41211</v>
      </c>
      <c r="T13824" s="29">
        <v>0.5</v>
      </c>
    </row>
    <row r="13825" spans="19:20" x14ac:dyDescent="0.25">
      <c r="S13825" s="78">
        <v>41212</v>
      </c>
      <c r="T13825" s="29">
        <v>0.5</v>
      </c>
    </row>
    <row r="13826" spans="19:20" x14ac:dyDescent="0.25">
      <c r="S13826" s="78">
        <v>41213</v>
      </c>
      <c r="T13826" s="29">
        <v>0.5</v>
      </c>
    </row>
    <row r="13827" spans="19:20" x14ac:dyDescent="0.25">
      <c r="S13827" s="78">
        <v>41214</v>
      </c>
      <c r="T13827" s="29">
        <v>0.5</v>
      </c>
    </row>
    <row r="13828" spans="19:20" x14ac:dyDescent="0.25">
      <c r="S13828" s="78">
        <v>41215</v>
      </c>
      <c r="T13828" s="29">
        <v>0.5</v>
      </c>
    </row>
    <row r="13829" spans="19:20" x14ac:dyDescent="0.25">
      <c r="S13829" s="78">
        <v>41216</v>
      </c>
      <c r="T13829" s="29">
        <v>0.5</v>
      </c>
    </row>
    <row r="13830" spans="19:20" x14ac:dyDescent="0.25">
      <c r="S13830" s="78">
        <v>41217</v>
      </c>
      <c r="T13830" s="29">
        <v>0.5</v>
      </c>
    </row>
    <row r="13831" spans="19:20" x14ac:dyDescent="0.25">
      <c r="S13831" s="78">
        <v>41218</v>
      </c>
      <c r="T13831" s="29">
        <v>0.5</v>
      </c>
    </row>
    <row r="13832" spans="19:20" x14ac:dyDescent="0.25">
      <c r="S13832" s="78">
        <v>41219</v>
      </c>
      <c r="T13832" s="29">
        <v>0.5</v>
      </c>
    </row>
    <row r="13833" spans="19:20" x14ac:dyDescent="0.25">
      <c r="S13833" s="78">
        <v>41220</v>
      </c>
      <c r="T13833" s="29">
        <v>0.5</v>
      </c>
    </row>
    <row r="13834" spans="19:20" x14ac:dyDescent="0.25">
      <c r="S13834" s="78">
        <v>41221</v>
      </c>
      <c r="T13834" s="29">
        <v>0.5</v>
      </c>
    </row>
    <row r="13835" spans="19:20" x14ac:dyDescent="0.25">
      <c r="S13835" s="78">
        <v>41222</v>
      </c>
      <c r="T13835" s="29">
        <v>0.5</v>
      </c>
    </row>
    <row r="13836" spans="19:20" x14ac:dyDescent="0.25">
      <c r="S13836" s="78">
        <v>41223</v>
      </c>
      <c r="T13836" s="29">
        <v>0.5</v>
      </c>
    </row>
    <row r="13837" spans="19:20" x14ac:dyDescent="0.25">
      <c r="S13837" s="78">
        <v>41224</v>
      </c>
      <c r="T13837" s="29">
        <v>0.5</v>
      </c>
    </row>
    <row r="13838" spans="19:20" x14ac:dyDescent="0.25">
      <c r="S13838" s="78">
        <v>41225</v>
      </c>
      <c r="T13838" s="29">
        <v>0.5</v>
      </c>
    </row>
    <row r="13839" spans="19:20" x14ac:dyDescent="0.25">
      <c r="S13839" s="78">
        <v>41226</v>
      </c>
      <c r="T13839" s="29">
        <v>0.5</v>
      </c>
    </row>
    <row r="13840" spans="19:20" x14ac:dyDescent="0.25">
      <c r="S13840" s="78">
        <v>41227</v>
      </c>
      <c r="T13840" s="29">
        <v>0.5</v>
      </c>
    </row>
    <row r="13841" spans="19:20" x14ac:dyDescent="0.25">
      <c r="S13841" s="78">
        <v>41228</v>
      </c>
      <c r="T13841" s="29">
        <v>0.5</v>
      </c>
    </row>
    <row r="13842" spans="19:20" x14ac:dyDescent="0.25">
      <c r="S13842" s="78">
        <v>41229</v>
      </c>
      <c r="T13842" s="29">
        <v>0.5</v>
      </c>
    </row>
    <row r="13843" spans="19:20" x14ac:dyDescent="0.25">
      <c r="S13843" s="78">
        <v>41230</v>
      </c>
      <c r="T13843" s="29">
        <v>0.5</v>
      </c>
    </row>
    <row r="13844" spans="19:20" x14ac:dyDescent="0.25">
      <c r="S13844" s="78">
        <v>41231</v>
      </c>
      <c r="T13844" s="29">
        <v>0.5</v>
      </c>
    </row>
    <row r="13845" spans="19:20" x14ac:dyDescent="0.25">
      <c r="S13845" s="78">
        <v>41232</v>
      </c>
      <c r="T13845" s="29">
        <v>0.5</v>
      </c>
    </row>
    <row r="13846" spans="19:20" x14ac:dyDescent="0.25">
      <c r="S13846" s="78">
        <v>41233</v>
      </c>
      <c r="T13846" s="29">
        <v>0.5</v>
      </c>
    </row>
    <row r="13847" spans="19:20" x14ac:dyDescent="0.25">
      <c r="S13847" s="78">
        <v>41234</v>
      </c>
      <c r="T13847" s="29">
        <v>0.5</v>
      </c>
    </row>
    <row r="13848" spans="19:20" x14ac:dyDescent="0.25">
      <c r="S13848" s="78">
        <v>41235</v>
      </c>
      <c r="T13848" s="29">
        <v>0.5</v>
      </c>
    </row>
    <row r="13849" spans="19:20" x14ac:dyDescent="0.25">
      <c r="S13849" s="78">
        <v>41236</v>
      </c>
      <c r="T13849" s="29">
        <v>0.5</v>
      </c>
    </row>
    <row r="13850" spans="19:20" x14ac:dyDescent="0.25">
      <c r="S13850" s="78">
        <v>41237</v>
      </c>
      <c r="T13850" s="29">
        <v>0.5</v>
      </c>
    </row>
    <row r="13851" spans="19:20" x14ac:dyDescent="0.25">
      <c r="S13851" s="78">
        <v>41238</v>
      </c>
      <c r="T13851" s="29">
        <v>0.5</v>
      </c>
    </row>
    <row r="13852" spans="19:20" x14ac:dyDescent="0.25">
      <c r="S13852" s="78">
        <v>41239</v>
      </c>
      <c r="T13852" s="29">
        <v>0.5</v>
      </c>
    </row>
    <row r="13853" spans="19:20" x14ac:dyDescent="0.25">
      <c r="S13853" s="78">
        <v>41240</v>
      </c>
      <c r="T13853" s="29">
        <v>0.5</v>
      </c>
    </row>
    <row r="13854" spans="19:20" x14ac:dyDescent="0.25">
      <c r="S13854" s="78">
        <v>41241</v>
      </c>
      <c r="T13854" s="29">
        <v>0.5</v>
      </c>
    </row>
    <row r="13855" spans="19:20" x14ac:dyDescent="0.25">
      <c r="S13855" s="78">
        <v>41242</v>
      </c>
      <c r="T13855" s="29">
        <v>0.5</v>
      </c>
    </row>
    <row r="13856" spans="19:20" x14ac:dyDescent="0.25">
      <c r="S13856" s="78">
        <v>41243</v>
      </c>
      <c r="T13856" s="29">
        <v>0.5</v>
      </c>
    </row>
    <row r="13857" spans="19:20" x14ac:dyDescent="0.25">
      <c r="S13857" s="78">
        <v>41244</v>
      </c>
      <c r="T13857" s="29">
        <v>0.5</v>
      </c>
    </row>
    <row r="13858" spans="19:20" x14ac:dyDescent="0.25">
      <c r="S13858" s="78">
        <v>41245</v>
      </c>
      <c r="T13858" s="29">
        <v>0.5</v>
      </c>
    </row>
    <row r="13859" spans="19:20" x14ac:dyDescent="0.25">
      <c r="S13859" s="78">
        <v>41246</v>
      </c>
      <c r="T13859" s="29">
        <v>0.5</v>
      </c>
    </row>
    <row r="13860" spans="19:20" x14ac:dyDescent="0.25">
      <c r="S13860" s="78">
        <v>41247</v>
      </c>
      <c r="T13860" s="29">
        <v>0.5</v>
      </c>
    </row>
    <row r="13861" spans="19:20" x14ac:dyDescent="0.25">
      <c r="S13861" s="78">
        <v>41248</v>
      </c>
      <c r="T13861" s="29">
        <v>0.5</v>
      </c>
    </row>
    <row r="13862" spans="19:20" x14ac:dyDescent="0.25">
      <c r="S13862" s="78">
        <v>41249</v>
      </c>
      <c r="T13862" s="29">
        <v>0.5</v>
      </c>
    </row>
    <row r="13863" spans="19:20" x14ac:dyDescent="0.25">
      <c r="S13863" s="78">
        <v>41250</v>
      </c>
      <c r="T13863" s="29">
        <v>0.5</v>
      </c>
    </row>
    <row r="13864" spans="19:20" x14ac:dyDescent="0.25">
      <c r="S13864" s="78">
        <v>41251</v>
      </c>
      <c r="T13864" s="29">
        <v>0.5</v>
      </c>
    </row>
    <row r="13865" spans="19:20" x14ac:dyDescent="0.25">
      <c r="S13865" s="78">
        <v>41252</v>
      </c>
      <c r="T13865" s="29">
        <v>0.5</v>
      </c>
    </row>
    <row r="13866" spans="19:20" x14ac:dyDescent="0.25">
      <c r="S13866" s="78">
        <v>41253</v>
      </c>
      <c r="T13866" s="29">
        <v>0.5</v>
      </c>
    </row>
    <row r="13867" spans="19:20" x14ac:dyDescent="0.25">
      <c r="S13867" s="78">
        <v>41254</v>
      </c>
      <c r="T13867" s="29">
        <v>0.5</v>
      </c>
    </row>
    <row r="13868" spans="19:20" x14ac:dyDescent="0.25">
      <c r="S13868" s="78">
        <v>41255</v>
      </c>
      <c r="T13868" s="29">
        <v>0.5</v>
      </c>
    </row>
    <row r="13869" spans="19:20" x14ac:dyDescent="0.25">
      <c r="S13869" s="78">
        <v>41256</v>
      </c>
      <c r="T13869" s="29">
        <v>0.5</v>
      </c>
    </row>
    <row r="13870" spans="19:20" x14ac:dyDescent="0.25">
      <c r="S13870" s="78">
        <v>41257</v>
      </c>
      <c r="T13870" s="29">
        <v>0.5</v>
      </c>
    </row>
    <row r="13871" spans="19:20" x14ac:dyDescent="0.25">
      <c r="S13871" s="78">
        <v>41258</v>
      </c>
      <c r="T13871" s="29">
        <v>0.5</v>
      </c>
    </row>
    <row r="13872" spans="19:20" x14ac:dyDescent="0.25">
      <c r="S13872" s="78">
        <v>41259</v>
      </c>
      <c r="T13872" s="29">
        <v>0.5</v>
      </c>
    </row>
    <row r="13873" spans="19:21" x14ac:dyDescent="0.25">
      <c r="S13873" s="78">
        <v>41260</v>
      </c>
      <c r="T13873" s="29">
        <v>0.5</v>
      </c>
    </row>
    <row r="13874" spans="19:21" x14ac:dyDescent="0.25">
      <c r="S13874" s="78">
        <v>41261</v>
      </c>
      <c r="T13874" s="29">
        <v>0.5</v>
      </c>
    </row>
    <row r="13875" spans="19:21" x14ac:dyDescent="0.25">
      <c r="S13875" s="78">
        <v>41262</v>
      </c>
      <c r="T13875" s="29">
        <v>0.5</v>
      </c>
    </row>
    <row r="13876" spans="19:21" x14ac:dyDescent="0.25">
      <c r="S13876" s="78">
        <v>41263</v>
      </c>
      <c r="T13876" s="29">
        <v>0.5</v>
      </c>
    </row>
    <row r="13877" spans="19:21" x14ac:dyDescent="0.25">
      <c r="S13877" s="78">
        <v>41264</v>
      </c>
      <c r="T13877" s="29">
        <v>0.5</v>
      </c>
    </row>
    <row r="13878" spans="19:21" x14ac:dyDescent="0.25">
      <c r="S13878" s="78">
        <v>41265</v>
      </c>
      <c r="T13878" s="29">
        <v>0.5</v>
      </c>
    </row>
    <row r="13879" spans="19:21" x14ac:dyDescent="0.25">
      <c r="S13879" s="78">
        <v>41266</v>
      </c>
      <c r="T13879" s="29">
        <v>0.5</v>
      </c>
    </row>
    <row r="13880" spans="19:21" x14ac:dyDescent="0.25">
      <c r="S13880" s="78">
        <v>41267</v>
      </c>
      <c r="T13880" s="29">
        <v>0.5</v>
      </c>
    </row>
    <row r="13881" spans="19:21" x14ac:dyDescent="0.25">
      <c r="S13881" s="78">
        <v>41268</v>
      </c>
      <c r="T13881" s="29">
        <v>0.5</v>
      </c>
    </row>
    <row r="13882" spans="19:21" x14ac:dyDescent="0.25">
      <c r="S13882" s="78">
        <v>41269</v>
      </c>
      <c r="T13882" s="29">
        <v>0.5</v>
      </c>
    </row>
    <row r="13883" spans="19:21" x14ac:dyDescent="0.25">
      <c r="S13883" s="78">
        <v>41270</v>
      </c>
      <c r="T13883" s="29">
        <v>0.5</v>
      </c>
    </row>
    <row r="13884" spans="19:21" x14ac:dyDescent="0.25">
      <c r="S13884" s="78">
        <v>41271</v>
      </c>
      <c r="T13884" s="29">
        <v>0.5</v>
      </c>
    </row>
    <row r="13885" spans="19:21" x14ac:dyDescent="0.25">
      <c r="S13885" s="78">
        <v>41272</v>
      </c>
      <c r="T13885" s="29">
        <v>0.5</v>
      </c>
    </row>
    <row r="13886" spans="19:21" x14ac:dyDescent="0.25">
      <c r="S13886" s="78">
        <v>41273</v>
      </c>
      <c r="T13886" s="29">
        <v>0.5</v>
      </c>
      <c r="U13886" s="40"/>
    </row>
    <row r="13887" spans="19:21" x14ac:dyDescent="0.25">
      <c r="S13887" s="78">
        <v>41274</v>
      </c>
      <c r="T13887" s="29">
        <v>0.5</v>
      </c>
      <c r="U13887" s="40">
        <f>AVERAGE(T13796:T13887)</f>
        <v>0.5</v>
      </c>
    </row>
    <row r="13888" spans="19:21" x14ac:dyDescent="0.25">
      <c r="S13888" s="78">
        <v>41275</v>
      </c>
      <c r="T13888" s="29">
        <v>0.5</v>
      </c>
    </row>
    <row r="13889" spans="19:20" x14ac:dyDescent="0.25">
      <c r="S13889" s="78">
        <v>41276</v>
      </c>
      <c r="T13889" s="29">
        <v>0.5</v>
      </c>
    </row>
    <row r="13890" spans="19:20" x14ac:dyDescent="0.25">
      <c r="S13890" s="78">
        <v>41277</v>
      </c>
      <c r="T13890" s="29">
        <v>0.5</v>
      </c>
    </row>
    <row r="13891" spans="19:20" x14ac:dyDescent="0.25">
      <c r="S13891" s="78">
        <v>41278</v>
      </c>
      <c r="T13891" s="29">
        <v>0.5</v>
      </c>
    </row>
    <row r="13892" spans="19:20" x14ac:dyDescent="0.25">
      <c r="S13892" s="78">
        <v>41279</v>
      </c>
      <c r="T13892" s="29">
        <v>0.5</v>
      </c>
    </row>
    <row r="13893" spans="19:20" x14ac:dyDescent="0.25">
      <c r="S13893" s="78">
        <v>41280</v>
      </c>
      <c r="T13893" s="29">
        <v>0.5</v>
      </c>
    </row>
    <row r="13894" spans="19:20" x14ac:dyDescent="0.25">
      <c r="S13894" s="78">
        <v>41281</v>
      </c>
      <c r="T13894" s="29">
        <v>0.5</v>
      </c>
    </row>
    <row r="13895" spans="19:20" x14ac:dyDescent="0.25">
      <c r="S13895" s="78">
        <v>41282</v>
      </c>
      <c r="T13895" s="29">
        <v>0.5</v>
      </c>
    </row>
    <row r="13896" spans="19:20" x14ac:dyDescent="0.25">
      <c r="S13896" s="78">
        <v>41283</v>
      </c>
      <c r="T13896" s="29">
        <v>0.5</v>
      </c>
    </row>
    <row r="13897" spans="19:20" x14ac:dyDescent="0.25">
      <c r="S13897" s="78">
        <v>41284</v>
      </c>
      <c r="T13897" s="29">
        <v>0.5</v>
      </c>
    </row>
    <row r="13898" spans="19:20" x14ac:dyDescent="0.25">
      <c r="S13898" s="78">
        <v>41285</v>
      </c>
      <c r="T13898" s="29">
        <v>0.5</v>
      </c>
    </row>
    <row r="13899" spans="19:20" x14ac:dyDescent="0.25">
      <c r="S13899" s="78">
        <v>41286</v>
      </c>
      <c r="T13899" s="29">
        <v>0.5</v>
      </c>
    </row>
    <row r="13900" spans="19:20" x14ac:dyDescent="0.25">
      <c r="S13900" s="78">
        <v>41287</v>
      </c>
      <c r="T13900" s="29">
        <v>0.5</v>
      </c>
    </row>
    <row r="13901" spans="19:20" x14ac:dyDescent="0.25">
      <c r="S13901" s="78">
        <v>41288</v>
      </c>
      <c r="T13901" s="29">
        <v>0.5</v>
      </c>
    </row>
    <row r="13902" spans="19:20" x14ac:dyDescent="0.25">
      <c r="S13902" s="78">
        <v>41289</v>
      </c>
      <c r="T13902" s="29">
        <v>0.5</v>
      </c>
    </row>
    <row r="13903" spans="19:20" x14ac:dyDescent="0.25">
      <c r="S13903" s="78">
        <v>41290</v>
      </c>
      <c r="T13903" s="29">
        <v>0.5</v>
      </c>
    </row>
    <row r="13904" spans="19:20" x14ac:dyDescent="0.25">
      <c r="S13904" s="78">
        <v>41291</v>
      </c>
      <c r="T13904" s="29">
        <v>0.5</v>
      </c>
    </row>
    <row r="13905" spans="19:20" x14ac:dyDescent="0.25">
      <c r="S13905" s="78">
        <v>41292</v>
      </c>
      <c r="T13905" s="29">
        <v>0.5</v>
      </c>
    </row>
    <row r="13906" spans="19:20" x14ac:dyDescent="0.25">
      <c r="S13906" s="78">
        <v>41293</v>
      </c>
      <c r="T13906" s="29">
        <v>0.5</v>
      </c>
    </row>
    <row r="13907" spans="19:20" x14ac:dyDescent="0.25">
      <c r="S13907" s="78">
        <v>41294</v>
      </c>
      <c r="T13907" s="29">
        <v>0.5</v>
      </c>
    </row>
    <row r="13908" spans="19:20" x14ac:dyDescent="0.25">
      <c r="S13908" s="78">
        <v>41295</v>
      </c>
      <c r="T13908" s="29">
        <v>0.5</v>
      </c>
    </row>
    <row r="13909" spans="19:20" x14ac:dyDescent="0.25">
      <c r="S13909" s="78">
        <v>41296</v>
      </c>
      <c r="T13909" s="29">
        <v>0.5</v>
      </c>
    </row>
    <row r="13910" spans="19:20" x14ac:dyDescent="0.25">
      <c r="S13910" s="78">
        <v>41297</v>
      </c>
      <c r="T13910" s="29">
        <v>0.5</v>
      </c>
    </row>
    <row r="13911" spans="19:20" x14ac:dyDescent="0.25">
      <c r="S13911" s="78">
        <v>41298</v>
      </c>
      <c r="T13911" s="29">
        <v>0.5</v>
      </c>
    </row>
    <row r="13912" spans="19:20" x14ac:dyDescent="0.25">
      <c r="S13912" s="78">
        <v>41299</v>
      </c>
      <c r="T13912" s="29">
        <v>0.5</v>
      </c>
    </row>
    <row r="13913" spans="19:20" x14ac:dyDescent="0.25">
      <c r="S13913" s="78">
        <v>41300</v>
      </c>
      <c r="T13913" s="29">
        <v>0.5</v>
      </c>
    </row>
    <row r="13914" spans="19:20" x14ac:dyDescent="0.25">
      <c r="S13914" s="78">
        <v>41301</v>
      </c>
      <c r="T13914" s="29">
        <v>0.5</v>
      </c>
    </row>
    <row r="13915" spans="19:20" x14ac:dyDescent="0.25">
      <c r="S13915" s="78">
        <v>41302</v>
      </c>
      <c r="T13915" s="29">
        <v>0.5</v>
      </c>
    </row>
    <row r="13916" spans="19:20" x14ac:dyDescent="0.25">
      <c r="S13916" s="78">
        <v>41303</v>
      </c>
      <c r="T13916" s="29">
        <v>0.5</v>
      </c>
    </row>
    <row r="13917" spans="19:20" x14ac:dyDescent="0.25">
      <c r="S13917" s="78">
        <v>41304</v>
      </c>
      <c r="T13917" s="29">
        <v>0.5</v>
      </c>
    </row>
    <row r="13918" spans="19:20" x14ac:dyDescent="0.25">
      <c r="S13918" s="78">
        <v>41305</v>
      </c>
      <c r="T13918" s="29">
        <v>0.5</v>
      </c>
    </row>
    <row r="13919" spans="19:20" x14ac:dyDescent="0.25">
      <c r="S13919" s="78">
        <v>41306</v>
      </c>
      <c r="T13919" s="29">
        <v>0.5</v>
      </c>
    </row>
    <row r="13920" spans="19:20" x14ac:dyDescent="0.25">
      <c r="S13920" s="78">
        <v>41307</v>
      </c>
      <c r="T13920" s="29">
        <v>0.5</v>
      </c>
    </row>
    <row r="13921" spans="19:20" x14ac:dyDescent="0.25">
      <c r="S13921" s="78">
        <v>41308</v>
      </c>
      <c r="T13921" s="29">
        <v>0.5</v>
      </c>
    </row>
    <row r="13922" spans="19:20" x14ac:dyDescent="0.25">
      <c r="S13922" s="78">
        <v>41309</v>
      </c>
      <c r="T13922" s="29">
        <v>0.5</v>
      </c>
    </row>
    <row r="13923" spans="19:20" x14ac:dyDescent="0.25">
      <c r="S13923" s="78">
        <v>41310</v>
      </c>
      <c r="T13923" s="29">
        <v>0.5</v>
      </c>
    </row>
    <row r="13924" spans="19:20" x14ac:dyDescent="0.25">
      <c r="S13924" s="78">
        <v>41311</v>
      </c>
      <c r="T13924" s="29">
        <v>0.5</v>
      </c>
    </row>
    <row r="13925" spans="19:20" x14ac:dyDescent="0.25">
      <c r="S13925" s="78">
        <v>41312</v>
      </c>
      <c r="T13925" s="29">
        <v>0.5</v>
      </c>
    </row>
    <row r="13926" spans="19:20" x14ac:dyDescent="0.25">
      <c r="S13926" s="78">
        <v>41313</v>
      </c>
      <c r="T13926" s="29">
        <v>0.5</v>
      </c>
    </row>
    <row r="13927" spans="19:20" x14ac:dyDescent="0.25">
      <c r="S13927" s="78">
        <v>41314</v>
      </c>
      <c r="T13927" s="29">
        <v>0.5</v>
      </c>
    </row>
    <row r="13928" spans="19:20" x14ac:dyDescent="0.25">
      <c r="S13928" s="78">
        <v>41315</v>
      </c>
      <c r="T13928" s="29">
        <v>0.5</v>
      </c>
    </row>
    <row r="13929" spans="19:20" x14ac:dyDescent="0.25">
      <c r="S13929" s="78">
        <v>41316</v>
      </c>
      <c r="T13929" s="29">
        <v>0.5</v>
      </c>
    </row>
    <row r="13930" spans="19:20" x14ac:dyDescent="0.25">
      <c r="S13930" s="78">
        <v>41317</v>
      </c>
      <c r="T13930" s="29">
        <v>0.5</v>
      </c>
    </row>
    <row r="13931" spans="19:20" x14ac:dyDescent="0.25">
      <c r="S13931" s="78">
        <v>41318</v>
      </c>
      <c r="T13931" s="29">
        <v>0.5</v>
      </c>
    </row>
    <row r="13932" spans="19:20" x14ac:dyDescent="0.25">
      <c r="S13932" s="78">
        <v>41319</v>
      </c>
      <c r="T13932" s="29">
        <v>0.5</v>
      </c>
    </row>
    <row r="13933" spans="19:20" x14ac:dyDescent="0.25">
      <c r="S13933" s="78">
        <v>41320</v>
      </c>
      <c r="T13933" s="29">
        <v>0.5</v>
      </c>
    </row>
    <row r="13934" spans="19:20" x14ac:dyDescent="0.25">
      <c r="S13934" s="78">
        <v>41321</v>
      </c>
      <c r="T13934" s="29">
        <v>0.5</v>
      </c>
    </row>
    <row r="13935" spans="19:20" x14ac:dyDescent="0.25">
      <c r="S13935" s="78">
        <v>41322</v>
      </c>
      <c r="T13935" s="29">
        <v>0.5</v>
      </c>
    </row>
    <row r="13936" spans="19:20" x14ac:dyDescent="0.25">
      <c r="S13936" s="78">
        <v>41323</v>
      </c>
      <c r="T13936" s="29">
        <v>0.5</v>
      </c>
    </row>
    <row r="13937" spans="19:20" x14ac:dyDescent="0.25">
      <c r="S13937" s="78">
        <v>41324</v>
      </c>
      <c r="T13937" s="29">
        <v>0.5</v>
      </c>
    </row>
    <row r="13938" spans="19:20" x14ac:dyDescent="0.25">
      <c r="S13938" s="78">
        <v>41325</v>
      </c>
      <c r="T13938" s="29">
        <v>0.5</v>
      </c>
    </row>
    <row r="13939" spans="19:20" x14ac:dyDescent="0.25">
      <c r="S13939" s="78">
        <v>41326</v>
      </c>
      <c r="T13939" s="29">
        <v>0.5</v>
      </c>
    </row>
    <row r="13940" spans="19:20" x14ac:dyDescent="0.25">
      <c r="S13940" s="78">
        <v>41327</v>
      </c>
      <c r="T13940" s="29">
        <v>0.5</v>
      </c>
    </row>
    <row r="13941" spans="19:20" x14ac:dyDescent="0.25">
      <c r="S13941" s="78">
        <v>41328</v>
      </c>
      <c r="T13941" s="29">
        <v>0.5</v>
      </c>
    </row>
    <row r="13942" spans="19:20" x14ac:dyDescent="0.25">
      <c r="S13942" s="78">
        <v>41329</v>
      </c>
      <c r="T13942" s="29">
        <v>0.5</v>
      </c>
    </row>
    <row r="13943" spans="19:20" x14ac:dyDescent="0.25">
      <c r="S13943" s="78">
        <v>41330</v>
      </c>
      <c r="T13943" s="29">
        <v>0.5</v>
      </c>
    </row>
    <row r="13944" spans="19:20" x14ac:dyDescent="0.25">
      <c r="S13944" s="78">
        <v>41331</v>
      </c>
      <c r="T13944" s="29">
        <v>0.5</v>
      </c>
    </row>
    <row r="13945" spans="19:20" x14ac:dyDescent="0.25">
      <c r="S13945" s="78">
        <v>41332</v>
      </c>
      <c r="T13945" s="29">
        <v>0.5</v>
      </c>
    </row>
    <row r="13946" spans="19:20" x14ac:dyDescent="0.25">
      <c r="S13946" s="78">
        <v>41333</v>
      </c>
      <c r="T13946" s="29">
        <v>0.5</v>
      </c>
    </row>
    <row r="13947" spans="19:20" x14ac:dyDescent="0.25">
      <c r="S13947" s="78">
        <v>41334</v>
      </c>
      <c r="T13947" s="29">
        <v>0.5</v>
      </c>
    </row>
    <row r="13948" spans="19:20" x14ac:dyDescent="0.25">
      <c r="S13948" s="78">
        <v>41335</v>
      </c>
      <c r="T13948" s="29">
        <v>0.5</v>
      </c>
    </row>
    <row r="13949" spans="19:20" x14ac:dyDescent="0.25">
      <c r="S13949" s="78">
        <v>41336</v>
      </c>
      <c r="T13949" s="29">
        <v>0.5</v>
      </c>
    </row>
    <row r="13950" spans="19:20" x14ac:dyDescent="0.25">
      <c r="S13950" s="78">
        <v>41337</v>
      </c>
      <c r="T13950" s="29">
        <v>0.5</v>
      </c>
    </row>
    <row r="13951" spans="19:20" x14ac:dyDescent="0.25">
      <c r="S13951" s="78">
        <v>41338</v>
      </c>
      <c r="T13951" s="29">
        <v>0.5</v>
      </c>
    </row>
    <row r="13952" spans="19:20" x14ac:dyDescent="0.25">
      <c r="S13952" s="78">
        <v>41339</v>
      </c>
      <c r="T13952" s="29">
        <v>0.5</v>
      </c>
    </row>
    <row r="13953" spans="19:20" x14ac:dyDescent="0.25">
      <c r="S13953" s="78">
        <v>41340</v>
      </c>
      <c r="T13953" s="29">
        <v>0.5</v>
      </c>
    </row>
    <row r="13954" spans="19:20" x14ac:dyDescent="0.25">
      <c r="S13954" s="78">
        <v>41341</v>
      </c>
      <c r="T13954" s="29">
        <v>0.5</v>
      </c>
    </row>
    <row r="13955" spans="19:20" x14ac:dyDescent="0.25">
      <c r="S13955" s="78">
        <v>41342</v>
      </c>
      <c r="T13955" s="29">
        <v>0.5</v>
      </c>
    </row>
    <row r="13956" spans="19:20" x14ac:dyDescent="0.25">
      <c r="S13956" s="78">
        <v>41343</v>
      </c>
      <c r="T13956" s="29">
        <v>0.5</v>
      </c>
    </row>
    <row r="13957" spans="19:20" x14ac:dyDescent="0.25">
      <c r="S13957" s="78">
        <v>41344</v>
      </c>
      <c r="T13957" s="29">
        <v>0.5</v>
      </c>
    </row>
    <row r="13958" spans="19:20" x14ac:dyDescent="0.25">
      <c r="S13958" s="78">
        <v>41345</v>
      </c>
      <c r="T13958" s="29">
        <v>0.5</v>
      </c>
    </row>
    <row r="13959" spans="19:20" x14ac:dyDescent="0.25">
      <c r="S13959" s="78">
        <v>41346</v>
      </c>
      <c r="T13959" s="29">
        <v>0.5</v>
      </c>
    </row>
    <row r="13960" spans="19:20" x14ac:dyDescent="0.25">
      <c r="S13960" s="78">
        <v>41347</v>
      </c>
      <c r="T13960" s="29">
        <v>0.5</v>
      </c>
    </row>
    <row r="13961" spans="19:20" x14ac:dyDescent="0.25">
      <c r="S13961" s="78">
        <v>41348</v>
      </c>
      <c r="T13961" s="29">
        <v>0.5</v>
      </c>
    </row>
    <row r="13962" spans="19:20" x14ac:dyDescent="0.25">
      <c r="S13962" s="78">
        <v>41349</v>
      </c>
      <c r="T13962" s="29">
        <v>0.5</v>
      </c>
    </row>
    <row r="13963" spans="19:20" x14ac:dyDescent="0.25">
      <c r="S13963" s="78">
        <v>41350</v>
      </c>
      <c r="T13963" s="29">
        <v>0.5</v>
      </c>
    </row>
    <row r="13964" spans="19:20" x14ac:dyDescent="0.25">
      <c r="S13964" s="78">
        <v>41351</v>
      </c>
      <c r="T13964" s="29">
        <v>0.5</v>
      </c>
    </row>
    <row r="13965" spans="19:20" x14ac:dyDescent="0.25">
      <c r="S13965" s="78">
        <v>41352</v>
      </c>
      <c r="T13965" s="29">
        <v>0.5</v>
      </c>
    </row>
    <row r="13966" spans="19:20" x14ac:dyDescent="0.25">
      <c r="S13966" s="78">
        <v>41353</v>
      </c>
      <c r="T13966" s="29">
        <v>0.5</v>
      </c>
    </row>
    <row r="13967" spans="19:20" x14ac:dyDescent="0.25">
      <c r="S13967" s="78">
        <v>41354</v>
      </c>
      <c r="T13967" s="29">
        <v>0.5</v>
      </c>
    </row>
    <row r="13968" spans="19:20" x14ac:dyDescent="0.25">
      <c r="S13968" s="78">
        <v>41355</v>
      </c>
      <c r="T13968" s="29">
        <v>0.5</v>
      </c>
    </row>
    <row r="13969" spans="19:21" x14ac:dyDescent="0.25">
      <c r="S13969" s="78">
        <v>41356</v>
      </c>
      <c r="T13969" s="29">
        <v>0.5</v>
      </c>
    </row>
    <row r="13970" spans="19:21" x14ac:dyDescent="0.25">
      <c r="S13970" s="78">
        <v>41357</v>
      </c>
      <c r="T13970" s="29">
        <v>0.5</v>
      </c>
    </row>
    <row r="13971" spans="19:21" x14ac:dyDescent="0.25">
      <c r="S13971" s="78">
        <v>41358</v>
      </c>
      <c r="T13971" s="29">
        <v>0.5</v>
      </c>
    </row>
    <row r="13972" spans="19:21" x14ac:dyDescent="0.25">
      <c r="S13972" s="78">
        <v>41359</v>
      </c>
      <c r="T13972" s="29">
        <v>0.5</v>
      </c>
    </row>
    <row r="13973" spans="19:21" x14ac:dyDescent="0.25">
      <c r="S13973" s="78">
        <v>41360</v>
      </c>
      <c r="T13973" s="29">
        <v>0.5</v>
      </c>
    </row>
    <row r="13974" spans="19:21" x14ac:dyDescent="0.25">
      <c r="S13974" s="78">
        <v>41361</v>
      </c>
      <c r="T13974" s="29">
        <v>0.5</v>
      </c>
    </row>
    <row r="13975" spans="19:21" x14ac:dyDescent="0.25">
      <c r="S13975" s="78">
        <v>41362</v>
      </c>
      <c r="T13975" s="29">
        <v>0.5</v>
      </c>
    </row>
    <row r="13976" spans="19:21" x14ac:dyDescent="0.25">
      <c r="S13976" s="78">
        <v>41363</v>
      </c>
      <c r="T13976" s="29">
        <v>0.5</v>
      </c>
    </row>
    <row r="13977" spans="19:21" x14ac:dyDescent="0.25">
      <c r="S13977" s="78">
        <v>41364</v>
      </c>
      <c r="T13977" s="29">
        <v>0.5</v>
      </c>
      <c r="U13977" s="39">
        <f>AVERAGE(T13888:T13977)</f>
        <v>0.5</v>
      </c>
    </row>
    <row r="13978" spans="19:21" x14ac:dyDescent="0.25">
      <c r="S13978" s="78">
        <v>41365</v>
      </c>
      <c r="T13978" s="29">
        <v>0.5</v>
      </c>
    </row>
    <row r="13979" spans="19:21" x14ac:dyDescent="0.25">
      <c r="S13979" s="78">
        <v>41366</v>
      </c>
      <c r="T13979" s="29">
        <v>0.5</v>
      </c>
    </row>
    <row r="13980" spans="19:21" x14ac:dyDescent="0.25">
      <c r="S13980" s="78">
        <v>41367</v>
      </c>
      <c r="T13980" s="29">
        <v>0.5</v>
      </c>
    </row>
    <row r="13981" spans="19:21" x14ac:dyDescent="0.25">
      <c r="S13981" s="78">
        <v>41368</v>
      </c>
      <c r="T13981" s="29">
        <v>0.5</v>
      </c>
    </row>
    <row r="13982" spans="19:21" x14ac:dyDescent="0.25">
      <c r="S13982" s="78">
        <v>41369</v>
      </c>
      <c r="T13982" s="29">
        <v>0.5</v>
      </c>
    </row>
    <row r="13983" spans="19:21" x14ac:dyDescent="0.25">
      <c r="S13983" s="78">
        <v>41370</v>
      </c>
      <c r="T13983" s="29">
        <v>0.5</v>
      </c>
    </row>
    <row r="13984" spans="19:21" x14ac:dyDescent="0.25">
      <c r="S13984" s="78">
        <v>41371</v>
      </c>
      <c r="T13984" s="29">
        <v>0.5</v>
      </c>
    </row>
    <row r="13985" spans="19:20" x14ac:dyDescent="0.25">
      <c r="S13985" s="78">
        <v>41372</v>
      </c>
      <c r="T13985" s="29">
        <v>0.5</v>
      </c>
    </row>
    <row r="13986" spans="19:20" x14ac:dyDescent="0.25">
      <c r="S13986" s="78">
        <v>41373</v>
      </c>
      <c r="T13986" s="29">
        <v>0.5</v>
      </c>
    </row>
    <row r="13987" spans="19:20" x14ac:dyDescent="0.25">
      <c r="S13987" s="78">
        <v>41374</v>
      </c>
      <c r="T13987" s="29">
        <v>0.5</v>
      </c>
    </row>
    <row r="13988" spans="19:20" x14ac:dyDescent="0.25">
      <c r="S13988" s="78">
        <v>41375</v>
      </c>
      <c r="T13988" s="29">
        <v>0.5</v>
      </c>
    </row>
    <row r="13989" spans="19:20" x14ac:dyDescent="0.25">
      <c r="S13989" s="78">
        <v>41376</v>
      </c>
      <c r="T13989" s="29">
        <v>0.5</v>
      </c>
    </row>
    <row r="13990" spans="19:20" x14ac:dyDescent="0.25">
      <c r="S13990" s="78">
        <v>41377</v>
      </c>
      <c r="T13990" s="29">
        <v>0.5</v>
      </c>
    </row>
    <row r="13991" spans="19:20" x14ac:dyDescent="0.25">
      <c r="S13991" s="78">
        <v>41378</v>
      </c>
      <c r="T13991" s="29">
        <v>0.5</v>
      </c>
    </row>
    <row r="13992" spans="19:20" x14ac:dyDescent="0.25">
      <c r="S13992" s="78">
        <v>41379</v>
      </c>
      <c r="T13992" s="29">
        <v>0.5</v>
      </c>
    </row>
    <row r="13993" spans="19:20" x14ac:dyDescent="0.25">
      <c r="S13993" s="78">
        <v>41380</v>
      </c>
      <c r="T13993" s="29">
        <v>0.5</v>
      </c>
    </row>
    <row r="13994" spans="19:20" x14ac:dyDescent="0.25">
      <c r="S13994" s="78">
        <v>41381</v>
      </c>
      <c r="T13994" s="29">
        <v>0.5</v>
      </c>
    </row>
    <row r="13995" spans="19:20" x14ac:dyDescent="0.25">
      <c r="S13995" s="78">
        <v>41382</v>
      </c>
      <c r="T13995" s="29">
        <v>0.5</v>
      </c>
    </row>
    <row r="13996" spans="19:20" x14ac:dyDescent="0.25">
      <c r="S13996" s="78">
        <v>41383</v>
      </c>
      <c r="T13996" s="29">
        <v>0.5</v>
      </c>
    </row>
    <row r="13997" spans="19:20" x14ac:dyDescent="0.25">
      <c r="S13997" s="78">
        <v>41384</v>
      </c>
      <c r="T13997" s="29">
        <v>0.5</v>
      </c>
    </row>
    <row r="13998" spans="19:20" x14ac:dyDescent="0.25">
      <c r="S13998" s="78">
        <v>41385</v>
      </c>
      <c r="T13998" s="29">
        <v>0.5</v>
      </c>
    </row>
    <row r="13999" spans="19:20" x14ac:dyDescent="0.25">
      <c r="S13999" s="78">
        <v>41386</v>
      </c>
      <c r="T13999" s="29">
        <v>0.5</v>
      </c>
    </row>
    <row r="14000" spans="19:20" x14ac:dyDescent="0.25">
      <c r="S14000" s="78">
        <v>41387</v>
      </c>
      <c r="T14000" s="29">
        <v>0.5</v>
      </c>
    </row>
    <row r="14001" spans="19:20" x14ac:dyDescent="0.25">
      <c r="S14001" s="78">
        <v>41388</v>
      </c>
      <c r="T14001" s="29">
        <v>0.5</v>
      </c>
    </row>
    <row r="14002" spans="19:20" x14ac:dyDescent="0.25">
      <c r="S14002" s="78">
        <v>41389</v>
      </c>
      <c r="T14002" s="29">
        <v>0.5</v>
      </c>
    </row>
    <row r="14003" spans="19:20" x14ac:dyDescent="0.25">
      <c r="S14003" s="78">
        <v>41390</v>
      </c>
      <c r="T14003" s="29">
        <v>0.5</v>
      </c>
    </row>
    <row r="14004" spans="19:20" x14ac:dyDescent="0.25">
      <c r="S14004" s="78">
        <v>41391</v>
      </c>
      <c r="T14004" s="29">
        <v>0.5</v>
      </c>
    </row>
    <row r="14005" spans="19:20" x14ac:dyDescent="0.25">
      <c r="S14005" s="78">
        <v>41392</v>
      </c>
      <c r="T14005" s="29">
        <v>0.5</v>
      </c>
    </row>
    <row r="14006" spans="19:20" x14ac:dyDescent="0.25">
      <c r="S14006" s="78">
        <v>41393</v>
      </c>
      <c r="T14006" s="29">
        <v>0.5</v>
      </c>
    </row>
    <row r="14007" spans="19:20" x14ac:dyDescent="0.25">
      <c r="S14007" s="78">
        <v>41394</v>
      </c>
      <c r="T14007" s="29">
        <v>0.5</v>
      </c>
    </row>
    <row r="14008" spans="19:20" x14ac:dyDescent="0.25">
      <c r="S14008" s="78">
        <v>41395</v>
      </c>
      <c r="T14008" s="29">
        <v>0.5</v>
      </c>
    </row>
    <row r="14009" spans="19:20" x14ac:dyDescent="0.25">
      <c r="S14009" s="78">
        <v>41396</v>
      </c>
      <c r="T14009" s="29">
        <v>0.5</v>
      </c>
    </row>
    <row r="14010" spans="19:20" x14ac:dyDescent="0.25">
      <c r="S14010" s="78">
        <v>41397</v>
      </c>
      <c r="T14010" s="29">
        <v>0.5</v>
      </c>
    </row>
    <row r="14011" spans="19:20" x14ac:dyDescent="0.25">
      <c r="S14011" s="78">
        <v>41398</v>
      </c>
      <c r="T14011" s="29">
        <v>0.5</v>
      </c>
    </row>
    <row r="14012" spans="19:20" x14ac:dyDescent="0.25">
      <c r="S14012" s="78">
        <v>41399</v>
      </c>
      <c r="T14012" s="29">
        <v>0.5</v>
      </c>
    </row>
    <row r="14013" spans="19:20" x14ac:dyDescent="0.25">
      <c r="S14013" s="78">
        <v>41400</v>
      </c>
      <c r="T14013" s="29">
        <v>0.5</v>
      </c>
    </row>
    <row r="14014" spans="19:20" x14ac:dyDescent="0.25">
      <c r="S14014" s="78">
        <v>41401</v>
      </c>
      <c r="T14014" s="29">
        <v>0.5</v>
      </c>
    </row>
    <row r="14015" spans="19:20" x14ac:dyDescent="0.25">
      <c r="S14015" s="78">
        <v>41402</v>
      </c>
      <c r="T14015" s="29">
        <v>0.5</v>
      </c>
    </row>
    <row r="14016" spans="19:20" x14ac:dyDescent="0.25">
      <c r="S14016" s="78">
        <v>41403</v>
      </c>
      <c r="T14016" s="29">
        <v>0.5</v>
      </c>
    </row>
    <row r="14017" spans="19:20" x14ac:dyDescent="0.25">
      <c r="S14017" s="78">
        <v>41404</v>
      </c>
      <c r="T14017" s="29">
        <v>0.5</v>
      </c>
    </row>
    <row r="14018" spans="19:20" x14ac:dyDescent="0.25">
      <c r="S14018" s="78">
        <v>41405</v>
      </c>
      <c r="T14018" s="29">
        <v>0.5</v>
      </c>
    </row>
    <row r="14019" spans="19:20" x14ac:dyDescent="0.25">
      <c r="S14019" s="78">
        <v>41406</v>
      </c>
      <c r="T14019" s="29">
        <v>0.5</v>
      </c>
    </row>
    <row r="14020" spans="19:20" x14ac:dyDescent="0.25">
      <c r="S14020" s="78">
        <v>41407</v>
      </c>
      <c r="T14020" s="29">
        <v>0.5</v>
      </c>
    </row>
    <row r="14021" spans="19:20" x14ac:dyDescent="0.25">
      <c r="S14021" s="78">
        <v>41408</v>
      </c>
      <c r="T14021" s="29">
        <v>0.5</v>
      </c>
    </row>
    <row r="14022" spans="19:20" x14ac:dyDescent="0.25">
      <c r="S14022" s="78">
        <v>41409</v>
      </c>
      <c r="T14022" s="29">
        <v>0.5</v>
      </c>
    </row>
    <row r="14023" spans="19:20" x14ac:dyDescent="0.25">
      <c r="S14023" s="78">
        <v>41410</v>
      </c>
      <c r="T14023" s="29">
        <v>0.5</v>
      </c>
    </row>
    <row r="14024" spans="19:20" x14ac:dyDescent="0.25">
      <c r="S14024" s="78">
        <v>41411</v>
      </c>
      <c r="T14024" s="29">
        <v>0.5</v>
      </c>
    </row>
    <row r="14025" spans="19:20" x14ac:dyDescent="0.25">
      <c r="S14025" s="78">
        <v>41412</v>
      </c>
      <c r="T14025" s="29">
        <v>0.5</v>
      </c>
    </row>
    <row r="14026" spans="19:20" x14ac:dyDescent="0.25">
      <c r="S14026" s="78">
        <v>41413</v>
      </c>
      <c r="T14026" s="29">
        <v>0.5</v>
      </c>
    </row>
    <row r="14027" spans="19:20" x14ac:dyDescent="0.25">
      <c r="S14027" s="78">
        <v>41414</v>
      </c>
      <c r="T14027" s="29">
        <v>0.5</v>
      </c>
    </row>
    <row r="14028" spans="19:20" x14ac:dyDescent="0.25">
      <c r="S14028" s="78">
        <v>41415</v>
      </c>
      <c r="T14028" s="29">
        <v>0.5</v>
      </c>
    </row>
    <row r="14029" spans="19:20" x14ac:dyDescent="0.25">
      <c r="S14029" s="78">
        <v>41416</v>
      </c>
      <c r="T14029" s="29">
        <v>0.5</v>
      </c>
    </row>
    <row r="14030" spans="19:20" x14ac:dyDescent="0.25">
      <c r="S14030" s="78">
        <v>41417</v>
      </c>
      <c r="T14030" s="29">
        <v>0.5</v>
      </c>
    </row>
    <row r="14031" spans="19:20" x14ac:dyDescent="0.25">
      <c r="S14031" s="78">
        <v>41418</v>
      </c>
      <c r="T14031" s="29">
        <v>0.5</v>
      </c>
    </row>
    <row r="14032" spans="19:20" x14ac:dyDescent="0.25">
      <c r="S14032" s="78">
        <v>41419</v>
      </c>
      <c r="T14032" s="29">
        <v>0.5</v>
      </c>
    </row>
    <row r="14033" spans="19:20" x14ac:dyDescent="0.25">
      <c r="S14033" s="78">
        <v>41420</v>
      </c>
      <c r="T14033" s="29">
        <v>0.5</v>
      </c>
    </row>
    <row r="14034" spans="19:20" x14ac:dyDescent="0.25">
      <c r="S14034" s="78">
        <v>41421</v>
      </c>
      <c r="T14034" s="29">
        <v>0.5</v>
      </c>
    </row>
    <row r="14035" spans="19:20" x14ac:dyDescent="0.25">
      <c r="S14035" s="78">
        <v>41422</v>
      </c>
      <c r="T14035" s="29">
        <v>0.5</v>
      </c>
    </row>
    <row r="14036" spans="19:20" x14ac:dyDescent="0.25">
      <c r="S14036" s="78">
        <v>41423</v>
      </c>
      <c r="T14036" s="29">
        <v>0.5</v>
      </c>
    </row>
    <row r="14037" spans="19:20" x14ac:dyDescent="0.25">
      <c r="S14037" s="78">
        <v>41424</v>
      </c>
      <c r="T14037" s="29">
        <v>0.5</v>
      </c>
    </row>
    <row r="14038" spans="19:20" x14ac:dyDescent="0.25">
      <c r="S14038" s="78">
        <v>41425</v>
      </c>
      <c r="T14038" s="29">
        <v>0.5</v>
      </c>
    </row>
    <row r="14039" spans="19:20" x14ac:dyDescent="0.25">
      <c r="S14039" s="78">
        <v>41426</v>
      </c>
      <c r="T14039" s="29">
        <v>0.5</v>
      </c>
    </row>
    <row r="14040" spans="19:20" x14ac:dyDescent="0.25">
      <c r="S14040" s="78">
        <v>41427</v>
      </c>
      <c r="T14040" s="29">
        <v>0.5</v>
      </c>
    </row>
    <row r="14041" spans="19:20" x14ac:dyDescent="0.25">
      <c r="S14041" s="78">
        <v>41428</v>
      </c>
      <c r="T14041" s="29">
        <v>0.5</v>
      </c>
    </row>
    <row r="14042" spans="19:20" x14ac:dyDescent="0.25">
      <c r="S14042" s="78">
        <v>41429</v>
      </c>
      <c r="T14042" s="29">
        <v>0.5</v>
      </c>
    </row>
    <row r="14043" spans="19:20" x14ac:dyDescent="0.25">
      <c r="S14043" s="78">
        <v>41430</v>
      </c>
      <c r="T14043" s="29">
        <v>0.5</v>
      </c>
    </row>
    <row r="14044" spans="19:20" x14ac:dyDescent="0.25">
      <c r="S14044" s="78">
        <v>41431</v>
      </c>
      <c r="T14044" s="29">
        <v>0.5</v>
      </c>
    </row>
    <row r="14045" spans="19:20" x14ac:dyDescent="0.25">
      <c r="S14045" s="78">
        <v>41432</v>
      </c>
      <c r="T14045" s="29">
        <v>0.5</v>
      </c>
    </row>
    <row r="14046" spans="19:20" x14ac:dyDescent="0.25">
      <c r="S14046" s="78">
        <v>41433</v>
      </c>
      <c r="T14046" s="29">
        <v>0.5</v>
      </c>
    </row>
    <row r="14047" spans="19:20" x14ac:dyDescent="0.25">
      <c r="S14047" s="78">
        <v>41434</v>
      </c>
      <c r="T14047" s="29">
        <v>0.5</v>
      </c>
    </row>
    <row r="14048" spans="19:20" x14ac:dyDescent="0.25">
      <c r="S14048" s="78">
        <v>41435</v>
      </c>
      <c r="T14048" s="29">
        <v>0.5</v>
      </c>
    </row>
    <row r="14049" spans="19:20" x14ac:dyDescent="0.25">
      <c r="S14049" s="78">
        <v>41436</v>
      </c>
      <c r="T14049" s="29">
        <v>0.5</v>
      </c>
    </row>
    <row r="14050" spans="19:20" x14ac:dyDescent="0.25">
      <c r="S14050" s="78">
        <v>41437</v>
      </c>
      <c r="T14050" s="29">
        <v>0.5</v>
      </c>
    </row>
    <row r="14051" spans="19:20" x14ac:dyDescent="0.25">
      <c r="S14051" s="78">
        <v>41438</v>
      </c>
      <c r="T14051" s="29">
        <v>0.5</v>
      </c>
    </row>
    <row r="14052" spans="19:20" x14ac:dyDescent="0.25">
      <c r="S14052" s="78">
        <v>41439</v>
      </c>
      <c r="T14052" s="29">
        <v>0.5</v>
      </c>
    </row>
    <row r="14053" spans="19:20" x14ac:dyDescent="0.25">
      <c r="S14053" s="78">
        <v>41440</v>
      </c>
      <c r="T14053" s="29">
        <v>0.5</v>
      </c>
    </row>
    <row r="14054" spans="19:20" x14ac:dyDescent="0.25">
      <c r="S14054" s="78">
        <v>41441</v>
      </c>
      <c r="T14054" s="29">
        <v>0.5</v>
      </c>
    </row>
    <row r="14055" spans="19:20" x14ac:dyDescent="0.25">
      <c r="S14055" s="78">
        <v>41442</v>
      </c>
      <c r="T14055" s="29">
        <v>0.5</v>
      </c>
    </row>
    <row r="14056" spans="19:20" x14ac:dyDescent="0.25">
      <c r="S14056" s="78">
        <v>41443</v>
      </c>
      <c r="T14056" s="29">
        <v>0.5</v>
      </c>
    </row>
    <row r="14057" spans="19:20" x14ac:dyDescent="0.25">
      <c r="S14057" s="78">
        <v>41444</v>
      </c>
      <c r="T14057" s="29">
        <v>0.5</v>
      </c>
    </row>
    <row r="14058" spans="19:20" x14ac:dyDescent="0.25">
      <c r="S14058" s="78">
        <v>41445</v>
      </c>
      <c r="T14058" s="29">
        <v>0.5</v>
      </c>
    </row>
    <row r="14059" spans="19:20" x14ac:dyDescent="0.25">
      <c r="S14059" s="78">
        <v>41446</v>
      </c>
      <c r="T14059" s="29">
        <v>0.5</v>
      </c>
    </row>
    <row r="14060" spans="19:20" x14ac:dyDescent="0.25">
      <c r="S14060" s="78">
        <v>41447</v>
      </c>
      <c r="T14060" s="29">
        <v>0.5</v>
      </c>
    </row>
    <row r="14061" spans="19:20" x14ac:dyDescent="0.25">
      <c r="S14061" s="78">
        <v>41448</v>
      </c>
      <c r="T14061" s="29">
        <v>0.5</v>
      </c>
    </row>
    <row r="14062" spans="19:20" x14ac:dyDescent="0.25">
      <c r="S14062" s="78">
        <v>41449</v>
      </c>
      <c r="T14062" s="29">
        <v>0.5</v>
      </c>
    </row>
    <row r="14063" spans="19:20" x14ac:dyDescent="0.25">
      <c r="S14063" s="78">
        <v>41450</v>
      </c>
      <c r="T14063" s="29">
        <v>0.5</v>
      </c>
    </row>
    <row r="14064" spans="19:20" x14ac:dyDescent="0.25">
      <c r="S14064" s="78">
        <v>41451</v>
      </c>
      <c r="T14064" s="29">
        <v>0.5</v>
      </c>
    </row>
    <row r="14065" spans="19:21" x14ac:dyDescent="0.25">
      <c r="S14065" s="78">
        <v>41452</v>
      </c>
      <c r="T14065" s="29">
        <v>0.5</v>
      </c>
    </row>
    <row r="14066" spans="19:21" x14ac:dyDescent="0.25">
      <c r="S14066" s="78">
        <v>41453</v>
      </c>
      <c r="T14066" s="29">
        <v>0.5</v>
      </c>
    </row>
    <row r="14067" spans="19:21" x14ac:dyDescent="0.25">
      <c r="S14067" s="78">
        <v>41454</v>
      </c>
      <c r="T14067" s="29">
        <v>0.5</v>
      </c>
    </row>
    <row r="14068" spans="19:21" x14ac:dyDescent="0.25">
      <c r="S14068" s="78">
        <v>41455</v>
      </c>
      <c r="T14068" s="29">
        <v>0.5</v>
      </c>
      <c r="U14068" s="40">
        <f>AVERAGE(T13978:T14068)</f>
        <v>0.5</v>
      </c>
    </row>
    <row r="14069" spans="19:21" x14ac:dyDescent="0.25">
      <c r="S14069" s="78">
        <v>41456</v>
      </c>
      <c r="T14069" s="29">
        <v>0.5</v>
      </c>
    </row>
    <row r="14070" spans="19:21" x14ac:dyDescent="0.25">
      <c r="S14070" s="78">
        <v>41457</v>
      </c>
      <c r="T14070" s="29">
        <v>0.5</v>
      </c>
    </row>
    <row r="14071" spans="19:21" x14ac:dyDescent="0.25">
      <c r="S14071" s="78">
        <v>41458</v>
      </c>
      <c r="T14071" s="29">
        <v>0.5</v>
      </c>
    </row>
    <row r="14072" spans="19:21" x14ac:dyDescent="0.25">
      <c r="S14072" s="78">
        <v>41459</v>
      </c>
      <c r="T14072" s="29">
        <v>0.5</v>
      </c>
    </row>
    <row r="14073" spans="19:21" x14ac:dyDescent="0.25">
      <c r="S14073" s="78">
        <v>41460</v>
      </c>
      <c r="T14073" s="29">
        <v>0.5</v>
      </c>
    </row>
    <row r="14074" spans="19:21" x14ac:dyDescent="0.25">
      <c r="S14074" s="78">
        <v>41461</v>
      </c>
      <c r="T14074" s="29">
        <v>0.5</v>
      </c>
    </row>
    <row r="14075" spans="19:21" x14ac:dyDescent="0.25">
      <c r="S14075" s="78">
        <v>41462</v>
      </c>
      <c r="T14075" s="29">
        <v>0.5</v>
      </c>
    </row>
    <row r="14076" spans="19:21" x14ac:dyDescent="0.25">
      <c r="S14076" s="78">
        <v>41463</v>
      </c>
      <c r="T14076" s="29">
        <v>0.5</v>
      </c>
    </row>
    <row r="14077" spans="19:21" x14ac:dyDescent="0.25">
      <c r="S14077" s="78">
        <v>41464</v>
      </c>
      <c r="T14077" s="29">
        <v>0.5</v>
      </c>
    </row>
    <row r="14078" spans="19:21" x14ac:dyDescent="0.25">
      <c r="S14078" s="78">
        <v>41465</v>
      </c>
      <c r="T14078" s="29">
        <v>0.5</v>
      </c>
    </row>
    <row r="14079" spans="19:21" x14ac:dyDescent="0.25">
      <c r="S14079" s="78">
        <v>41466</v>
      </c>
      <c r="T14079" s="29">
        <v>0.5</v>
      </c>
    </row>
    <row r="14080" spans="19:21" x14ac:dyDescent="0.25">
      <c r="S14080" s="78">
        <v>41467</v>
      </c>
      <c r="T14080" s="29">
        <v>0.5</v>
      </c>
    </row>
    <row r="14081" spans="19:20" x14ac:dyDescent="0.25">
      <c r="S14081" s="78">
        <v>41468</v>
      </c>
      <c r="T14081" s="29">
        <v>0.5</v>
      </c>
    </row>
    <row r="14082" spans="19:20" x14ac:dyDescent="0.25">
      <c r="S14082" s="78">
        <v>41469</v>
      </c>
      <c r="T14082" s="29">
        <v>0.5</v>
      </c>
    </row>
    <row r="14083" spans="19:20" x14ac:dyDescent="0.25">
      <c r="S14083" s="78">
        <v>41470</v>
      </c>
      <c r="T14083" s="29">
        <v>0.5</v>
      </c>
    </row>
    <row r="14084" spans="19:20" x14ac:dyDescent="0.25">
      <c r="S14084" s="78">
        <v>41471</v>
      </c>
      <c r="T14084" s="29">
        <v>0.5</v>
      </c>
    </row>
    <row r="14085" spans="19:20" x14ac:dyDescent="0.25">
      <c r="S14085" s="78">
        <v>41472</v>
      </c>
      <c r="T14085" s="29">
        <v>0.5</v>
      </c>
    </row>
    <row r="14086" spans="19:20" x14ac:dyDescent="0.25">
      <c r="S14086" s="78">
        <v>41473</v>
      </c>
      <c r="T14086" s="29">
        <v>0.5</v>
      </c>
    </row>
    <row r="14087" spans="19:20" x14ac:dyDescent="0.25">
      <c r="S14087" s="78">
        <v>41474</v>
      </c>
      <c r="T14087" s="29">
        <v>0.5</v>
      </c>
    </row>
    <row r="14088" spans="19:20" x14ac:dyDescent="0.25">
      <c r="S14088" s="78">
        <v>41475</v>
      </c>
      <c r="T14088" s="29">
        <v>0.5</v>
      </c>
    </row>
    <row r="14089" spans="19:20" x14ac:dyDescent="0.25">
      <c r="S14089" s="78">
        <v>41476</v>
      </c>
      <c r="T14089" s="29">
        <v>0.5</v>
      </c>
    </row>
    <row r="14090" spans="19:20" x14ac:dyDescent="0.25">
      <c r="S14090" s="78">
        <v>41477</v>
      </c>
      <c r="T14090" s="29">
        <v>0.5</v>
      </c>
    </row>
    <row r="14091" spans="19:20" x14ac:dyDescent="0.25">
      <c r="S14091" s="78">
        <v>41478</v>
      </c>
      <c r="T14091" s="29">
        <v>0.5</v>
      </c>
    </row>
    <row r="14092" spans="19:20" x14ac:dyDescent="0.25">
      <c r="S14092" s="78">
        <v>41479</v>
      </c>
      <c r="T14092" s="29">
        <v>0.5</v>
      </c>
    </row>
    <row r="14093" spans="19:20" x14ac:dyDescent="0.25">
      <c r="S14093" s="78">
        <v>41480</v>
      </c>
      <c r="T14093" s="29">
        <v>0.5</v>
      </c>
    </row>
    <row r="14094" spans="19:20" x14ac:dyDescent="0.25">
      <c r="S14094" s="78">
        <v>41481</v>
      </c>
      <c r="T14094" s="29">
        <v>0.5</v>
      </c>
    </row>
    <row r="14095" spans="19:20" x14ac:dyDescent="0.25">
      <c r="S14095" s="78">
        <v>41482</v>
      </c>
      <c r="T14095" s="29">
        <v>0.5</v>
      </c>
    </row>
    <row r="14096" spans="19:20" x14ac:dyDescent="0.25">
      <c r="S14096" s="78">
        <v>41483</v>
      </c>
      <c r="T14096" s="29">
        <v>0.5</v>
      </c>
    </row>
    <row r="14097" spans="19:20" x14ac:dyDescent="0.25">
      <c r="S14097" s="78">
        <v>41484</v>
      </c>
      <c r="T14097" s="29">
        <v>0.5</v>
      </c>
    </row>
    <row r="14098" spans="19:20" x14ac:dyDescent="0.25">
      <c r="S14098" s="78">
        <v>41485</v>
      </c>
      <c r="T14098" s="29">
        <v>0.5</v>
      </c>
    </row>
    <row r="14099" spans="19:20" x14ac:dyDescent="0.25">
      <c r="S14099" s="78">
        <v>41486</v>
      </c>
      <c r="T14099" s="29">
        <v>0.5</v>
      </c>
    </row>
    <row r="14100" spans="19:20" x14ac:dyDescent="0.25">
      <c r="S14100" s="78">
        <v>41487</v>
      </c>
      <c r="T14100" s="29">
        <v>0.5</v>
      </c>
    </row>
    <row r="14101" spans="19:20" x14ac:dyDescent="0.25">
      <c r="S14101" s="78">
        <v>41488</v>
      </c>
      <c r="T14101" s="29">
        <v>0.5</v>
      </c>
    </row>
    <row r="14102" spans="19:20" x14ac:dyDescent="0.25">
      <c r="S14102" s="78">
        <v>41489</v>
      </c>
      <c r="T14102" s="29">
        <v>0.5</v>
      </c>
    </row>
    <row r="14103" spans="19:20" x14ac:dyDescent="0.25">
      <c r="S14103" s="78">
        <v>41490</v>
      </c>
      <c r="T14103" s="29">
        <v>0.5</v>
      </c>
    </row>
    <row r="14104" spans="19:20" x14ac:dyDescent="0.25">
      <c r="S14104" s="78">
        <v>41491</v>
      </c>
      <c r="T14104" s="29">
        <v>0.5</v>
      </c>
    </row>
    <row r="14105" spans="19:20" x14ac:dyDescent="0.25">
      <c r="S14105" s="78">
        <v>41492</v>
      </c>
      <c r="T14105" s="29">
        <v>0.5</v>
      </c>
    </row>
    <row r="14106" spans="19:20" x14ac:dyDescent="0.25">
      <c r="S14106" s="78">
        <v>41493</v>
      </c>
      <c r="T14106" s="29">
        <v>0.5</v>
      </c>
    </row>
    <row r="14107" spans="19:20" x14ac:dyDescent="0.25">
      <c r="S14107" s="78">
        <v>41494</v>
      </c>
      <c r="T14107" s="29">
        <v>0.5</v>
      </c>
    </row>
    <row r="14108" spans="19:20" x14ac:dyDescent="0.25">
      <c r="S14108" s="78">
        <v>41495</v>
      </c>
      <c r="T14108" s="29">
        <v>0.5</v>
      </c>
    </row>
    <row r="14109" spans="19:20" x14ac:dyDescent="0.25">
      <c r="S14109" s="78">
        <v>41496</v>
      </c>
      <c r="T14109" s="29">
        <v>0.5</v>
      </c>
    </row>
    <row r="14110" spans="19:20" x14ac:dyDescent="0.25">
      <c r="S14110" s="78">
        <v>41497</v>
      </c>
      <c r="T14110" s="29">
        <v>0.5</v>
      </c>
    </row>
    <row r="14111" spans="19:20" x14ac:dyDescent="0.25">
      <c r="S14111" s="78">
        <v>41498</v>
      </c>
      <c r="T14111" s="29">
        <v>0.5</v>
      </c>
    </row>
    <row r="14112" spans="19:20" x14ac:dyDescent="0.25">
      <c r="S14112" s="78">
        <v>41499</v>
      </c>
      <c r="T14112" s="29">
        <v>0.5</v>
      </c>
    </row>
    <row r="14113" spans="19:20" x14ac:dyDescent="0.25">
      <c r="S14113" s="78">
        <v>41500</v>
      </c>
      <c r="T14113" s="29">
        <v>0.5</v>
      </c>
    </row>
    <row r="14114" spans="19:20" x14ac:dyDescent="0.25">
      <c r="S14114" s="78">
        <v>41501</v>
      </c>
      <c r="T14114" s="29">
        <v>0.5</v>
      </c>
    </row>
    <row r="14115" spans="19:20" x14ac:dyDescent="0.25">
      <c r="S14115" s="78">
        <v>41502</v>
      </c>
      <c r="T14115" s="29">
        <v>0.5</v>
      </c>
    </row>
    <row r="14116" spans="19:20" x14ac:dyDescent="0.25">
      <c r="S14116" s="78">
        <v>41503</v>
      </c>
      <c r="T14116" s="29">
        <v>0.5</v>
      </c>
    </row>
    <row r="14117" spans="19:20" x14ac:dyDescent="0.25">
      <c r="S14117" s="78">
        <v>41504</v>
      </c>
      <c r="T14117" s="29">
        <v>0.5</v>
      </c>
    </row>
    <row r="14118" spans="19:20" x14ac:dyDescent="0.25">
      <c r="S14118" s="78">
        <v>41505</v>
      </c>
      <c r="T14118" s="29">
        <v>0.5</v>
      </c>
    </row>
    <row r="14119" spans="19:20" x14ac:dyDescent="0.25">
      <c r="S14119" s="78">
        <v>41506</v>
      </c>
      <c r="T14119" s="29">
        <v>0.5</v>
      </c>
    </row>
    <row r="14120" spans="19:20" x14ac:dyDescent="0.25">
      <c r="S14120" s="78">
        <v>41507</v>
      </c>
      <c r="T14120" s="29">
        <v>0.5</v>
      </c>
    </row>
    <row r="14121" spans="19:20" x14ac:dyDescent="0.25">
      <c r="S14121" s="78">
        <v>41508</v>
      </c>
      <c r="T14121" s="29">
        <v>0.5</v>
      </c>
    </row>
    <row r="14122" spans="19:20" x14ac:dyDescent="0.25">
      <c r="S14122" s="78">
        <v>41509</v>
      </c>
      <c r="T14122" s="29">
        <v>0.5</v>
      </c>
    </row>
    <row r="14123" spans="19:20" x14ac:dyDescent="0.25">
      <c r="S14123" s="78">
        <v>41510</v>
      </c>
      <c r="T14123" s="29">
        <v>0.5</v>
      </c>
    </row>
    <row r="14124" spans="19:20" x14ac:dyDescent="0.25">
      <c r="S14124" s="78">
        <v>41511</v>
      </c>
      <c r="T14124" s="29">
        <v>0.5</v>
      </c>
    </row>
    <row r="14125" spans="19:20" x14ac:dyDescent="0.25">
      <c r="S14125" s="78">
        <v>41512</v>
      </c>
      <c r="T14125" s="29">
        <v>0.5</v>
      </c>
    </row>
    <row r="14126" spans="19:20" x14ac:dyDescent="0.25">
      <c r="S14126" s="78">
        <v>41513</v>
      </c>
      <c r="T14126" s="29">
        <v>0.5</v>
      </c>
    </row>
    <row r="14127" spans="19:20" x14ac:dyDescent="0.25">
      <c r="S14127" s="78">
        <v>41514</v>
      </c>
      <c r="T14127" s="29">
        <v>0.5</v>
      </c>
    </row>
    <row r="14128" spans="19:20" x14ac:dyDescent="0.25">
      <c r="S14128" s="78">
        <v>41515</v>
      </c>
      <c r="T14128" s="29">
        <v>0.5</v>
      </c>
    </row>
    <row r="14129" spans="19:20" x14ac:dyDescent="0.25">
      <c r="S14129" s="78">
        <v>41516</v>
      </c>
      <c r="T14129" s="29">
        <v>0.5</v>
      </c>
    </row>
    <row r="14130" spans="19:20" x14ac:dyDescent="0.25">
      <c r="S14130" s="78">
        <v>41517</v>
      </c>
      <c r="T14130" s="29">
        <v>0.5</v>
      </c>
    </row>
    <row r="14131" spans="19:20" x14ac:dyDescent="0.25">
      <c r="S14131" s="78">
        <v>41518</v>
      </c>
      <c r="T14131" s="29">
        <v>0.5</v>
      </c>
    </row>
    <row r="14132" spans="19:20" x14ac:dyDescent="0.25">
      <c r="S14132" s="78">
        <v>41519</v>
      </c>
      <c r="T14132" s="29">
        <v>0.5</v>
      </c>
    </row>
    <row r="14133" spans="19:20" x14ac:dyDescent="0.25">
      <c r="S14133" s="78">
        <v>41520</v>
      </c>
      <c r="T14133" s="29">
        <v>0.5</v>
      </c>
    </row>
    <row r="14134" spans="19:20" x14ac:dyDescent="0.25">
      <c r="S14134" s="78">
        <v>41521</v>
      </c>
      <c r="T14134" s="29">
        <v>0.5</v>
      </c>
    </row>
    <row r="14135" spans="19:20" x14ac:dyDescent="0.25">
      <c r="S14135" s="78">
        <v>41522</v>
      </c>
      <c r="T14135" s="29">
        <v>0.5</v>
      </c>
    </row>
    <row r="14136" spans="19:20" x14ac:dyDescent="0.25">
      <c r="S14136" s="78">
        <v>41523</v>
      </c>
      <c r="T14136" s="29">
        <v>0.5</v>
      </c>
    </row>
    <row r="14137" spans="19:20" x14ac:dyDescent="0.25">
      <c r="S14137" s="78">
        <v>41524</v>
      </c>
      <c r="T14137" s="29">
        <v>0.5</v>
      </c>
    </row>
    <row r="14138" spans="19:20" x14ac:dyDescent="0.25">
      <c r="S14138" s="78">
        <v>41525</v>
      </c>
      <c r="T14138" s="29">
        <v>0.5</v>
      </c>
    </row>
    <row r="14139" spans="19:20" x14ac:dyDescent="0.25">
      <c r="S14139" s="78">
        <v>41526</v>
      </c>
      <c r="T14139" s="29">
        <v>0.5</v>
      </c>
    </row>
    <row r="14140" spans="19:20" x14ac:dyDescent="0.25">
      <c r="S14140" s="78">
        <v>41527</v>
      </c>
      <c r="T14140" s="29">
        <v>0.5</v>
      </c>
    </row>
    <row r="14141" spans="19:20" x14ac:dyDescent="0.25">
      <c r="S14141" s="78">
        <v>41528</v>
      </c>
      <c r="T14141" s="29">
        <v>0.5</v>
      </c>
    </row>
    <row r="14142" spans="19:20" x14ac:dyDescent="0.25">
      <c r="S14142" s="78">
        <v>41529</v>
      </c>
      <c r="T14142" s="29">
        <v>0.5</v>
      </c>
    </row>
    <row r="14143" spans="19:20" x14ac:dyDescent="0.25">
      <c r="S14143" s="78">
        <v>41530</v>
      </c>
      <c r="T14143" s="29">
        <v>0.5</v>
      </c>
    </row>
    <row r="14144" spans="19:20" x14ac:dyDescent="0.25">
      <c r="S14144" s="78">
        <v>41531</v>
      </c>
      <c r="T14144" s="29">
        <v>0.5</v>
      </c>
    </row>
    <row r="14145" spans="19:21" x14ac:dyDescent="0.25">
      <c r="S14145" s="78">
        <v>41532</v>
      </c>
      <c r="T14145" s="29">
        <v>0.5</v>
      </c>
    </row>
    <row r="14146" spans="19:21" x14ac:dyDescent="0.25">
      <c r="S14146" s="78">
        <v>41533</v>
      </c>
      <c r="T14146" s="29">
        <v>0.5</v>
      </c>
    </row>
    <row r="14147" spans="19:21" x14ac:dyDescent="0.25">
      <c r="S14147" s="78">
        <v>41534</v>
      </c>
      <c r="T14147" s="29">
        <v>0.5</v>
      </c>
    </row>
    <row r="14148" spans="19:21" x14ac:dyDescent="0.25">
      <c r="S14148" s="78">
        <v>41535</v>
      </c>
      <c r="T14148" s="29">
        <v>0.5</v>
      </c>
    </row>
    <row r="14149" spans="19:21" x14ac:dyDescent="0.25">
      <c r="S14149" s="78">
        <v>41536</v>
      </c>
      <c r="T14149" s="29">
        <v>0.5</v>
      </c>
    </row>
    <row r="14150" spans="19:21" x14ac:dyDescent="0.25">
      <c r="S14150" s="78">
        <v>41537</v>
      </c>
      <c r="T14150" s="29">
        <v>0.5</v>
      </c>
    </row>
    <row r="14151" spans="19:21" x14ac:dyDescent="0.25">
      <c r="S14151" s="78">
        <v>41538</v>
      </c>
      <c r="T14151" s="29">
        <v>0.5</v>
      </c>
    </row>
    <row r="14152" spans="19:21" x14ac:dyDescent="0.25">
      <c r="S14152" s="78">
        <v>41539</v>
      </c>
      <c r="T14152" s="29">
        <v>0.5</v>
      </c>
    </row>
    <row r="14153" spans="19:21" x14ac:dyDescent="0.25">
      <c r="S14153" s="78">
        <v>41540</v>
      </c>
      <c r="T14153" s="29">
        <v>0.5</v>
      </c>
    </row>
    <row r="14154" spans="19:21" x14ac:dyDescent="0.25">
      <c r="S14154" s="78">
        <v>41541</v>
      </c>
      <c r="T14154" s="29">
        <v>0.5</v>
      </c>
    </row>
    <row r="14155" spans="19:21" x14ac:dyDescent="0.25">
      <c r="S14155" s="78">
        <v>41542</v>
      </c>
      <c r="T14155" s="29">
        <v>0.5</v>
      </c>
    </row>
    <row r="14156" spans="19:21" x14ac:dyDescent="0.25">
      <c r="S14156" s="78">
        <v>41543</v>
      </c>
      <c r="T14156" s="29">
        <v>0.5</v>
      </c>
    </row>
    <row r="14157" spans="19:21" x14ac:dyDescent="0.25">
      <c r="S14157" s="78">
        <v>41544</v>
      </c>
      <c r="T14157" s="29">
        <v>0.5</v>
      </c>
    </row>
    <row r="14158" spans="19:21" x14ac:dyDescent="0.25">
      <c r="S14158" s="78">
        <v>41545</v>
      </c>
      <c r="T14158" s="29">
        <v>0.5</v>
      </c>
    </row>
    <row r="14159" spans="19:21" x14ac:dyDescent="0.25">
      <c r="S14159" s="78">
        <v>41546</v>
      </c>
      <c r="T14159" s="29">
        <v>0.5</v>
      </c>
    </row>
    <row r="14160" spans="19:21" x14ac:dyDescent="0.25">
      <c r="S14160" s="78">
        <v>41547</v>
      </c>
      <c r="T14160" s="29">
        <v>0.5</v>
      </c>
      <c r="U14160" s="40">
        <f>AVERAGE(T14069:T14160)</f>
        <v>0.5</v>
      </c>
    </row>
    <row r="14161" spans="19:20" x14ac:dyDescent="0.25">
      <c r="S14161" s="78">
        <v>41548</v>
      </c>
      <c r="T14161" s="29">
        <v>0.5</v>
      </c>
    </row>
    <row r="14162" spans="19:20" x14ac:dyDescent="0.25">
      <c r="S14162" s="78">
        <v>41549</v>
      </c>
      <c r="T14162" s="29">
        <v>0.5</v>
      </c>
    </row>
    <row r="14163" spans="19:20" x14ac:dyDescent="0.25">
      <c r="S14163" s="78">
        <v>41550</v>
      </c>
      <c r="T14163" s="29">
        <v>0.5</v>
      </c>
    </row>
    <row r="14164" spans="19:20" x14ac:dyDescent="0.25">
      <c r="S14164" s="78">
        <v>41551</v>
      </c>
      <c r="T14164" s="29">
        <v>0.5</v>
      </c>
    </row>
    <row r="14165" spans="19:20" x14ac:dyDescent="0.25">
      <c r="S14165" s="78">
        <v>41552</v>
      </c>
      <c r="T14165" s="29">
        <v>0.5</v>
      </c>
    </row>
    <row r="14166" spans="19:20" x14ac:dyDescent="0.25">
      <c r="S14166" s="78">
        <v>41553</v>
      </c>
      <c r="T14166" s="29">
        <v>0.5</v>
      </c>
    </row>
    <row r="14167" spans="19:20" x14ac:dyDescent="0.25">
      <c r="S14167" s="78">
        <v>41554</v>
      </c>
      <c r="T14167" s="29">
        <v>0.5</v>
      </c>
    </row>
    <row r="14168" spans="19:20" x14ac:dyDescent="0.25">
      <c r="S14168" s="78">
        <v>41555</v>
      </c>
      <c r="T14168" s="29">
        <v>0.5</v>
      </c>
    </row>
    <row r="14169" spans="19:20" x14ac:dyDescent="0.25">
      <c r="S14169" s="78">
        <v>41556</v>
      </c>
      <c r="T14169" s="29">
        <v>0.5</v>
      </c>
    </row>
    <row r="14170" spans="19:20" x14ac:dyDescent="0.25">
      <c r="S14170" s="78">
        <v>41557</v>
      </c>
      <c r="T14170" s="29">
        <v>0.5</v>
      </c>
    </row>
    <row r="14171" spans="19:20" x14ac:dyDescent="0.25">
      <c r="S14171" s="78">
        <v>41558</v>
      </c>
      <c r="T14171" s="29">
        <v>0.5</v>
      </c>
    </row>
    <row r="14172" spans="19:20" x14ac:dyDescent="0.25">
      <c r="S14172" s="78">
        <v>41559</v>
      </c>
      <c r="T14172" s="29">
        <v>0.5</v>
      </c>
    </row>
    <row r="14173" spans="19:20" x14ac:dyDescent="0.25">
      <c r="S14173" s="78">
        <v>41560</v>
      </c>
      <c r="T14173" s="29">
        <v>0.5</v>
      </c>
    </row>
    <row r="14174" spans="19:20" x14ac:dyDescent="0.25">
      <c r="S14174" s="78">
        <v>41561</v>
      </c>
      <c r="T14174" s="29">
        <v>0.5</v>
      </c>
    </row>
    <row r="14175" spans="19:20" x14ac:dyDescent="0.25">
      <c r="S14175" s="78">
        <v>41562</v>
      </c>
      <c r="T14175" s="29">
        <v>0.5</v>
      </c>
    </row>
    <row r="14176" spans="19:20" x14ac:dyDescent="0.25">
      <c r="S14176" s="78">
        <v>41563</v>
      </c>
      <c r="T14176" s="29">
        <v>0.5</v>
      </c>
    </row>
    <row r="14177" spans="19:20" x14ac:dyDescent="0.25">
      <c r="S14177" s="78">
        <v>41564</v>
      </c>
      <c r="T14177" s="29">
        <v>0.5</v>
      </c>
    </row>
    <row r="14178" spans="19:20" x14ac:dyDescent="0.25">
      <c r="S14178" s="78">
        <v>41565</v>
      </c>
      <c r="T14178" s="29">
        <v>0.5</v>
      </c>
    </row>
    <row r="14179" spans="19:20" x14ac:dyDescent="0.25">
      <c r="S14179" s="78">
        <v>41566</v>
      </c>
      <c r="T14179" s="29">
        <v>0.5</v>
      </c>
    </row>
    <row r="14180" spans="19:20" x14ac:dyDescent="0.25">
      <c r="S14180" s="78">
        <v>41567</v>
      </c>
      <c r="T14180" s="29">
        <v>0.5</v>
      </c>
    </row>
    <row r="14181" spans="19:20" x14ac:dyDescent="0.25">
      <c r="S14181" s="78">
        <v>41568</v>
      </c>
      <c r="T14181" s="29">
        <v>0.5</v>
      </c>
    </row>
    <row r="14182" spans="19:20" x14ac:dyDescent="0.25">
      <c r="S14182" s="78">
        <v>41569</v>
      </c>
      <c r="T14182" s="29">
        <v>0.5</v>
      </c>
    </row>
    <row r="14183" spans="19:20" x14ac:dyDescent="0.25">
      <c r="S14183" s="78">
        <v>41570</v>
      </c>
      <c r="T14183" s="29">
        <v>0.5</v>
      </c>
    </row>
    <row r="14184" spans="19:20" x14ac:dyDescent="0.25">
      <c r="S14184" s="78">
        <v>41571</v>
      </c>
      <c r="T14184" s="29">
        <v>0.5</v>
      </c>
    </row>
    <row r="14185" spans="19:20" x14ac:dyDescent="0.25">
      <c r="S14185" s="78">
        <v>41572</v>
      </c>
      <c r="T14185" s="29">
        <v>0.5</v>
      </c>
    </row>
    <row r="14186" spans="19:20" x14ac:dyDescent="0.25">
      <c r="S14186" s="78">
        <v>41573</v>
      </c>
      <c r="T14186" s="29">
        <v>0.5</v>
      </c>
    </row>
    <row r="14187" spans="19:20" x14ac:dyDescent="0.25">
      <c r="S14187" s="78">
        <v>41574</v>
      </c>
      <c r="T14187" s="29">
        <v>0.5</v>
      </c>
    </row>
    <row r="14188" spans="19:20" x14ac:dyDescent="0.25">
      <c r="S14188" s="78">
        <v>41575</v>
      </c>
      <c r="T14188" s="29">
        <v>0.5</v>
      </c>
    </row>
    <row r="14189" spans="19:20" x14ac:dyDescent="0.25">
      <c r="S14189" s="78">
        <v>41576</v>
      </c>
      <c r="T14189" s="29">
        <v>0.5</v>
      </c>
    </row>
    <row r="14190" spans="19:20" x14ac:dyDescent="0.25">
      <c r="S14190" s="78">
        <v>41577</v>
      </c>
      <c r="T14190" s="29">
        <v>0.5</v>
      </c>
    </row>
    <row r="14191" spans="19:20" x14ac:dyDescent="0.25">
      <c r="S14191" s="78">
        <v>41578</v>
      </c>
      <c r="T14191" s="29">
        <v>0.5</v>
      </c>
    </row>
    <row r="14192" spans="19:20" x14ac:dyDescent="0.25">
      <c r="S14192" s="78">
        <v>41579</v>
      </c>
      <c r="T14192" s="29">
        <v>0.5</v>
      </c>
    </row>
    <row r="14193" spans="19:20" x14ac:dyDescent="0.25">
      <c r="S14193" s="78">
        <v>41580</v>
      </c>
      <c r="T14193" s="29">
        <v>0.5</v>
      </c>
    </row>
    <row r="14194" spans="19:20" x14ac:dyDescent="0.25">
      <c r="S14194" s="78">
        <v>41581</v>
      </c>
      <c r="T14194" s="29">
        <v>0.5</v>
      </c>
    </row>
    <row r="14195" spans="19:20" x14ac:dyDescent="0.25">
      <c r="S14195" s="78">
        <v>41582</v>
      </c>
      <c r="T14195" s="29">
        <v>0.5</v>
      </c>
    </row>
    <row r="14196" spans="19:20" x14ac:dyDescent="0.25">
      <c r="S14196" s="78">
        <v>41583</v>
      </c>
      <c r="T14196" s="29">
        <v>0.5</v>
      </c>
    </row>
    <row r="14197" spans="19:20" x14ac:dyDescent="0.25">
      <c r="S14197" s="78">
        <v>41584</v>
      </c>
      <c r="T14197" s="29">
        <v>0.5</v>
      </c>
    </row>
    <row r="14198" spans="19:20" x14ac:dyDescent="0.25">
      <c r="S14198" s="78">
        <v>41585</v>
      </c>
      <c r="T14198" s="29">
        <v>0.5</v>
      </c>
    </row>
    <row r="14199" spans="19:20" x14ac:dyDescent="0.25">
      <c r="S14199" s="78">
        <v>41586</v>
      </c>
      <c r="T14199" s="29">
        <v>0.5</v>
      </c>
    </row>
    <row r="14200" spans="19:20" x14ac:dyDescent="0.25">
      <c r="S14200" s="78">
        <v>41587</v>
      </c>
      <c r="T14200" s="29">
        <v>0.5</v>
      </c>
    </row>
    <row r="14201" spans="19:20" x14ac:dyDescent="0.25">
      <c r="S14201" s="78">
        <v>41588</v>
      </c>
      <c r="T14201" s="29">
        <v>0.5</v>
      </c>
    </row>
    <row r="14202" spans="19:20" x14ac:dyDescent="0.25">
      <c r="S14202" s="78">
        <v>41589</v>
      </c>
      <c r="T14202" s="29">
        <v>0.5</v>
      </c>
    </row>
    <row r="14203" spans="19:20" x14ac:dyDescent="0.25">
      <c r="S14203" s="78">
        <v>41590</v>
      </c>
      <c r="T14203" s="29">
        <v>0.5</v>
      </c>
    </row>
    <row r="14204" spans="19:20" x14ac:dyDescent="0.25">
      <c r="S14204" s="78">
        <v>41591</v>
      </c>
      <c r="T14204" s="29">
        <v>0.5</v>
      </c>
    </row>
    <row r="14205" spans="19:20" x14ac:dyDescent="0.25">
      <c r="S14205" s="78">
        <v>41592</v>
      </c>
      <c r="T14205" s="29">
        <v>0.5</v>
      </c>
    </row>
    <row r="14206" spans="19:20" x14ac:dyDescent="0.25">
      <c r="S14206" s="78">
        <v>41593</v>
      </c>
      <c r="T14206" s="29">
        <v>0.5</v>
      </c>
    </row>
    <row r="14207" spans="19:20" x14ac:dyDescent="0.25">
      <c r="S14207" s="78">
        <v>41594</v>
      </c>
      <c r="T14207" s="29">
        <v>0.5</v>
      </c>
    </row>
    <row r="14208" spans="19:20" x14ac:dyDescent="0.25">
      <c r="S14208" s="78">
        <v>41595</v>
      </c>
      <c r="T14208" s="29">
        <v>0.5</v>
      </c>
    </row>
    <row r="14209" spans="19:20" x14ac:dyDescent="0.25">
      <c r="S14209" s="78">
        <v>41596</v>
      </c>
      <c r="T14209" s="29">
        <v>0.5</v>
      </c>
    </row>
    <row r="14210" spans="19:20" x14ac:dyDescent="0.25">
      <c r="S14210" s="78">
        <v>41597</v>
      </c>
      <c r="T14210" s="29">
        <v>0.5</v>
      </c>
    </row>
    <row r="14211" spans="19:20" x14ac:dyDescent="0.25">
      <c r="S14211" s="78">
        <v>41598</v>
      </c>
      <c r="T14211" s="29">
        <v>0.5</v>
      </c>
    </row>
    <row r="14212" spans="19:20" x14ac:dyDescent="0.25">
      <c r="S14212" s="78">
        <v>41599</v>
      </c>
      <c r="T14212" s="29">
        <v>0.5</v>
      </c>
    </row>
    <row r="14213" spans="19:20" x14ac:dyDescent="0.25">
      <c r="S14213" s="78">
        <v>41600</v>
      </c>
      <c r="T14213" s="29">
        <v>0.5</v>
      </c>
    </row>
    <row r="14214" spans="19:20" x14ac:dyDescent="0.25">
      <c r="S14214" s="78">
        <v>41601</v>
      </c>
      <c r="T14214" s="29">
        <v>0.5</v>
      </c>
    </row>
    <row r="14215" spans="19:20" x14ac:dyDescent="0.25">
      <c r="S14215" s="78">
        <v>41602</v>
      </c>
      <c r="T14215" s="29">
        <v>0.5</v>
      </c>
    </row>
    <row r="14216" spans="19:20" x14ac:dyDescent="0.25">
      <c r="S14216" s="78">
        <v>41603</v>
      </c>
      <c r="T14216" s="29">
        <v>0.5</v>
      </c>
    </row>
    <row r="14217" spans="19:20" x14ac:dyDescent="0.25">
      <c r="S14217" s="78">
        <v>41604</v>
      </c>
      <c r="T14217" s="29">
        <v>0.5</v>
      </c>
    </row>
    <row r="14218" spans="19:20" x14ac:dyDescent="0.25">
      <c r="S14218" s="78">
        <v>41605</v>
      </c>
      <c r="T14218" s="29">
        <v>0.5</v>
      </c>
    </row>
    <row r="14219" spans="19:20" x14ac:dyDescent="0.25">
      <c r="S14219" s="78">
        <v>41606</v>
      </c>
      <c r="T14219" s="29">
        <v>0.5</v>
      </c>
    </row>
    <row r="14220" spans="19:20" x14ac:dyDescent="0.25">
      <c r="S14220" s="78">
        <v>41607</v>
      </c>
      <c r="T14220" s="29">
        <v>0.5</v>
      </c>
    </row>
    <row r="14221" spans="19:20" x14ac:dyDescent="0.25">
      <c r="S14221" s="78">
        <v>41608</v>
      </c>
      <c r="T14221" s="29">
        <v>0.5</v>
      </c>
    </row>
    <row r="14222" spans="19:20" x14ac:dyDescent="0.25">
      <c r="S14222" s="78">
        <v>41609</v>
      </c>
      <c r="T14222" s="29">
        <v>0.5</v>
      </c>
    </row>
    <row r="14223" spans="19:20" x14ac:dyDescent="0.25">
      <c r="S14223" s="78">
        <v>41610</v>
      </c>
      <c r="T14223" s="29">
        <v>0.5</v>
      </c>
    </row>
    <row r="14224" spans="19:20" x14ac:dyDescent="0.25">
      <c r="S14224" s="78">
        <v>41611</v>
      </c>
      <c r="T14224" s="29">
        <v>0.5</v>
      </c>
    </row>
    <row r="14225" spans="19:20" x14ac:dyDescent="0.25">
      <c r="S14225" s="78">
        <v>41612</v>
      </c>
      <c r="T14225" s="29">
        <v>0.5</v>
      </c>
    </row>
    <row r="14226" spans="19:20" x14ac:dyDescent="0.25">
      <c r="S14226" s="78">
        <v>41613</v>
      </c>
      <c r="T14226" s="29">
        <v>0.5</v>
      </c>
    </row>
    <row r="14227" spans="19:20" x14ac:dyDescent="0.25">
      <c r="S14227" s="78">
        <v>41614</v>
      </c>
      <c r="T14227" s="29">
        <v>0.5</v>
      </c>
    </row>
    <row r="14228" spans="19:20" x14ac:dyDescent="0.25">
      <c r="S14228" s="78">
        <v>41615</v>
      </c>
      <c r="T14228" s="29">
        <v>0.5</v>
      </c>
    </row>
    <row r="14229" spans="19:20" x14ac:dyDescent="0.25">
      <c r="S14229" s="78">
        <v>41616</v>
      </c>
      <c r="T14229" s="29">
        <v>0.5</v>
      </c>
    </row>
    <row r="14230" spans="19:20" x14ac:dyDescent="0.25">
      <c r="S14230" s="78">
        <v>41617</v>
      </c>
      <c r="T14230" s="29">
        <v>0.5</v>
      </c>
    </row>
    <row r="14231" spans="19:20" x14ac:dyDescent="0.25">
      <c r="S14231" s="78">
        <v>41618</v>
      </c>
      <c r="T14231" s="29">
        <v>0.5</v>
      </c>
    </row>
    <row r="14232" spans="19:20" x14ac:dyDescent="0.25">
      <c r="S14232" s="78">
        <v>41619</v>
      </c>
      <c r="T14232" s="29">
        <v>0.5</v>
      </c>
    </row>
    <row r="14233" spans="19:20" x14ac:dyDescent="0.25">
      <c r="S14233" s="78">
        <v>41620</v>
      </c>
      <c r="T14233" s="29">
        <v>0.5</v>
      </c>
    </row>
    <row r="14234" spans="19:20" x14ac:dyDescent="0.25">
      <c r="S14234" s="78">
        <v>41621</v>
      </c>
      <c r="T14234" s="29">
        <v>0.5</v>
      </c>
    </row>
    <row r="14235" spans="19:20" x14ac:dyDescent="0.25">
      <c r="S14235" s="78">
        <v>41622</v>
      </c>
      <c r="T14235" s="29">
        <v>0.5</v>
      </c>
    </row>
    <row r="14236" spans="19:20" x14ac:dyDescent="0.25">
      <c r="S14236" s="78">
        <v>41623</v>
      </c>
      <c r="T14236" s="29">
        <v>0.5</v>
      </c>
    </row>
    <row r="14237" spans="19:20" x14ac:dyDescent="0.25">
      <c r="S14237" s="78">
        <v>41624</v>
      </c>
      <c r="T14237" s="29">
        <v>0.5</v>
      </c>
    </row>
    <row r="14238" spans="19:20" x14ac:dyDescent="0.25">
      <c r="S14238" s="78">
        <v>41625</v>
      </c>
      <c r="T14238" s="29">
        <v>0.5</v>
      </c>
    </row>
    <row r="14239" spans="19:20" x14ac:dyDescent="0.25">
      <c r="S14239" s="78">
        <v>41626</v>
      </c>
      <c r="T14239" s="29">
        <v>0.5</v>
      </c>
    </row>
    <row r="14240" spans="19:20" x14ac:dyDescent="0.25">
      <c r="S14240" s="78">
        <v>41627</v>
      </c>
      <c r="T14240" s="29">
        <v>0.5</v>
      </c>
    </row>
    <row r="14241" spans="19:21" x14ac:dyDescent="0.25">
      <c r="S14241" s="78">
        <v>41628</v>
      </c>
      <c r="T14241" s="29">
        <v>0.5</v>
      </c>
    </row>
    <row r="14242" spans="19:21" x14ac:dyDescent="0.25">
      <c r="S14242" s="78">
        <v>41629</v>
      </c>
      <c r="T14242" s="29">
        <v>0.5</v>
      </c>
    </row>
    <row r="14243" spans="19:21" x14ac:dyDescent="0.25">
      <c r="S14243" s="78">
        <v>41630</v>
      </c>
      <c r="T14243" s="29">
        <v>0.5</v>
      </c>
    </row>
    <row r="14244" spans="19:21" x14ac:dyDescent="0.25">
      <c r="S14244" s="78">
        <v>41631</v>
      </c>
      <c r="T14244" s="29">
        <v>0.5</v>
      </c>
    </row>
    <row r="14245" spans="19:21" x14ac:dyDescent="0.25">
      <c r="S14245" s="78">
        <v>41632</v>
      </c>
      <c r="T14245" s="29">
        <v>0.5</v>
      </c>
    </row>
    <row r="14246" spans="19:21" x14ac:dyDescent="0.25">
      <c r="S14246" s="78">
        <v>41633</v>
      </c>
      <c r="T14246" s="29">
        <v>0.5</v>
      </c>
    </row>
    <row r="14247" spans="19:21" x14ac:dyDescent="0.25">
      <c r="S14247" s="78">
        <v>41634</v>
      </c>
      <c r="T14247" s="29">
        <v>0.5</v>
      </c>
    </row>
    <row r="14248" spans="19:21" x14ac:dyDescent="0.25">
      <c r="S14248" s="78">
        <v>41635</v>
      </c>
      <c r="T14248" s="29">
        <v>0.5</v>
      </c>
    </row>
    <row r="14249" spans="19:21" x14ac:dyDescent="0.25">
      <c r="S14249" s="78">
        <v>41636</v>
      </c>
      <c r="T14249" s="29">
        <v>0.5</v>
      </c>
    </row>
    <row r="14250" spans="19:21" x14ac:dyDescent="0.25">
      <c r="S14250" s="78">
        <v>41637</v>
      </c>
      <c r="T14250" s="29">
        <v>0.5</v>
      </c>
    </row>
    <row r="14251" spans="19:21" x14ac:dyDescent="0.25">
      <c r="S14251" s="78">
        <v>41638</v>
      </c>
      <c r="T14251" s="29">
        <v>0.5</v>
      </c>
    </row>
    <row r="14252" spans="19:21" x14ac:dyDescent="0.25">
      <c r="S14252" s="78">
        <v>41639</v>
      </c>
      <c r="T14252" s="29">
        <v>0.5</v>
      </c>
      <c r="U14252" s="40">
        <f>AVERAGE(T14161:T14252)</f>
        <v>0.5</v>
      </c>
    </row>
    <row r="14253" spans="19:21" x14ac:dyDescent="0.25">
      <c r="S14253" s="78">
        <v>41640</v>
      </c>
      <c r="T14253" s="29">
        <v>0.5</v>
      </c>
    </row>
    <row r="14254" spans="19:21" x14ac:dyDescent="0.25">
      <c r="S14254" s="78">
        <v>41641</v>
      </c>
      <c r="T14254" s="29">
        <v>0.5</v>
      </c>
    </row>
    <row r="14255" spans="19:21" x14ac:dyDescent="0.25">
      <c r="S14255" s="78">
        <v>41642</v>
      </c>
      <c r="T14255" s="29">
        <v>0.5</v>
      </c>
    </row>
    <row r="14256" spans="19:21" x14ac:dyDescent="0.25">
      <c r="S14256" s="78">
        <v>41643</v>
      </c>
      <c r="T14256" s="29">
        <v>0.5</v>
      </c>
    </row>
    <row r="14257" spans="19:20" x14ac:dyDescent="0.25">
      <c r="S14257" s="78">
        <v>41644</v>
      </c>
      <c r="T14257" s="29">
        <v>0.5</v>
      </c>
    </row>
    <row r="14258" spans="19:20" x14ac:dyDescent="0.25">
      <c r="S14258" s="78">
        <v>41645</v>
      </c>
      <c r="T14258" s="29">
        <v>0.5</v>
      </c>
    </row>
    <row r="14259" spans="19:20" x14ac:dyDescent="0.25">
      <c r="S14259" s="78">
        <v>41646</v>
      </c>
      <c r="T14259" s="29">
        <v>0.5</v>
      </c>
    </row>
    <row r="14260" spans="19:20" x14ac:dyDescent="0.25">
      <c r="S14260" s="78">
        <v>41647</v>
      </c>
      <c r="T14260" s="29">
        <v>0.5</v>
      </c>
    </row>
    <row r="14261" spans="19:20" x14ac:dyDescent="0.25">
      <c r="S14261" s="78">
        <v>41648</v>
      </c>
      <c r="T14261" s="29">
        <v>0.5</v>
      </c>
    </row>
    <row r="14262" spans="19:20" x14ac:dyDescent="0.25">
      <c r="S14262" s="78">
        <v>41649</v>
      </c>
      <c r="T14262" s="29">
        <v>0.5</v>
      </c>
    </row>
    <row r="14263" spans="19:20" x14ac:dyDescent="0.25">
      <c r="S14263" s="78">
        <v>41650</v>
      </c>
      <c r="T14263" s="29">
        <v>0.5</v>
      </c>
    </row>
    <row r="14264" spans="19:20" x14ac:dyDescent="0.25">
      <c r="S14264" s="78">
        <v>41651</v>
      </c>
      <c r="T14264" s="29">
        <v>0.5</v>
      </c>
    </row>
    <row r="14265" spans="19:20" x14ac:dyDescent="0.25">
      <c r="S14265" s="78">
        <v>41652</v>
      </c>
      <c r="T14265" s="29">
        <v>0.5</v>
      </c>
    </row>
    <row r="14266" spans="19:20" x14ac:dyDescent="0.25">
      <c r="S14266" s="78">
        <v>41653</v>
      </c>
      <c r="T14266" s="29">
        <v>0.5</v>
      </c>
    </row>
    <row r="14267" spans="19:20" x14ac:dyDescent="0.25">
      <c r="S14267" s="78">
        <v>41654</v>
      </c>
      <c r="T14267" s="29">
        <v>0.5</v>
      </c>
    </row>
    <row r="14268" spans="19:20" x14ac:dyDescent="0.25">
      <c r="S14268" s="78">
        <v>41655</v>
      </c>
      <c r="T14268" s="29">
        <v>0.5</v>
      </c>
    </row>
    <row r="14269" spans="19:20" x14ac:dyDescent="0.25">
      <c r="S14269" s="78">
        <v>41656</v>
      </c>
      <c r="T14269" s="29">
        <v>0.5</v>
      </c>
    </row>
    <row r="14270" spans="19:20" x14ac:dyDescent="0.25">
      <c r="S14270" s="78">
        <v>41657</v>
      </c>
      <c r="T14270" s="29">
        <v>0.5</v>
      </c>
    </row>
    <row r="14271" spans="19:20" x14ac:dyDescent="0.25">
      <c r="S14271" s="78">
        <v>41658</v>
      </c>
      <c r="T14271" s="29">
        <v>0.5</v>
      </c>
    </row>
    <row r="14272" spans="19:20" x14ac:dyDescent="0.25">
      <c r="S14272" s="78">
        <v>41659</v>
      </c>
      <c r="T14272" s="29">
        <v>0.5</v>
      </c>
    </row>
    <row r="14273" spans="19:20" x14ac:dyDescent="0.25">
      <c r="S14273" s="78">
        <v>41660</v>
      </c>
      <c r="T14273" s="29">
        <v>0.5</v>
      </c>
    </row>
    <row r="14274" spans="19:20" x14ac:dyDescent="0.25">
      <c r="S14274" s="78">
        <v>41661</v>
      </c>
      <c r="T14274" s="29">
        <v>0.5</v>
      </c>
    </row>
    <row r="14275" spans="19:20" x14ac:dyDescent="0.25">
      <c r="S14275" s="78">
        <v>41662</v>
      </c>
      <c r="T14275" s="29">
        <v>0.5</v>
      </c>
    </row>
    <row r="14276" spans="19:20" x14ac:dyDescent="0.25">
      <c r="S14276" s="78">
        <v>41663</v>
      </c>
      <c r="T14276" s="29">
        <v>0.5</v>
      </c>
    </row>
    <row r="14277" spans="19:20" x14ac:dyDescent="0.25">
      <c r="S14277" s="78">
        <v>41664</v>
      </c>
      <c r="T14277" s="29">
        <v>0.5</v>
      </c>
    </row>
    <row r="14278" spans="19:20" x14ac:dyDescent="0.25">
      <c r="S14278" s="78">
        <v>41665</v>
      </c>
      <c r="T14278" s="29">
        <v>0.5</v>
      </c>
    </row>
    <row r="14279" spans="19:20" x14ac:dyDescent="0.25">
      <c r="S14279" s="78">
        <v>41666</v>
      </c>
      <c r="T14279" s="29">
        <v>0.5</v>
      </c>
    </row>
    <row r="14280" spans="19:20" x14ac:dyDescent="0.25">
      <c r="S14280" s="78">
        <v>41667</v>
      </c>
      <c r="T14280" s="29">
        <v>0.5</v>
      </c>
    </row>
    <row r="14281" spans="19:20" x14ac:dyDescent="0.25">
      <c r="S14281" s="78">
        <v>41668</v>
      </c>
      <c r="T14281" s="29">
        <v>0.5</v>
      </c>
    </row>
    <row r="14282" spans="19:20" x14ac:dyDescent="0.25">
      <c r="S14282" s="78">
        <v>41669</v>
      </c>
      <c r="T14282" s="29">
        <v>0.5</v>
      </c>
    </row>
    <row r="14283" spans="19:20" x14ac:dyDescent="0.25">
      <c r="S14283" s="78">
        <v>41670</v>
      </c>
      <c r="T14283" s="29">
        <v>0.5</v>
      </c>
    </row>
    <row r="14284" spans="19:20" x14ac:dyDescent="0.25">
      <c r="S14284" s="78">
        <v>41671</v>
      </c>
      <c r="T14284" s="29">
        <v>0.5</v>
      </c>
    </row>
    <row r="14285" spans="19:20" x14ac:dyDescent="0.25">
      <c r="S14285" s="78">
        <v>41672</v>
      </c>
      <c r="T14285" s="29">
        <v>0.5</v>
      </c>
    </row>
    <row r="14286" spans="19:20" x14ac:dyDescent="0.25">
      <c r="S14286" s="78">
        <v>41673</v>
      </c>
      <c r="T14286" s="29">
        <v>0.5</v>
      </c>
    </row>
    <row r="14287" spans="19:20" x14ac:dyDescent="0.25">
      <c r="S14287" s="78">
        <v>41674</v>
      </c>
      <c r="T14287" s="29">
        <v>0.5</v>
      </c>
    </row>
    <row r="14288" spans="19:20" x14ac:dyDescent="0.25">
      <c r="S14288" s="78">
        <v>41675</v>
      </c>
      <c r="T14288" s="29">
        <v>0.5</v>
      </c>
    </row>
    <row r="14289" spans="19:20" x14ac:dyDescent="0.25">
      <c r="S14289" s="78">
        <v>41676</v>
      </c>
      <c r="T14289" s="29">
        <v>0.5</v>
      </c>
    </row>
    <row r="14290" spans="19:20" x14ac:dyDescent="0.25">
      <c r="S14290" s="78">
        <v>41677</v>
      </c>
      <c r="T14290" s="29">
        <v>0.5</v>
      </c>
    </row>
    <row r="14291" spans="19:20" x14ac:dyDescent="0.25">
      <c r="S14291" s="78">
        <v>41678</v>
      </c>
      <c r="T14291" s="29">
        <v>0.5</v>
      </c>
    </row>
    <row r="14292" spans="19:20" x14ac:dyDescent="0.25">
      <c r="S14292" s="78">
        <v>41679</v>
      </c>
      <c r="T14292" s="29">
        <v>0.5</v>
      </c>
    </row>
    <row r="14293" spans="19:20" x14ac:dyDescent="0.25">
      <c r="S14293" s="78">
        <v>41680</v>
      </c>
      <c r="T14293" s="29">
        <v>0.5</v>
      </c>
    </row>
    <row r="14294" spans="19:20" x14ac:dyDescent="0.25">
      <c r="S14294" s="78">
        <v>41681</v>
      </c>
      <c r="T14294" s="29">
        <v>0.5</v>
      </c>
    </row>
    <row r="14295" spans="19:20" x14ac:dyDescent="0.25">
      <c r="S14295" s="78">
        <v>41682</v>
      </c>
      <c r="T14295" s="29">
        <v>0.5</v>
      </c>
    </row>
    <row r="14296" spans="19:20" x14ac:dyDescent="0.25">
      <c r="S14296" s="78">
        <v>41683</v>
      </c>
      <c r="T14296" s="29">
        <v>0.5</v>
      </c>
    </row>
    <row r="14297" spans="19:20" x14ac:dyDescent="0.25">
      <c r="S14297" s="78">
        <v>41684</v>
      </c>
      <c r="T14297" s="29">
        <v>0.5</v>
      </c>
    </row>
    <row r="14298" spans="19:20" x14ac:dyDescent="0.25">
      <c r="S14298" s="78">
        <v>41685</v>
      </c>
      <c r="T14298" s="29">
        <v>0.5</v>
      </c>
    </row>
    <row r="14299" spans="19:20" x14ac:dyDescent="0.25">
      <c r="S14299" s="78">
        <v>41686</v>
      </c>
      <c r="T14299" s="29">
        <v>0.5</v>
      </c>
    </row>
    <row r="14300" spans="19:20" x14ac:dyDescent="0.25">
      <c r="S14300" s="78">
        <v>41687</v>
      </c>
      <c r="T14300" s="29">
        <v>0.5</v>
      </c>
    </row>
    <row r="14301" spans="19:20" x14ac:dyDescent="0.25">
      <c r="S14301" s="78">
        <v>41688</v>
      </c>
      <c r="T14301" s="29">
        <v>0.5</v>
      </c>
    </row>
    <row r="14302" spans="19:20" x14ac:dyDescent="0.25">
      <c r="S14302" s="78">
        <v>41689</v>
      </c>
      <c r="T14302" s="29">
        <v>0.5</v>
      </c>
    </row>
    <row r="14303" spans="19:20" x14ac:dyDescent="0.25">
      <c r="S14303" s="78">
        <v>41690</v>
      </c>
      <c r="T14303" s="29">
        <v>0.5</v>
      </c>
    </row>
    <row r="14304" spans="19:20" x14ac:dyDescent="0.25">
      <c r="S14304" s="78">
        <v>41691</v>
      </c>
      <c r="T14304" s="29">
        <v>0.5</v>
      </c>
    </row>
    <row r="14305" spans="19:20" x14ac:dyDescent="0.25">
      <c r="S14305" s="78">
        <v>41692</v>
      </c>
      <c r="T14305" s="29">
        <v>0.5</v>
      </c>
    </row>
    <row r="14306" spans="19:20" x14ac:dyDescent="0.25">
      <c r="S14306" s="78">
        <v>41693</v>
      </c>
      <c r="T14306" s="29">
        <v>0.5</v>
      </c>
    </row>
    <row r="14307" spans="19:20" x14ac:dyDescent="0.25">
      <c r="S14307" s="78">
        <v>41694</v>
      </c>
      <c r="T14307" s="29">
        <v>0.5</v>
      </c>
    </row>
    <row r="14308" spans="19:20" x14ac:dyDescent="0.25">
      <c r="S14308" s="78">
        <v>41695</v>
      </c>
      <c r="T14308" s="29">
        <v>0.5</v>
      </c>
    </row>
    <row r="14309" spans="19:20" x14ac:dyDescent="0.25">
      <c r="S14309" s="78">
        <v>41696</v>
      </c>
      <c r="T14309" s="29">
        <v>0.5</v>
      </c>
    </row>
    <row r="14310" spans="19:20" x14ac:dyDescent="0.25">
      <c r="S14310" s="78">
        <v>41697</v>
      </c>
      <c r="T14310" s="29">
        <v>0.5</v>
      </c>
    </row>
    <row r="14311" spans="19:20" x14ac:dyDescent="0.25">
      <c r="S14311" s="78">
        <v>41698</v>
      </c>
      <c r="T14311" s="29">
        <v>0.5</v>
      </c>
    </row>
    <row r="14312" spans="19:20" x14ac:dyDescent="0.25">
      <c r="S14312" s="78">
        <v>41699</v>
      </c>
      <c r="T14312" s="29">
        <v>0.5</v>
      </c>
    </row>
    <row r="14313" spans="19:20" x14ac:dyDescent="0.25">
      <c r="S14313" s="78">
        <v>41700</v>
      </c>
      <c r="T14313" s="29">
        <v>0.5</v>
      </c>
    </row>
    <row r="14314" spans="19:20" x14ac:dyDescent="0.25">
      <c r="S14314" s="78">
        <v>41701</v>
      </c>
      <c r="T14314" s="29">
        <v>0.5</v>
      </c>
    </row>
    <row r="14315" spans="19:20" x14ac:dyDescent="0.25">
      <c r="S14315" s="78">
        <v>41702</v>
      </c>
      <c r="T14315" s="29">
        <v>0.5</v>
      </c>
    </row>
    <row r="14316" spans="19:20" x14ac:dyDescent="0.25">
      <c r="S14316" s="78">
        <v>41703</v>
      </c>
      <c r="T14316" s="29">
        <v>0.5</v>
      </c>
    </row>
    <row r="14317" spans="19:20" x14ac:dyDescent="0.25">
      <c r="S14317" s="78">
        <v>41704</v>
      </c>
      <c r="T14317" s="29">
        <v>0.5</v>
      </c>
    </row>
    <row r="14318" spans="19:20" x14ac:dyDescent="0.25">
      <c r="S14318" s="78">
        <v>41705</v>
      </c>
      <c r="T14318" s="29">
        <v>0.5</v>
      </c>
    </row>
    <row r="14319" spans="19:20" x14ac:dyDescent="0.25">
      <c r="S14319" s="78">
        <v>41706</v>
      </c>
      <c r="T14319" s="29">
        <v>0.5</v>
      </c>
    </row>
    <row r="14320" spans="19:20" x14ac:dyDescent="0.25">
      <c r="S14320" s="78">
        <v>41707</v>
      </c>
      <c r="T14320" s="29">
        <v>0.5</v>
      </c>
    </row>
    <row r="14321" spans="19:20" x14ac:dyDescent="0.25">
      <c r="S14321" s="78">
        <v>41708</v>
      </c>
      <c r="T14321" s="29">
        <v>0.5</v>
      </c>
    </row>
    <row r="14322" spans="19:20" x14ac:dyDescent="0.25">
      <c r="S14322" s="78">
        <v>41709</v>
      </c>
      <c r="T14322" s="29">
        <v>0.5</v>
      </c>
    </row>
    <row r="14323" spans="19:20" x14ac:dyDescent="0.25">
      <c r="S14323" s="78">
        <v>41710</v>
      </c>
      <c r="T14323" s="29">
        <v>0.5</v>
      </c>
    </row>
    <row r="14324" spans="19:20" x14ac:dyDescent="0.25">
      <c r="S14324" s="78">
        <v>41711</v>
      </c>
      <c r="T14324" s="29">
        <v>0.5</v>
      </c>
    </row>
    <row r="14325" spans="19:20" x14ac:dyDescent="0.25">
      <c r="S14325" s="78">
        <v>41712</v>
      </c>
      <c r="T14325" s="29">
        <v>0.5</v>
      </c>
    </row>
    <row r="14326" spans="19:20" x14ac:dyDescent="0.25">
      <c r="S14326" s="78">
        <v>41713</v>
      </c>
      <c r="T14326" s="29">
        <v>0.5</v>
      </c>
    </row>
    <row r="14327" spans="19:20" x14ac:dyDescent="0.25">
      <c r="S14327" s="78">
        <v>41714</v>
      </c>
      <c r="T14327" s="29">
        <v>0.5</v>
      </c>
    </row>
    <row r="14328" spans="19:20" x14ac:dyDescent="0.25">
      <c r="S14328" s="78">
        <v>41715</v>
      </c>
      <c r="T14328" s="29">
        <v>0.5</v>
      </c>
    </row>
    <row r="14329" spans="19:20" x14ac:dyDescent="0.25">
      <c r="S14329" s="78">
        <v>41716</v>
      </c>
      <c r="T14329" s="29">
        <v>0.5</v>
      </c>
    </row>
    <row r="14330" spans="19:20" x14ac:dyDescent="0.25">
      <c r="S14330" s="78">
        <v>41717</v>
      </c>
      <c r="T14330" s="29">
        <v>0.5</v>
      </c>
    </row>
    <row r="14331" spans="19:20" x14ac:dyDescent="0.25">
      <c r="S14331" s="78">
        <v>41718</v>
      </c>
      <c r="T14331" s="29">
        <v>0.5</v>
      </c>
    </row>
    <row r="14332" spans="19:20" x14ac:dyDescent="0.25">
      <c r="S14332" s="78">
        <v>41719</v>
      </c>
      <c r="T14332" s="29">
        <v>0.5</v>
      </c>
    </row>
    <row r="14333" spans="19:20" x14ac:dyDescent="0.25">
      <c r="S14333" s="78">
        <v>41720</v>
      </c>
      <c r="T14333" s="29">
        <v>0.5</v>
      </c>
    </row>
    <row r="14334" spans="19:20" x14ac:dyDescent="0.25">
      <c r="S14334" s="78">
        <v>41721</v>
      </c>
      <c r="T14334" s="29">
        <v>0.5</v>
      </c>
    </row>
    <row r="14335" spans="19:20" x14ac:dyDescent="0.25">
      <c r="S14335" s="78">
        <v>41722</v>
      </c>
      <c r="T14335" s="29">
        <v>0.5</v>
      </c>
    </row>
    <row r="14336" spans="19:20" x14ac:dyDescent="0.25">
      <c r="S14336" s="78">
        <v>41723</v>
      </c>
      <c r="T14336" s="29">
        <v>0.5</v>
      </c>
    </row>
    <row r="14337" spans="19:21" x14ac:dyDescent="0.25">
      <c r="S14337" s="78">
        <v>41724</v>
      </c>
      <c r="T14337" s="29">
        <v>0.5</v>
      </c>
    </row>
    <row r="14338" spans="19:21" x14ac:dyDescent="0.25">
      <c r="S14338" s="78">
        <v>41725</v>
      </c>
      <c r="T14338" s="29">
        <v>0.5</v>
      </c>
    </row>
    <row r="14339" spans="19:21" x14ac:dyDescent="0.25">
      <c r="S14339" s="78">
        <v>41726</v>
      </c>
      <c r="T14339" s="29">
        <v>0.5</v>
      </c>
    </row>
    <row r="14340" spans="19:21" x14ac:dyDescent="0.25">
      <c r="S14340" s="78">
        <v>41727</v>
      </c>
      <c r="T14340" s="29">
        <v>0.5</v>
      </c>
    </row>
    <row r="14341" spans="19:21" x14ac:dyDescent="0.25">
      <c r="S14341" s="78">
        <v>41728</v>
      </c>
      <c r="T14341" s="29">
        <v>0.5</v>
      </c>
    </row>
    <row r="14342" spans="19:21" x14ac:dyDescent="0.25">
      <c r="S14342" s="78">
        <v>41729</v>
      </c>
      <c r="T14342" s="29">
        <v>0.5</v>
      </c>
      <c r="U14342" s="39">
        <f>AVERAGE(T14253:T14342)</f>
        <v>0.5</v>
      </c>
    </row>
    <row r="14343" spans="19:21" x14ac:dyDescent="0.25">
      <c r="S14343" s="78">
        <v>41730</v>
      </c>
      <c r="T14343" s="29">
        <v>0.5</v>
      </c>
    </row>
    <row r="14344" spans="19:21" x14ac:dyDescent="0.25">
      <c r="S14344" s="78">
        <v>41731</v>
      </c>
      <c r="T14344" s="29">
        <v>0.5</v>
      </c>
    </row>
    <row r="14345" spans="19:21" x14ac:dyDescent="0.25">
      <c r="S14345" s="78">
        <v>41732</v>
      </c>
      <c r="T14345" s="29">
        <v>0.5</v>
      </c>
    </row>
    <row r="14346" spans="19:21" x14ac:dyDescent="0.25">
      <c r="S14346" s="78">
        <v>41733</v>
      </c>
      <c r="T14346" s="29">
        <v>0.5</v>
      </c>
    </row>
    <row r="14347" spans="19:21" x14ac:dyDescent="0.25">
      <c r="S14347" s="78">
        <v>41734</v>
      </c>
      <c r="T14347" s="29">
        <v>0.5</v>
      </c>
    </row>
    <row r="14348" spans="19:21" x14ac:dyDescent="0.25">
      <c r="S14348" s="78">
        <v>41735</v>
      </c>
      <c r="T14348" s="29">
        <v>0.5</v>
      </c>
    </row>
    <row r="14349" spans="19:21" x14ac:dyDescent="0.25">
      <c r="S14349" s="78">
        <v>41736</v>
      </c>
      <c r="T14349" s="29">
        <v>0.5</v>
      </c>
    </row>
    <row r="14350" spans="19:21" x14ac:dyDescent="0.25">
      <c r="S14350" s="78">
        <v>41737</v>
      </c>
      <c r="T14350" s="29">
        <v>0.5</v>
      </c>
    </row>
    <row r="14351" spans="19:21" x14ac:dyDescent="0.25">
      <c r="S14351" s="78">
        <v>41738</v>
      </c>
      <c r="T14351" s="29">
        <v>0.5</v>
      </c>
    </row>
    <row r="14352" spans="19:21" x14ac:dyDescent="0.25">
      <c r="S14352" s="78">
        <v>41739</v>
      </c>
      <c r="T14352" s="29">
        <v>0.5</v>
      </c>
    </row>
    <row r="14353" spans="19:20" x14ac:dyDescent="0.25">
      <c r="S14353" s="78">
        <v>41740</v>
      </c>
      <c r="T14353" s="29">
        <v>0.5</v>
      </c>
    </row>
    <row r="14354" spans="19:20" x14ac:dyDescent="0.25">
      <c r="S14354" s="78">
        <v>41741</v>
      </c>
      <c r="T14354" s="29">
        <v>0.5</v>
      </c>
    </row>
    <row r="14355" spans="19:20" x14ac:dyDescent="0.25">
      <c r="S14355" s="78">
        <v>41742</v>
      </c>
      <c r="T14355" s="29">
        <v>0.5</v>
      </c>
    </row>
    <row r="14356" spans="19:20" x14ac:dyDescent="0.25">
      <c r="S14356" s="78">
        <v>41743</v>
      </c>
      <c r="T14356" s="29">
        <v>0.5</v>
      </c>
    </row>
    <row r="14357" spans="19:20" x14ac:dyDescent="0.25">
      <c r="S14357" s="78">
        <v>41744</v>
      </c>
      <c r="T14357" s="29">
        <v>0.5</v>
      </c>
    </row>
    <row r="14358" spans="19:20" x14ac:dyDescent="0.25">
      <c r="S14358" s="78">
        <v>41745</v>
      </c>
      <c r="T14358" s="29">
        <v>0.5</v>
      </c>
    </row>
    <row r="14359" spans="19:20" x14ac:dyDescent="0.25">
      <c r="S14359" s="78">
        <v>41746</v>
      </c>
      <c r="T14359" s="29">
        <v>0.5</v>
      </c>
    </row>
    <row r="14360" spans="19:20" x14ac:dyDescent="0.25">
      <c r="S14360" s="78">
        <v>41747</v>
      </c>
      <c r="T14360" s="29">
        <v>0.5</v>
      </c>
    </row>
    <row r="14361" spans="19:20" x14ac:dyDescent="0.25">
      <c r="S14361" s="78">
        <v>41748</v>
      </c>
      <c r="T14361" s="29">
        <v>0.5</v>
      </c>
    </row>
    <row r="14362" spans="19:20" x14ac:dyDescent="0.25">
      <c r="S14362" s="78">
        <v>41749</v>
      </c>
      <c r="T14362" s="29">
        <v>0.5</v>
      </c>
    </row>
    <row r="14363" spans="19:20" x14ac:dyDescent="0.25">
      <c r="S14363" s="78">
        <v>41750</v>
      </c>
      <c r="T14363" s="29">
        <v>0.5</v>
      </c>
    </row>
    <row r="14364" spans="19:20" x14ac:dyDescent="0.25">
      <c r="S14364" s="78">
        <v>41751</v>
      </c>
      <c r="T14364" s="29">
        <v>0.5</v>
      </c>
    </row>
    <row r="14365" spans="19:20" x14ac:dyDescent="0.25">
      <c r="S14365" s="78">
        <v>41752</v>
      </c>
      <c r="T14365" s="29">
        <v>0.5</v>
      </c>
    </row>
    <row r="14366" spans="19:20" x14ac:dyDescent="0.25">
      <c r="S14366" s="78">
        <v>41753</v>
      </c>
      <c r="T14366" s="29">
        <v>0.5</v>
      </c>
    </row>
    <row r="14367" spans="19:20" x14ac:dyDescent="0.25">
      <c r="S14367" s="78">
        <v>41754</v>
      </c>
      <c r="T14367" s="29">
        <v>0.5</v>
      </c>
    </row>
    <row r="14368" spans="19:20" x14ac:dyDescent="0.25">
      <c r="S14368" s="78">
        <v>41755</v>
      </c>
      <c r="T14368" s="29">
        <v>0.5</v>
      </c>
    </row>
    <row r="14369" spans="19:20" x14ac:dyDescent="0.25">
      <c r="S14369" s="78">
        <v>41756</v>
      </c>
      <c r="T14369" s="29">
        <v>0.5</v>
      </c>
    </row>
    <row r="14370" spans="19:20" x14ac:dyDescent="0.25">
      <c r="S14370" s="78">
        <v>41757</v>
      </c>
      <c r="T14370" s="29">
        <v>0.5</v>
      </c>
    </row>
    <row r="14371" spans="19:20" x14ac:dyDescent="0.25">
      <c r="S14371" s="78">
        <v>41758</v>
      </c>
      <c r="T14371" s="29">
        <v>0.5</v>
      </c>
    </row>
    <row r="14372" spans="19:20" x14ac:dyDescent="0.25">
      <c r="S14372" s="78">
        <v>41759</v>
      </c>
      <c r="T14372" s="29">
        <v>0.5</v>
      </c>
    </row>
    <row r="14373" spans="19:20" x14ac:dyDescent="0.25">
      <c r="S14373" s="78">
        <v>41760</v>
      </c>
      <c r="T14373" s="29">
        <v>0.5</v>
      </c>
    </row>
    <row r="14374" spans="19:20" x14ac:dyDescent="0.25">
      <c r="S14374" s="78">
        <v>41761</v>
      </c>
      <c r="T14374" s="29">
        <v>0.5</v>
      </c>
    </row>
    <row r="14375" spans="19:20" x14ac:dyDescent="0.25">
      <c r="S14375" s="78">
        <v>41762</v>
      </c>
      <c r="T14375" s="29">
        <v>0.5</v>
      </c>
    </row>
    <row r="14376" spans="19:20" x14ac:dyDescent="0.25">
      <c r="S14376" s="78">
        <v>41763</v>
      </c>
      <c r="T14376" s="29">
        <v>0.5</v>
      </c>
    </row>
    <row r="14377" spans="19:20" x14ac:dyDescent="0.25">
      <c r="S14377" s="78">
        <v>41764</v>
      </c>
      <c r="T14377" s="29">
        <v>0.5</v>
      </c>
    </row>
    <row r="14378" spans="19:20" x14ac:dyDescent="0.25">
      <c r="S14378" s="78">
        <v>41765</v>
      </c>
      <c r="T14378" s="29">
        <v>0.5</v>
      </c>
    </row>
    <row r="14379" spans="19:20" x14ac:dyDescent="0.25">
      <c r="S14379" s="78">
        <v>41766</v>
      </c>
      <c r="T14379" s="29">
        <v>0.5</v>
      </c>
    </row>
    <row r="14380" spans="19:20" x14ac:dyDescent="0.25">
      <c r="S14380" s="78">
        <v>41767</v>
      </c>
      <c r="T14380" s="29">
        <v>0.5</v>
      </c>
    </row>
    <row r="14381" spans="19:20" x14ac:dyDescent="0.25">
      <c r="S14381" s="78">
        <v>41768</v>
      </c>
      <c r="T14381" s="29">
        <v>0.5</v>
      </c>
    </row>
    <row r="14382" spans="19:20" x14ac:dyDescent="0.25">
      <c r="S14382" s="78">
        <v>41769</v>
      </c>
      <c r="T14382" s="29">
        <v>0.5</v>
      </c>
    </row>
    <row r="14383" spans="19:20" x14ac:dyDescent="0.25">
      <c r="S14383" s="78">
        <v>41770</v>
      </c>
      <c r="T14383" s="29">
        <v>0.5</v>
      </c>
    </row>
    <row r="14384" spans="19:20" x14ac:dyDescent="0.25">
      <c r="S14384" s="78">
        <v>41771</v>
      </c>
      <c r="T14384" s="29">
        <v>0.5</v>
      </c>
    </row>
    <row r="14385" spans="19:20" x14ac:dyDescent="0.25">
      <c r="S14385" s="78">
        <v>41772</v>
      </c>
      <c r="T14385" s="29">
        <v>0.5</v>
      </c>
    </row>
    <row r="14386" spans="19:20" x14ac:dyDescent="0.25">
      <c r="S14386" s="78">
        <v>41773</v>
      </c>
      <c r="T14386" s="29">
        <v>0.5</v>
      </c>
    </row>
    <row r="14387" spans="19:20" x14ac:dyDescent="0.25">
      <c r="S14387" s="78">
        <v>41774</v>
      </c>
      <c r="T14387" s="29">
        <v>0.5</v>
      </c>
    </row>
    <row r="14388" spans="19:20" x14ac:dyDescent="0.25">
      <c r="S14388" s="78">
        <v>41775</v>
      </c>
      <c r="T14388" s="29">
        <v>0.5</v>
      </c>
    </row>
    <row r="14389" spans="19:20" x14ac:dyDescent="0.25">
      <c r="S14389" s="78">
        <v>41776</v>
      </c>
      <c r="T14389" s="29">
        <v>0.5</v>
      </c>
    </row>
    <row r="14390" spans="19:20" x14ac:dyDescent="0.25">
      <c r="S14390" s="78">
        <v>41777</v>
      </c>
      <c r="T14390" s="29">
        <v>0.5</v>
      </c>
    </row>
    <row r="14391" spans="19:20" x14ac:dyDescent="0.25">
      <c r="S14391" s="78">
        <v>41778</v>
      </c>
      <c r="T14391" s="29">
        <v>0.5</v>
      </c>
    </row>
    <row r="14392" spans="19:20" x14ac:dyDescent="0.25">
      <c r="S14392" s="78">
        <v>41779</v>
      </c>
      <c r="T14392" s="29">
        <v>0.5</v>
      </c>
    </row>
    <row r="14393" spans="19:20" x14ac:dyDescent="0.25">
      <c r="S14393" s="78">
        <v>41780</v>
      </c>
      <c r="T14393" s="29">
        <v>0.5</v>
      </c>
    </row>
    <row r="14394" spans="19:20" x14ac:dyDescent="0.25">
      <c r="S14394" s="78">
        <v>41781</v>
      </c>
      <c r="T14394" s="29">
        <v>0.5</v>
      </c>
    </row>
    <row r="14395" spans="19:20" x14ac:dyDescent="0.25">
      <c r="S14395" s="78">
        <v>41782</v>
      </c>
      <c r="T14395" s="29">
        <v>0.5</v>
      </c>
    </row>
    <row r="14396" spans="19:20" x14ac:dyDescent="0.25">
      <c r="S14396" s="78">
        <v>41783</v>
      </c>
      <c r="T14396" s="29">
        <v>0.5</v>
      </c>
    </row>
    <row r="14397" spans="19:20" x14ac:dyDescent="0.25">
      <c r="S14397" s="78">
        <v>41784</v>
      </c>
      <c r="T14397" s="29">
        <v>0.5</v>
      </c>
    </row>
    <row r="14398" spans="19:20" x14ac:dyDescent="0.25">
      <c r="S14398" s="78">
        <v>41785</v>
      </c>
      <c r="T14398" s="29">
        <v>0.5</v>
      </c>
    </row>
    <row r="14399" spans="19:20" x14ac:dyDescent="0.25">
      <c r="S14399" s="78">
        <v>41786</v>
      </c>
      <c r="T14399" s="29">
        <v>0.5</v>
      </c>
    </row>
    <row r="14400" spans="19:20" x14ac:dyDescent="0.25">
      <c r="S14400" s="78">
        <v>41787</v>
      </c>
      <c r="T14400" s="29">
        <v>0.5</v>
      </c>
    </row>
    <row r="14401" spans="19:20" x14ac:dyDescent="0.25">
      <c r="S14401" s="78">
        <v>41788</v>
      </c>
      <c r="T14401" s="29">
        <v>0.5</v>
      </c>
    </row>
    <row r="14402" spans="19:20" x14ac:dyDescent="0.25">
      <c r="S14402" s="78">
        <v>41789</v>
      </c>
      <c r="T14402" s="29">
        <v>0.5</v>
      </c>
    </row>
    <row r="14403" spans="19:20" x14ac:dyDescent="0.25">
      <c r="S14403" s="78">
        <v>41790</v>
      </c>
      <c r="T14403" s="29">
        <v>0.5</v>
      </c>
    </row>
    <row r="14404" spans="19:20" x14ac:dyDescent="0.25">
      <c r="S14404" s="78">
        <v>41791</v>
      </c>
      <c r="T14404" s="29">
        <v>0.5</v>
      </c>
    </row>
    <row r="14405" spans="19:20" x14ac:dyDescent="0.25">
      <c r="S14405" s="78">
        <v>41792</v>
      </c>
      <c r="T14405" s="29">
        <v>0.5</v>
      </c>
    </row>
    <row r="14406" spans="19:20" x14ac:dyDescent="0.25">
      <c r="S14406" s="78">
        <v>41793</v>
      </c>
      <c r="T14406" s="29">
        <v>0.5</v>
      </c>
    </row>
    <row r="14407" spans="19:20" x14ac:dyDescent="0.25">
      <c r="S14407" s="78">
        <v>41794</v>
      </c>
      <c r="T14407" s="29">
        <v>0.5</v>
      </c>
    </row>
    <row r="14408" spans="19:20" x14ac:dyDescent="0.25">
      <c r="S14408" s="78">
        <v>41795</v>
      </c>
      <c r="T14408" s="29">
        <v>0.5</v>
      </c>
    </row>
    <row r="14409" spans="19:20" x14ac:dyDescent="0.25">
      <c r="S14409" s="78">
        <v>41796</v>
      </c>
      <c r="T14409" s="29">
        <v>0.5</v>
      </c>
    </row>
    <row r="14410" spans="19:20" x14ac:dyDescent="0.25">
      <c r="S14410" s="78">
        <v>41797</v>
      </c>
      <c r="T14410" s="29">
        <v>0.5</v>
      </c>
    </row>
    <row r="14411" spans="19:20" x14ac:dyDescent="0.25">
      <c r="S14411" s="78">
        <v>41798</v>
      </c>
      <c r="T14411" s="29">
        <v>0.5</v>
      </c>
    </row>
    <row r="14412" spans="19:20" x14ac:dyDescent="0.25">
      <c r="S14412" s="78">
        <v>41799</v>
      </c>
      <c r="T14412" s="29">
        <v>0.5</v>
      </c>
    </row>
    <row r="14413" spans="19:20" x14ac:dyDescent="0.25">
      <c r="S14413" s="78">
        <v>41800</v>
      </c>
      <c r="T14413" s="29">
        <v>0.5</v>
      </c>
    </row>
    <row r="14414" spans="19:20" x14ac:dyDescent="0.25">
      <c r="S14414" s="78">
        <v>41801</v>
      </c>
      <c r="T14414" s="29">
        <v>0.5</v>
      </c>
    </row>
    <row r="14415" spans="19:20" x14ac:dyDescent="0.25">
      <c r="S14415" s="78">
        <v>41802</v>
      </c>
      <c r="T14415" s="29">
        <v>0.5</v>
      </c>
    </row>
    <row r="14416" spans="19:20" x14ac:dyDescent="0.25">
      <c r="S14416" s="78">
        <v>41803</v>
      </c>
      <c r="T14416" s="29">
        <v>0.5</v>
      </c>
    </row>
    <row r="14417" spans="19:20" x14ac:dyDescent="0.25">
      <c r="S14417" s="78">
        <v>41804</v>
      </c>
      <c r="T14417" s="29">
        <v>0.5</v>
      </c>
    </row>
    <row r="14418" spans="19:20" x14ac:dyDescent="0.25">
      <c r="S14418" s="78">
        <v>41805</v>
      </c>
      <c r="T14418" s="29">
        <v>0.5</v>
      </c>
    </row>
    <row r="14419" spans="19:20" x14ac:dyDescent="0.25">
      <c r="S14419" s="78">
        <v>41806</v>
      </c>
      <c r="T14419" s="29">
        <v>0.5</v>
      </c>
    </row>
    <row r="14420" spans="19:20" x14ac:dyDescent="0.25">
      <c r="S14420" s="78">
        <v>41807</v>
      </c>
      <c r="T14420" s="29">
        <v>0.5</v>
      </c>
    </row>
    <row r="14421" spans="19:20" x14ac:dyDescent="0.25">
      <c r="S14421" s="78">
        <v>41808</v>
      </c>
      <c r="T14421" s="29">
        <v>0.5</v>
      </c>
    </row>
    <row r="14422" spans="19:20" x14ac:dyDescent="0.25">
      <c r="S14422" s="78">
        <v>41809</v>
      </c>
      <c r="T14422" s="29">
        <v>0.5</v>
      </c>
    </row>
    <row r="14423" spans="19:20" x14ac:dyDescent="0.25">
      <c r="S14423" s="78">
        <v>41810</v>
      </c>
      <c r="T14423" s="29">
        <v>0.5</v>
      </c>
    </row>
    <row r="14424" spans="19:20" x14ac:dyDescent="0.25">
      <c r="S14424" s="78">
        <v>41811</v>
      </c>
      <c r="T14424" s="29">
        <v>0.5</v>
      </c>
    </row>
    <row r="14425" spans="19:20" x14ac:dyDescent="0.25">
      <c r="S14425" s="78">
        <v>41812</v>
      </c>
      <c r="T14425" s="29">
        <v>0.5</v>
      </c>
    </row>
    <row r="14426" spans="19:20" x14ac:dyDescent="0.25">
      <c r="S14426" s="78">
        <v>41813</v>
      </c>
      <c r="T14426" s="29">
        <v>0.5</v>
      </c>
    </row>
    <row r="14427" spans="19:20" x14ac:dyDescent="0.25">
      <c r="S14427" s="78">
        <v>41814</v>
      </c>
      <c r="T14427" s="29">
        <v>0.5</v>
      </c>
    </row>
    <row r="14428" spans="19:20" x14ac:dyDescent="0.25">
      <c r="S14428" s="78">
        <v>41815</v>
      </c>
      <c r="T14428" s="29">
        <v>0.5</v>
      </c>
    </row>
    <row r="14429" spans="19:20" x14ac:dyDescent="0.25">
      <c r="S14429" s="78">
        <v>41816</v>
      </c>
      <c r="T14429" s="29">
        <v>0.5</v>
      </c>
    </row>
    <row r="14430" spans="19:20" x14ac:dyDescent="0.25">
      <c r="S14430" s="78">
        <v>41817</v>
      </c>
      <c r="T14430" s="29">
        <v>0.5</v>
      </c>
    </row>
    <row r="14431" spans="19:20" x14ac:dyDescent="0.25">
      <c r="S14431" s="78">
        <v>41818</v>
      </c>
      <c r="T14431" s="29">
        <v>0.5</v>
      </c>
    </row>
    <row r="14432" spans="19:20" x14ac:dyDescent="0.25">
      <c r="S14432" s="78">
        <v>41819</v>
      </c>
      <c r="T14432" s="29">
        <v>0.5</v>
      </c>
    </row>
    <row r="14433" spans="19:21" x14ac:dyDescent="0.25">
      <c r="S14433" s="78">
        <v>41820</v>
      </c>
      <c r="T14433" s="29">
        <v>0.5</v>
      </c>
      <c r="U14433" s="40">
        <f>AVERAGE(T14343:T14433)</f>
        <v>0.5</v>
      </c>
    </row>
    <row r="14434" spans="19:21" x14ac:dyDescent="0.25">
      <c r="S14434" s="78">
        <v>41821</v>
      </c>
      <c r="T14434" s="29">
        <v>0.5</v>
      </c>
    </row>
    <row r="14435" spans="19:21" x14ac:dyDescent="0.25">
      <c r="S14435" s="78">
        <v>41822</v>
      </c>
      <c r="T14435" s="29">
        <v>0.5</v>
      </c>
    </row>
    <row r="14436" spans="19:21" x14ac:dyDescent="0.25">
      <c r="S14436" s="78">
        <v>41823</v>
      </c>
      <c r="T14436" s="29">
        <v>0.5</v>
      </c>
    </row>
    <row r="14437" spans="19:21" x14ac:dyDescent="0.25">
      <c r="S14437" s="78">
        <v>41824</v>
      </c>
      <c r="T14437" s="29">
        <v>0.5</v>
      </c>
    </row>
    <row r="14438" spans="19:21" x14ac:dyDescent="0.25">
      <c r="S14438" s="78">
        <v>41825</v>
      </c>
      <c r="T14438" s="29">
        <v>0.5</v>
      </c>
    </row>
    <row r="14439" spans="19:21" x14ac:dyDescent="0.25">
      <c r="S14439" s="78">
        <v>41826</v>
      </c>
      <c r="T14439" s="29">
        <v>0.5</v>
      </c>
    </row>
    <row r="14440" spans="19:21" x14ac:dyDescent="0.25">
      <c r="S14440" s="78">
        <v>41827</v>
      </c>
      <c r="T14440" s="29">
        <v>0.5</v>
      </c>
    </row>
    <row r="14441" spans="19:21" x14ac:dyDescent="0.25">
      <c r="S14441" s="78">
        <v>41828</v>
      </c>
      <c r="T14441" s="29">
        <v>0.5</v>
      </c>
    </row>
    <row r="14442" spans="19:21" x14ac:dyDescent="0.25">
      <c r="S14442" s="78">
        <v>41829</v>
      </c>
      <c r="T14442" s="29">
        <v>0.5</v>
      </c>
    </row>
    <row r="14443" spans="19:21" x14ac:dyDescent="0.25">
      <c r="S14443" s="78">
        <v>41830</v>
      </c>
      <c r="T14443" s="29">
        <v>0.5</v>
      </c>
    </row>
    <row r="14444" spans="19:21" x14ac:dyDescent="0.25">
      <c r="S14444" s="78">
        <v>41831</v>
      </c>
      <c r="T14444" s="29">
        <v>0.5</v>
      </c>
    </row>
    <row r="14445" spans="19:21" x14ac:dyDescent="0.25">
      <c r="S14445" s="78">
        <v>41832</v>
      </c>
      <c r="T14445" s="29">
        <v>0.5</v>
      </c>
    </row>
    <row r="14446" spans="19:21" x14ac:dyDescent="0.25">
      <c r="S14446" s="78">
        <v>41833</v>
      </c>
      <c r="T14446" s="29">
        <v>0.5</v>
      </c>
    </row>
    <row r="14447" spans="19:21" x14ac:dyDescent="0.25">
      <c r="S14447" s="78">
        <v>41834</v>
      </c>
      <c r="T14447" s="29">
        <v>0.5</v>
      </c>
    </row>
    <row r="14448" spans="19:21" x14ac:dyDescent="0.25">
      <c r="S14448" s="78">
        <v>41835</v>
      </c>
      <c r="T14448" s="29">
        <v>0.5</v>
      </c>
    </row>
    <row r="14449" spans="19:20" x14ac:dyDescent="0.25">
      <c r="S14449" s="78">
        <v>41836</v>
      </c>
      <c r="T14449" s="29">
        <v>0.5</v>
      </c>
    </row>
    <row r="14450" spans="19:20" x14ac:dyDescent="0.25">
      <c r="S14450" s="78">
        <v>41837</v>
      </c>
      <c r="T14450" s="29">
        <v>0.5</v>
      </c>
    </row>
    <row r="14451" spans="19:20" x14ac:dyDescent="0.25">
      <c r="S14451" s="78">
        <v>41838</v>
      </c>
      <c r="T14451" s="29">
        <v>0.5</v>
      </c>
    </row>
    <row r="14452" spans="19:20" x14ac:dyDescent="0.25">
      <c r="S14452" s="78">
        <v>41839</v>
      </c>
      <c r="T14452" s="29">
        <v>0.5</v>
      </c>
    </row>
    <row r="14453" spans="19:20" x14ac:dyDescent="0.25">
      <c r="S14453" s="78">
        <v>41840</v>
      </c>
      <c r="T14453" s="29">
        <v>0.5</v>
      </c>
    </row>
    <row r="14454" spans="19:20" x14ac:dyDescent="0.25">
      <c r="S14454" s="78">
        <v>41841</v>
      </c>
      <c r="T14454" s="29">
        <v>0.5</v>
      </c>
    </row>
    <row r="14455" spans="19:20" x14ac:dyDescent="0.25">
      <c r="S14455" s="78">
        <v>41842</v>
      </c>
      <c r="T14455" s="29">
        <v>0.5</v>
      </c>
    </row>
    <row r="14456" spans="19:20" x14ac:dyDescent="0.25">
      <c r="S14456" s="78">
        <v>41843</v>
      </c>
      <c r="T14456" s="29">
        <v>0.5</v>
      </c>
    </row>
    <row r="14457" spans="19:20" x14ac:dyDescent="0.25">
      <c r="S14457" s="78">
        <v>41844</v>
      </c>
      <c r="T14457" s="29">
        <v>0.5</v>
      </c>
    </row>
    <row r="14458" spans="19:20" x14ac:dyDescent="0.25">
      <c r="S14458" s="78">
        <v>41845</v>
      </c>
      <c r="T14458" s="29">
        <v>0.5</v>
      </c>
    </row>
    <row r="14459" spans="19:20" x14ac:dyDescent="0.25">
      <c r="S14459" s="78">
        <v>41846</v>
      </c>
      <c r="T14459" s="29">
        <v>0.5</v>
      </c>
    </row>
    <row r="14460" spans="19:20" x14ac:dyDescent="0.25">
      <c r="S14460" s="78">
        <v>41847</v>
      </c>
      <c r="T14460" s="29">
        <v>0.5</v>
      </c>
    </row>
    <row r="14461" spans="19:20" x14ac:dyDescent="0.25">
      <c r="S14461" s="78">
        <v>41848</v>
      </c>
      <c r="T14461" s="29">
        <v>0.5</v>
      </c>
    </row>
    <row r="14462" spans="19:20" x14ac:dyDescent="0.25">
      <c r="S14462" s="78">
        <v>41849</v>
      </c>
      <c r="T14462" s="29">
        <v>0.5</v>
      </c>
    </row>
    <row r="14463" spans="19:20" x14ac:dyDescent="0.25">
      <c r="S14463" s="78">
        <v>41850</v>
      </c>
      <c r="T14463" s="29">
        <v>0.5</v>
      </c>
    </row>
    <row r="14464" spans="19:20" x14ac:dyDescent="0.25">
      <c r="S14464" s="78">
        <v>41851</v>
      </c>
      <c r="T14464" s="29">
        <v>0.5</v>
      </c>
    </row>
    <row r="14465" spans="19:20" x14ac:dyDescent="0.25">
      <c r="S14465" s="78">
        <v>41852</v>
      </c>
      <c r="T14465" s="29">
        <v>0.5</v>
      </c>
    </row>
    <row r="14466" spans="19:20" x14ac:dyDescent="0.25">
      <c r="S14466" s="78">
        <v>41853</v>
      </c>
      <c r="T14466" s="29">
        <v>0.5</v>
      </c>
    </row>
    <row r="14467" spans="19:20" x14ac:dyDescent="0.25">
      <c r="S14467" s="78">
        <v>41854</v>
      </c>
      <c r="T14467" s="29">
        <v>0.5</v>
      </c>
    </row>
    <row r="14468" spans="19:20" x14ac:dyDescent="0.25">
      <c r="S14468" s="78">
        <v>41855</v>
      </c>
      <c r="T14468" s="29">
        <v>0.5</v>
      </c>
    </row>
    <row r="14469" spans="19:20" x14ac:dyDescent="0.25">
      <c r="S14469" s="78">
        <v>41856</v>
      </c>
      <c r="T14469" s="29">
        <v>0.5</v>
      </c>
    </row>
    <row r="14470" spans="19:20" x14ac:dyDescent="0.25">
      <c r="S14470" s="78">
        <v>41857</v>
      </c>
      <c r="T14470" s="29">
        <v>0.5</v>
      </c>
    </row>
    <row r="14471" spans="19:20" x14ac:dyDescent="0.25">
      <c r="S14471" s="78">
        <v>41858</v>
      </c>
      <c r="T14471" s="29">
        <v>0.5</v>
      </c>
    </row>
    <row r="14472" spans="19:20" x14ac:dyDescent="0.25">
      <c r="S14472" s="78">
        <v>41859</v>
      </c>
      <c r="T14472" s="29">
        <v>0.5</v>
      </c>
    </row>
    <row r="14473" spans="19:20" x14ac:dyDescent="0.25">
      <c r="S14473" s="78">
        <v>41860</v>
      </c>
      <c r="T14473" s="29">
        <v>0.5</v>
      </c>
    </row>
    <row r="14474" spans="19:20" x14ac:dyDescent="0.25">
      <c r="S14474" s="78">
        <v>41861</v>
      </c>
      <c r="T14474" s="29">
        <v>0.5</v>
      </c>
    </row>
    <row r="14475" spans="19:20" x14ac:dyDescent="0.25">
      <c r="S14475" s="78">
        <v>41862</v>
      </c>
      <c r="T14475" s="29">
        <v>0.5</v>
      </c>
    </row>
    <row r="14476" spans="19:20" x14ac:dyDescent="0.25">
      <c r="S14476" s="78">
        <v>41863</v>
      </c>
      <c r="T14476" s="29">
        <v>0.5</v>
      </c>
    </row>
    <row r="14477" spans="19:20" x14ac:dyDescent="0.25">
      <c r="S14477" s="78">
        <v>41864</v>
      </c>
      <c r="T14477" s="29">
        <v>0.5</v>
      </c>
    </row>
    <row r="14478" spans="19:20" x14ac:dyDescent="0.25">
      <c r="S14478" s="78">
        <v>41865</v>
      </c>
      <c r="T14478" s="29">
        <v>0.5</v>
      </c>
    </row>
    <row r="14479" spans="19:20" x14ac:dyDescent="0.25">
      <c r="S14479" s="78">
        <v>41866</v>
      </c>
      <c r="T14479" s="29">
        <v>0.5</v>
      </c>
    </row>
    <row r="14480" spans="19:20" x14ac:dyDescent="0.25">
      <c r="S14480" s="78">
        <v>41867</v>
      </c>
      <c r="T14480" s="29">
        <v>0.5</v>
      </c>
    </row>
    <row r="14481" spans="19:20" x14ac:dyDescent="0.25">
      <c r="S14481" s="78">
        <v>41868</v>
      </c>
      <c r="T14481" s="29">
        <v>0.5</v>
      </c>
    </row>
    <row r="14482" spans="19:20" x14ac:dyDescent="0.25">
      <c r="S14482" s="78">
        <v>41869</v>
      </c>
      <c r="T14482" s="29">
        <v>0.5</v>
      </c>
    </row>
    <row r="14483" spans="19:20" x14ac:dyDescent="0.25">
      <c r="S14483" s="78">
        <v>41870</v>
      </c>
      <c r="T14483" s="29">
        <v>0.5</v>
      </c>
    </row>
    <row r="14484" spans="19:20" x14ac:dyDescent="0.25">
      <c r="S14484" s="78">
        <v>41871</v>
      </c>
      <c r="T14484" s="29">
        <v>0.5</v>
      </c>
    </row>
    <row r="14485" spans="19:20" x14ac:dyDescent="0.25">
      <c r="S14485" s="78">
        <v>41872</v>
      </c>
      <c r="T14485" s="29">
        <v>0.5</v>
      </c>
    </row>
    <row r="14486" spans="19:20" x14ac:dyDescent="0.25">
      <c r="S14486" s="78">
        <v>41873</v>
      </c>
      <c r="T14486" s="29">
        <v>0.5</v>
      </c>
    </row>
    <row r="14487" spans="19:20" x14ac:dyDescent="0.25">
      <c r="S14487" s="78">
        <v>41874</v>
      </c>
      <c r="T14487" s="29">
        <v>0.5</v>
      </c>
    </row>
    <row r="14488" spans="19:20" x14ac:dyDescent="0.25">
      <c r="S14488" s="78">
        <v>41875</v>
      </c>
      <c r="T14488" s="29">
        <v>0.5</v>
      </c>
    </row>
    <row r="14489" spans="19:20" x14ac:dyDescent="0.25">
      <c r="S14489" s="78">
        <v>41876</v>
      </c>
      <c r="T14489" s="29">
        <v>0.5</v>
      </c>
    </row>
    <row r="14490" spans="19:20" x14ac:dyDescent="0.25">
      <c r="S14490" s="78">
        <v>41877</v>
      </c>
      <c r="T14490" s="29">
        <v>0.5</v>
      </c>
    </row>
    <row r="14491" spans="19:20" x14ac:dyDescent="0.25">
      <c r="S14491" s="78">
        <v>41878</v>
      </c>
      <c r="T14491" s="29">
        <v>0.5</v>
      </c>
    </row>
    <row r="14492" spans="19:20" x14ac:dyDescent="0.25">
      <c r="S14492" s="78">
        <v>41879</v>
      </c>
      <c r="T14492" s="29">
        <v>0.5</v>
      </c>
    </row>
    <row r="14493" spans="19:20" x14ac:dyDescent="0.25">
      <c r="S14493" s="78">
        <v>41880</v>
      </c>
      <c r="T14493" s="29">
        <v>0.5</v>
      </c>
    </row>
    <row r="14494" spans="19:20" x14ac:dyDescent="0.25">
      <c r="S14494" s="78">
        <v>41881</v>
      </c>
      <c r="T14494" s="29">
        <v>0.5</v>
      </c>
    </row>
    <row r="14495" spans="19:20" x14ac:dyDescent="0.25">
      <c r="S14495" s="78">
        <v>41882</v>
      </c>
      <c r="T14495" s="29">
        <v>0.5</v>
      </c>
    </row>
    <row r="14496" spans="19:20" x14ac:dyDescent="0.25">
      <c r="S14496" s="78">
        <v>41883</v>
      </c>
      <c r="T14496" s="29">
        <v>0.5</v>
      </c>
    </row>
    <row r="14497" spans="19:20" x14ac:dyDescent="0.25">
      <c r="S14497" s="78">
        <v>41884</v>
      </c>
      <c r="T14497" s="29">
        <v>0.5</v>
      </c>
    </row>
    <row r="14498" spans="19:20" x14ac:dyDescent="0.25">
      <c r="S14498" s="78">
        <v>41885</v>
      </c>
      <c r="T14498" s="29">
        <v>0.5</v>
      </c>
    </row>
    <row r="14499" spans="19:20" x14ac:dyDescent="0.25">
      <c r="S14499" s="78">
        <v>41886</v>
      </c>
      <c r="T14499" s="29">
        <v>0.5</v>
      </c>
    </row>
    <row r="14500" spans="19:20" x14ac:dyDescent="0.25">
      <c r="S14500" s="78">
        <v>41887</v>
      </c>
      <c r="T14500" s="29">
        <v>0.5</v>
      </c>
    </row>
    <row r="14501" spans="19:20" x14ac:dyDescent="0.25">
      <c r="S14501" s="78">
        <v>41888</v>
      </c>
      <c r="T14501" s="29">
        <v>0.5</v>
      </c>
    </row>
    <row r="14502" spans="19:20" x14ac:dyDescent="0.25">
      <c r="S14502" s="78">
        <v>41889</v>
      </c>
      <c r="T14502" s="29">
        <v>0.5</v>
      </c>
    </row>
    <row r="14503" spans="19:20" x14ac:dyDescent="0.25">
      <c r="S14503" s="78">
        <v>41890</v>
      </c>
      <c r="T14503" s="29">
        <v>0.5</v>
      </c>
    </row>
    <row r="14504" spans="19:20" x14ac:dyDescent="0.25">
      <c r="S14504" s="78">
        <v>41891</v>
      </c>
      <c r="T14504" s="29">
        <v>0.5</v>
      </c>
    </row>
    <row r="14505" spans="19:20" x14ac:dyDescent="0.25">
      <c r="S14505" s="78">
        <v>41892</v>
      </c>
      <c r="T14505" s="29">
        <v>0.5</v>
      </c>
    </row>
    <row r="14506" spans="19:20" x14ac:dyDescent="0.25">
      <c r="S14506" s="78">
        <v>41893</v>
      </c>
      <c r="T14506" s="29">
        <v>0.5</v>
      </c>
    </row>
    <row r="14507" spans="19:20" x14ac:dyDescent="0.25">
      <c r="S14507" s="78">
        <v>41894</v>
      </c>
      <c r="T14507" s="29">
        <v>0.5</v>
      </c>
    </row>
    <row r="14508" spans="19:20" x14ac:dyDescent="0.25">
      <c r="S14508" s="78">
        <v>41895</v>
      </c>
      <c r="T14508" s="29">
        <v>0.5</v>
      </c>
    </row>
    <row r="14509" spans="19:20" x14ac:dyDescent="0.25">
      <c r="S14509" s="78">
        <v>41896</v>
      </c>
      <c r="T14509" s="29">
        <v>0.5</v>
      </c>
    </row>
    <row r="14510" spans="19:20" x14ac:dyDescent="0.25">
      <c r="S14510" s="78">
        <v>41897</v>
      </c>
      <c r="T14510" s="29">
        <v>0.5</v>
      </c>
    </row>
    <row r="14511" spans="19:20" x14ac:dyDescent="0.25">
      <c r="S14511" s="78">
        <v>41898</v>
      </c>
      <c r="T14511" s="29">
        <v>0.5</v>
      </c>
    </row>
    <row r="14512" spans="19:20" x14ac:dyDescent="0.25">
      <c r="S14512" s="78">
        <v>41899</v>
      </c>
      <c r="T14512" s="29">
        <v>0.5</v>
      </c>
    </row>
    <row r="14513" spans="19:21" x14ac:dyDescent="0.25">
      <c r="S14513" s="78">
        <v>41900</v>
      </c>
      <c r="T14513" s="29">
        <v>0.5</v>
      </c>
    </row>
    <row r="14514" spans="19:21" x14ac:dyDescent="0.25">
      <c r="S14514" s="78">
        <v>41901</v>
      </c>
      <c r="T14514" s="29">
        <v>0.5</v>
      </c>
    </row>
    <row r="14515" spans="19:21" x14ac:dyDescent="0.25">
      <c r="S14515" s="78">
        <v>41902</v>
      </c>
      <c r="T14515" s="29">
        <v>0.5</v>
      </c>
    </row>
    <row r="14516" spans="19:21" x14ac:dyDescent="0.25">
      <c r="S14516" s="78">
        <v>41903</v>
      </c>
      <c r="T14516" s="29">
        <v>0.5</v>
      </c>
    </row>
    <row r="14517" spans="19:21" x14ac:dyDescent="0.25">
      <c r="S14517" s="78">
        <v>41904</v>
      </c>
      <c r="T14517" s="29">
        <v>0.5</v>
      </c>
    </row>
    <row r="14518" spans="19:21" x14ac:dyDescent="0.25">
      <c r="S14518" s="78">
        <v>41905</v>
      </c>
      <c r="T14518" s="29">
        <v>0.5</v>
      </c>
    </row>
    <row r="14519" spans="19:21" x14ac:dyDescent="0.25">
      <c r="S14519" s="78">
        <v>41906</v>
      </c>
      <c r="T14519" s="29">
        <v>0.5</v>
      </c>
    </row>
    <row r="14520" spans="19:21" x14ac:dyDescent="0.25">
      <c r="S14520" s="78">
        <v>41907</v>
      </c>
      <c r="T14520" s="29">
        <v>0.5</v>
      </c>
    </row>
    <row r="14521" spans="19:21" x14ac:dyDescent="0.25">
      <c r="S14521" s="78">
        <v>41908</v>
      </c>
      <c r="T14521" s="29">
        <v>0.5</v>
      </c>
    </row>
    <row r="14522" spans="19:21" x14ac:dyDescent="0.25">
      <c r="S14522" s="78">
        <v>41909</v>
      </c>
      <c r="T14522" s="29">
        <v>0.5</v>
      </c>
    </row>
    <row r="14523" spans="19:21" x14ac:dyDescent="0.25">
      <c r="S14523" s="78">
        <v>41910</v>
      </c>
      <c r="T14523" s="29">
        <v>0.5</v>
      </c>
    </row>
    <row r="14524" spans="19:21" x14ac:dyDescent="0.25">
      <c r="S14524" s="78">
        <v>41911</v>
      </c>
      <c r="T14524" s="29">
        <v>0.5</v>
      </c>
    </row>
    <row r="14525" spans="19:21" x14ac:dyDescent="0.25">
      <c r="S14525" s="78">
        <v>41912</v>
      </c>
      <c r="T14525" s="29">
        <v>0.5</v>
      </c>
      <c r="U14525" s="40">
        <f>AVERAGE(T14434:T14525)</f>
        <v>0.5</v>
      </c>
    </row>
    <row r="14526" spans="19:21" x14ac:dyDescent="0.25">
      <c r="S14526" s="78">
        <v>41913</v>
      </c>
      <c r="T14526" s="29">
        <v>0.5</v>
      </c>
    </row>
    <row r="14527" spans="19:21" x14ac:dyDescent="0.25">
      <c r="S14527" s="78">
        <v>41914</v>
      </c>
      <c r="T14527" s="29">
        <v>0.5</v>
      </c>
    </row>
    <row r="14528" spans="19:21" x14ac:dyDescent="0.25">
      <c r="S14528" s="78">
        <v>41915</v>
      </c>
      <c r="T14528" s="29">
        <v>0.5</v>
      </c>
    </row>
    <row r="14529" spans="19:20" x14ac:dyDescent="0.25">
      <c r="S14529" s="78">
        <v>41916</v>
      </c>
      <c r="T14529" s="29">
        <v>0.5</v>
      </c>
    </row>
    <row r="14530" spans="19:20" x14ac:dyDescent="0.25">
      <c r="S14530" s="78">
        <v>41917</v>
      </c>
      <c r="T14530" s="29">
        <v>0.5</v>
      </c>
    </row>
    <row r="14531" spans="19:20" x14ac:dyDescent="0.25">
      <c r="S14531" s="78">
        <v>41918</v>
      </c>
      <c r="T14531" s="29">
        <v>0.5</v>
      </c>
    </row>
    <row r="14532" spans="19:20" x14ac:dyDescent="0.25">
      <c r="S14532" s="78">
        <v>41919</v>
      </c>
      <c r="T14532" s="29">
        <v>0.5</v>
      </c>
    </row>
    <row r="14533" spans="19:20" x14ac:dyDescent="0.25">
      <c r="S14533" s="78">
        <v>41920</v>
      </c>
      <c r="T14533" s="29">
        <v>0.5</v>
      </c>
    </row>
    <row r="14534" spans="19:20" x14ac:dyDescent="0.25">
      <c r="S14534" s="78">
        <v>41921</v>
      </c>
      <c r="T14534" s="29">
        <v>0.5</v>
      </c>
    </row>
    <row r="14535" spans="19:20" x14ac:dyDescent="0.25">
      <c r="S14535" s="78">
        <v>41922</v>
      </c>
      <c r="T14535" s="29">
        <v>0.5</v>
      </c>
    </row>
    <row r="14536" spans="19:20" x14ac:dyDescent="0.25">
      <c r="S14536" s="78">
        <v>41923</v>
      </c>
      <c r="T14536" s="29">
        <v>0.5</v>
      </c>
    </row>
    <row r="14537" spans="19:20" x14ac:dyDescent="0.25">
      <c r="S14537" s="78">
        <v>41924</v>
      </c>
      <c r="T14537" s="29">
        <v>0.5</v>
      </c>
    </row>
    <row r="14538" spans="19:20" x14ac:dyDescent="0.25">
      <c r="S14538" s="78">
        <v>41925</v>
      </c>
      <c r="T14538" s="29">
        <v>0.5</v>
      </c>
    </row>
    <row r="14539" spans="19:20" x14ac:dyDescent="0.25">
      <c r="S14539" s="78">
        <v>41926</v>
      </c>
      <c r="T14539" s="29">
        <v>0.5</v>
      </c>
    </row>
    <row r="14540" spans="19:20" x14ac:dyDescent="0.25">
      <c r="S14540" s="78">
        <v>41927</v>
      </c>
      <c r="T14540" s="29">
        <v>0.5</v>
      </c>
    </row>
    <row r="14541" spans="19:20" x14ac:dyDescent="0.25">
      <c r="S14541" s="78">
        <v>41928</v>
      </c>
      <c r="T14541" s="29">
        <v>0.5</v>
      </c>
    </row>
    <row r="14542" spans="19:20" x14ac:dyDescent="0.25">
      <c r="S14542" s="78">
        <v>41929</v>
      </c>
      <c r="T14542" s="29">
        <v>0.5</v>
      </c>
    </row>
    <row r="14543" spans="19:20" x14ac:dyDescent="0.25">
      <c r="S14543" s="78">
        <v>41930</v>
      </c>
      <c r="T14543" s="29">
        <v>0.5</v>
      </c>
    </row>
    <row r="14544" spans="19:20" x14ac:dyDescent="0.25">
      <c r="S14544" s="78">
        <v>41931</v>
      </c>
      <c r="T14544" s="29">
        <v>0.5</v>
      </c>
    </row>
    <row r="14545" spans="19:20" x14ac:dyDescent="0.25">
      <c r="S14545" s="78">
        <v>41932</v>
      </c>
      <c r="T14545" s="29">
        <v>0.5</v>
      </c>
    </row>
    <row r="14546" spans="19:20" x14ac:dyDescent="0.25">
      <c r="S14546" s="78">
        <v>41933</v>
      </c>
      <c r="T14546" s="29">
        <v>0.5</v>
      </c>
    </row>
    <row r="14547" spans="19:20" x14ac:dyDescent="0.25">
      <c r="S14547" s="78">
        <v>41934</v>
      </c>
      <c r="T14547" s="29">
        <v>0.5</v>
      </c>
    </row>
    <row r="14548" spans="19:20" x14ac:dyDescent="0.25">
      <c r="S14548" s="78">
        <v>41935</v>
      </c>
      <c r="T14548" s="29">
        <v>0.5</v>
      </c>
    </row>
    <row r="14549" spans="19:20" x14ac:dyDescent="0.25">
      <c r="S14549" s="78">
        <v>41936</v>
      </c>
      <c r="T14549" s="29">
        <v>0.5</v>
      </c>
    </row>
    <row r="14550" spans="19:20" x14ac:dyDescent="0.25">
      <c r="S14550" s="78">
        <v>41937</v>
      </c>
      <c r="T14550" s="29">
        <v>0.5</v>
      </c>
    </row>
    <row r="14551" spans="19:20" x14ac:dyDescent="0.25">
      <c r="S14551" s="78">
        <v>41938</v>
      </c>
      <c r="T14551" s="29">
        <v>0.5</v>
      </c>
    </row>
    <row r="14552" spans="19:20" x14ac:dyDescent="0.25">
      <c r="S14552" s="78">
        <v>41939</v>
      </c>
      <c r="T14552" s="29">
        <v>0.5</v>
      </c>
    </row>
    <row r="14553" spans="19:20" x14ac:dyDescent="0.25">
      <c r="S14553" s="78">
        <v>41940</v>
      </c>
      <c r="T14553" s="29">
        <v>0.5</v>
      </c>
    </row>
    <row r="14554" spans="19:20" x14ac:dyDescent="0.25">
      <c r="S14554" s="78">
        <v>41941</v>
      </c>
      <c r="T14554" s="29">
        <v>0.5</v>
      </c>
    </row>
    <row r="14555" spans="19:20" x14ac:dyDescent="0.25">
      <c r="S14555" s="78">
        <v>41942</v>
      </c>
      <c r="T14555" s="29">
        <v>0.5</v>
      </c>
    </row>
    <row r="14556" spans="19:20" x14ac:dyDescent="0.25">
      <c r="S14556" s="78">
        <v>41943</v>
      </c>
      <c r="T14556" s="29">
        <v>0.5</v>
      </c>
    </row>
    <row r="14557" spans="19:20" x14ac:dyDescent="0.25">
      <c r="S14557" s="78">
        <v>41944</v>
      </c>
      <c r="T14557" s="29">
        <v>0.5</v>
      </c>
    </row>
    <row r="14558" spans="19:20" x14ac:dyDescent="0.25">
      <c r="S14558" s="78">
        <v>41945</v>
      </c>
      <c r="T14558" s="29">
        <v>0.5</v>
      </c>
    </row>
    <row r="14559" spans="19:20" x14ac:dyDescent="0.25">
      <c r="S14559" s="78">
        <v>41946</v>
      </c>
      <c r="T14559" s="29">
        <v>0.5</v>
      </c>
    </row>
    <row r="14560" spans="19:20" x14ac:dyDescent="0.25">
      <c r="S14560" s="78">
        <v>41947</v>
      </c>
      <c r="T14560" s="29">
        <v>0.5</v>
      </c>
    </row>
    <row r="14561" spans="19:20" x14ac:dyDescent="0.25">
      <c r="S14561" s="78">
        <v>41948</v>
      </c>
      <c r="T14561" s="29">
        <v>0.5</v>
      </c>
    </row>
    <row r="14562" spans="19:20" x14ac:dyDescent="0.25">
      <c r="S14562" s="78">
        <v>41949</v>
      </c>
      <c r="T14562" s="29">
        <v>0.5</v>
      </c>
    </row>
    <row r="14563" spans="19:20" x14ac:dyDescent="0.25">
      <c r="S14563" s="78">
        <v>41950</v>
      </c>
      <c r="T14563" s="29">
        <v>0.5</v>
      </c>
    </row>
    <row r="14564" spans="19:20" x14ac:dyDescent="0.25">
      <c r="S14564" s="78">
        <v>41951</v>
      </c>
      <c r="T14564" s="29">
        <v>0.5</v>
      </c>
    </row>
    <row r="14565" spans="19:20" x14ac:dyDescent="0.25">
      <c r="S14565" s="78">
        <v>41952</v>
      </c>
      <c r="T14565" s="29">
        <v>0.5</v>
      </c>
    </row>
    <row r="14566" spans="19:20" x14ac:dyDescent="0.25">
      <c r="S14566" s="78">
        <v>41953</v>
      </c>
      <c r="T14566" s="29">
        <v>0.5</v>
      </c>
    </row>
    <row r="14567" spans="19:20" x14ac:dyDescent="0.25">
      <c r="S14567" s="78">
        <v>41954</v>
      </c>
      <c r="T14567" s="29">
        <v>0.5</v>
      </c>
    </row>
    <row r="14568" spans="19:20" x14ac:dyDescent="0.25">
      <c r="S14568" s="78">
        <v>41955</v>
      </c>
      <c r="T14568" s="29">
        <v>0.5</v>
      </c>
    </row>
    <row r="14569" spans="19:20" x14ac:dyDescent="0.25">
      <c r="S14569" s="78">
        <v>41956</v>
      </c>
      <c r="T14569" s="29">
        <v>0.5</v>
      </c>
    </row>
    <row r="14570" spans="19:20" x14ac:dyDescent="0.25">
      <c r="S14570" s="78">
        <v>41957</v>
      </c>
      <c r="T14570" s="29">
        <v>0.5</v>
      </c>
    </row>
    <row r="14571" spans="19:20" x14ac:dyDescent="0.25">
      <c r="S14571" s="78">
        <v>41958</v>
      </c>
      <c r="T14571" s="29">
        <v>0.5</v>
      </c>
    </row>
    <row r="14572" spans="19:20" x14ac:dyDescent="0.25">
      <c r="S14572" s="78">
        <v>41959</v>
      </c>
      <c r="T14572" s="29">
        <v>0.5</v>
      </c>
    </row>
    <row r="14573" spans="19:20" x14ac:dyDescent="0.25">
      <c r="S14573" s="78">
        <v>41960</v>
      </c>
      <c r="T14573" s="29">
        <v>0.5</v>
      </c>
    </row>
    <row r="14574" spans="19:20" x14ac:dyDescent="0.25">
      <c r="S14574" s="78">
        <v>41961</v>
      </c>
      <c r="T14574" s="29">
        <v>0.5</v>
      </c>
    </row>
    <row r="14575" spans="19:20" x14ac:dyDescent="0.25">
      <c r="S14575" s="78">
        <v>41962</v>
      </c>
      <c r="T14575" s="29">
        <v>0.5</v>
      </c>
    </row>
    <row r="14576" spans="19:20" x14ac:dyDescent="0.25">
      <c r="S14576" s="78">
        <v>41963</v>
      </c>
      <c r="T14576" s="29">
        <v>0.5</v>
      </c>
    </row>
    <row r="14577" spans="19:20" x14ac:dyDescent="0.25">
      <c r="S14577" s="78">
        <v>41964</v>
      </c>
      <c r="T14577" s="29">
        <v>0.5</v>
      </c>
    </row>
    <row r="14578" spans="19:20" x14ac:dyDescent="0.25">
      <c r="S14578" s="78">
        <v>41965</v>
      </c>
      <c r="T14578" s="29">
        <v>0.5</v>
      </c>
    </row>
    <row r="14579" spans="19:20" x14ac:dyDescent="0.25">
      <c r="S14579" s="78">
        <v>41966</v>
      </c>
      <c r="T14579" s="29">
        <v>0.5</v>
      </c>
    </row>
    <row r="14580" spans="19:20" x14ac:dyDescent="0.25">
      <c r="S14580" s="78">
        <v>41967</v>
      </c>
      <c r="T14580" s="29">
        <v>0.5</v>
      </c>
    </row>
    <row r="14581" spans="19:20" x14ac:dyDescent="0.25">
      <c r="S14581" s="78">
        <v>41968</v>
      </c>
      <c r="T14581" s="29">
        <v>0.5</v>
      </c>
    </row>
    <row r="14582" spans="19:20" x14ac:dyDescent="0.25">
      <c r="S14582" s="78">
        <v>41969</v>
      </c>
      <c r="T14582" s="29">
        <v>0.5</v>
      </c>
    </row>
    <row r="14583" spans="19:20" x14ac:dyDescent="0.25">
      <c r="S14583" s="78">
        <v>41970</v>
      </c>
      <c r="T14583" s="29">
        <v>0.5</v>
      </c>
    </row>
    <row r="14584" spans="19:20" x14ac:dyDescent="0.25">
      <c r="S14584" s="78">
        <v>41971</v>
      </c>
      <c r="T14584" s="29">
        <v>0.5</v>
      </c>
    </row>
    <row r="14585" spans="19:20" x14ac:dyDescent="0.25">
      <c r="S14585" s="78">
        <v>41972</v>
      </c>
      <c r="T14585" s="29">
        <v>0.5</v>
      </c>
    </row>
    <row r="14586" spans="19:20" x14ac:dyDescent="0.25">
      <c r="S14586" s="78">
        <v>41973</v>
      </c>
      <c r="T14586" s="29">
        <v>0.5</v>
      </c>
    </row>
    <row r="14587" spans="19:20" x14ac:dyDescent="0.25">
      <c r="S14587" s="78">
        <v>41974</v>
      </c>
      <c r="T14587" s="29">
        <v>0.5</v>
      </c>
    </row>
    <row r="14588" spans="19:20" x14ac:dyDescent="0.25">
      <c r="S14588" s="78">
        <v>41975</v>
      </c>
      <c r="T14588" s="29">
        <v>0.5</v>
      </c>
    </row>
    <row r="14589" spans="19:20" x14ac:dyDescent="0.25">
      <c r="S14589" s="78">
        <v>41976</v>
      </c>
      <c r="T14589" s="29">
        <v>0.5</v>
      </c>
    </row>
    <row r="14590" spans="19:20" x14ac:dyDescent="0.25">
      <c r="S14590" s="78">
        <v>41977</v>
      </c>
      <c r="T14590" s="29">
        <v>0.5</v>
      </c>
    </row>
    <row r="14591" spans="19:20" x14ac:dyDescent="0.25">
      <c r="S14591" s="78">
        <v>41978</v>
      </c>
      <c r="T14591" s="29">
        <v>0.5</v>
      </c>
    </row>
    <row r="14592" spans="19:20" x14ac:dyDescent="0.25">
      <c r="S14592" s="78">
        <v>41979</v>
      </c>
      <c r="T14592" s="29">
        <v>0.5</v>
      </c>
    </row>
    <row r="14593" spans="19:20" x14ac:dyDescent="0.25">
      <c r="S14593" s="78">
        <v>41980</v>
      </c>
      <c r="T14593" s="29">
        <v>0.5</v>
      </c>
    </row>
    <row r="14594" spans="19:20" x14ac:dyDescent="0.25">
      <c r="S14594" s="78">
        <v>41981</v>
      </c>
      <c r="T14594" s="29">
        <v>0.5</v>
      </c>
    </row>
    <row r="14595" spans="19:20" x14ac:dyDescent="0.25">
      <c r="S14595" s="78">
        <v>41982</v>
      </c>
      <c r="T14595" s="29">
        <v>0.5</v>
      </c>
    </row>
    <row r="14596" spans="19:20" x14ac:dyDescent="0.25">
      <c r="S14596" s="78">
        <v>41983</v>
      </c>
      <c r="T14596" s="29">
        <v>0.5</v>
      </c>
    </row>
    <row r="14597" spans="19:20" x14ac:dyDescent="0.25">
      <c r="S14597" s="78">
        <v>41984</v>
      </c>
      <c r="T14597" s="29">
        <v>0.5</v>
      </c>
    </row>
    <row r="14598" spans="19:20" x14ac:dyDescent="0.25">
      <c r="S14598" s="78">
        <v>41985</v>
      </c>
      <c r="T14598" s="29">
        <v>0.5</v>
      </c>
    </row>
    <row r="14599" spans="19:20" x14ac:dyDescent="0.25">
      <c r="S14599" s="78">
        <v>41986</v>
      </c>
      <c r="T14599" s="29">
        <v>0.5</v>
      </c>
    </row>
    <row r="14600" spans="19:20" x14ac:dyDescent="0.25">
      <c r="S14600" s="78">
        <v>41987</v>
      </c>
      <c r="T14600" s="29">
        <v>0.5</v>
      </c>
    </row>
    <row r="14601" spans="19:20" x14ac:dyDescent="0.25">
      <c r="S14601" s="78">
        <v>41988</v>
      </c>
      <c r="T14601" s="29">
        <v>0.5</v>
      </c>
    </row>
    <row r="14602" spans="19:20" x14ac:dyDescent="0.25">
      <c r="S14602" s="78">
        <v>41989</v>
      </c>
      <c r="T14602" s="29">
        <v>0.5</v>
      </c>
    </row>
    <row r="14603" spans="19:20" x14ac:dyDescent="0.25">
      <c r="S14603" s="78">
        <v>41990</v>
      </c>
      <c r="T14603" s="29">
        <v>0.5</v>
      </c>
    </row>
    <row r="14604" spans="19:20" x14ac:dyDescent="0.25">
      <c r="S14604" s="78">
        <v>41991</v>
      </c>
      <c r="T14604" s="29">
        <v>0.5</v>
      </c>
    </row>
    <row r="14605" spans="19:20" x14ac:dyDescent="0.25">
      <c r="S14605" s="78">
        <v>41992</v>
      </c>
      <c r="T14605" s="29">
        <v>0.5</v>
      </c>
    </row>
    <row r="14606" spans="19:20" x14ac:dyDescent="0.25">
      <c r="S14606" s="78">
        <v>41993</v>
      </c>
      <c r="T14606" s="29">
        <v>0.5</v>
      </c>
    </row>
    <row r="14607" spans="19:20" x14ac:dyDescent="0.25">
      <c r="S14607" s="78">
        <v>41994</v>
      </c>
      <c r="T14607" s="29">
        <v>0.5</v>
      </c>
    </row>
    <row r="14608" spans="19:20" x14ac:dyDescent="0.25">
      <c r="S14608" s="78">
        <v>41995</v>
      </c>
      <c r="T14608" s="29">
        <v>0.5</v>
      </c>
    </row>
    <row r="14609" spans="19:21" x14ac:dyDescent="0.25">
      <c r="S14609" s="78">
        <v>41996</v>
      </c>
      <c r="T14609" s="29">
        <v>0.5</v>
      </c>
    </row>
    <row r="14610" spans="19:21" x14ac:dyDescent="0.25">
      <c r="S14610" s="78">
        <v>41997</v>
      </c>
      <c r="T14610" s="29">
        <v>0.5</v>
      </c>
    </row>
    <row r="14611" spans="19:21" x14ac:dyDescent="0.25">
      <c r="S14611" s="78">
        <v>41998</v>
      </c>
      <c r="T14611" s="29">
        <v>0.5</v>
      </c>
    </row>
    <row r="14612" spans="19:21" x14ac:dyDescent="0.25">
      <c r="S14612" s="78">
        <v>41999</v>
      </c>
      <c r="T14612" s="29">
        <v>0.5</v>
      </c>
    </row>
    <row r="14613" spans="19:21" x14ac:dyDescent="0.25">
      <c r="S14613" s="78">
        <v>42000</v>
      </c>
      <c r="T14613" s="29">
        <v>0.5</v>
      </c>
    </row>
    <row r="14614" spans="19:21" x14ac:dyDescent="0.25">
      <c r="S14614" s="78">
        <v>42001</v>
      </c>
      <c r="T14614" s="29">
        <v>0.5</v>
      </c>
    </row>
    <row r="14615" spans="19:21" x14ac:dyDescent="0.25">
      <c r="S14615" s="78">
        <v>42002</v>
      </c>
      <c r="T14615" s="29">
        <v>0.5</v>
      </c>
    </row>
    <row r="14616" spans="19:21" x14ac:dyDescent="0.25">
      <c r="S14616" s="78">
        <v>42003</v>
      </c>
      <c r="T14616" s="29">
        <v>0.5</v>
      </c>
    </row>
    <row r="14617" spans="19:21" x14ac:dyDescent="0.25">
      <c r="S14617" s="78">
        <v>42004</v>
      </c>
      <c r="T14617" s="29">
        <v>0.5</v>
      </c>
      <c r="U14617" s="40">
        <f>AVERAGE(T14526:T14617)</f>
        <v>0.5</v>
      </c>
    </row>
    <row r="14618" spans="19:21" x14ac:dyDescent="0.25">
      <c r="S14618" s="78">
        <v>42005</v>
      </c>
      <c r="T14618" s="29">
        <v>0.5</v>
      </c>
    </row>
    <row r="14619" spans="19:21" x14ac:dyDescent="0.25">
      <c r="S14619" s="78">
        <v>42006</v>
      </c>
      <c r="T14619" s="29">
        <v>0.5</v>
      </c>
    </row>
    <row r="14620" spans="19:21" x14ac:dyDescent="0.25">
      <c r="S14620" s="78">
        <v>42007</v>
      </c>
      <c r="T14620" s="29">
        <v>0.5</v>
      </c>
    </row>
    <row r="14621" spans="19:21" x14ac:dyDescent="0.25">
      <c r="S14621" s="78">
        <v>42008</v>
      </c>
      <c r="T14621" s="29">
        <v>0.5</v>
      </c>
    </row>
    <row r="14622" spans="19:21" x14ac:dyDescent="0.25">
      <c r="S14622" s="78">
        <v>42009</v>
      </c>
      <c r="T14622" s="29">
        <v>0.5</v>
      </c>
    </row>
    <row r="14623" spans="19:21" x14ac:dyDescent="0.25">
      <c r="S14623" s="78">
        <v>42010</v>
      </c>
      <c r="T14623" s="29">
        <v>0.5</v>
      </c>
    </row>
    <row r="14624" spans="19:21" x14ac:dyDescent="0.25">
      <c r="S14624" s="78">
        <v>42011</v>
      </c>
      <c r="T14624" s="29">
        <v>0.5</v>
      </c>
    </row>
    <row r="14625" spans="19:20" x14ac:dyDescent="0.25">
      <c r="S14625" s="78">
        <v>42012</v>
      </c>
      <c r="T14625" s="29">
        <v>0.5</v>
      </c>
    </row>
    <row r="14626" spans="19:20" x14ac:dyDescent="0.25">
      <c r="S14626" s="78">
        <v>42013</v>
      </c>
      <c r="T14626" s="29">
        <v>0.5</v>
      </c>
    </row>
    <row r="14627" spans="19:20" x14ac:dyDescent="0.25">
      <c r="S14627" s="78">
        <v>42014</v>
      </c>
      <c r="T14627" s="29">
        <v>0.5</v>
      </c>
    </row>
    <row r="14628" spans="19:20" x14ac:dyDescent="0.25">
      <c r="S14628" s="78">
        <v>42015</v>
      </c>
      <c r="T14628" s="29">
        <v>0.5</v>
      </c>
    </row>
    <row r="14629" spans="19:20" x14ac:dyDescent="0.25">
      <c r="S14629" s="78">
        <v>42016</v>
      </c>
      <c r="T14629" s="29">
        <v>0.5</v>
      </c>
    </row>
    <row r="14630" spans="19:20" x14ac:dyDescent="0.25">
      <c r="S14630" s="78">
        <v>42017</v>
      </c>
      <c r="T14630" s="29">
        <v>0.5</v>
      </c>
    </row>
    <row r="14631" spans="19:20" x14ac:dyDescent="0.25">
      <c r="S14631" s="78">
        <v>42018</v>
      </c>
      <c r="T14631" s="29">
        <v>0.5</v>
      </c>
    </row>
    <row r="14632" spans="19:20" x14ac:dyDescent="0.25">
      <c r="S14632" s="78">
        <v>42019</v>
      </c>
      <c r="T14632" s="29">
        <v>0.5</v>
      </c>
    </row>
    <row r="14633" spans="19:20" x14ac:dyDescent="0.25">
      <c r="S14633" s="78">
        <v>42020</v>
      </c>
      <c r="T14633" s="29">
        <v>0.5</v>
      </c>
    </row>
    <row r="14634" spans="19:20" x14ac:dyDescent="0.25">
      <c r="S14634" s="78">
        <v>42021</v>
      </c>
      <c r="T14634" s="29">
        <v>0.5</v>
      </c>
    </row>
    <row r="14635" spans="19:20" x14ac:dyDescent="0.25">
      <c r="S14635" s="78">
        <v>42022</v>
      </c>
      <c r="T14635" s="29">
        <v>0.5</v>
      </c>
    </row>
    <row r="14636" spans="19:20" x14ac:dyDescent="0.25">
      <c r="S14636" s="78">
        <v>42023</v>
      </c>
      <c r="T14636" s="29">
        <v>0.5</v>
      </c>
    </row>
    <row r="14637" spans="19:20" x14ac:dyDescent="0.25">
      <c r="S14637" s="78">
        <v>42024</v>
      </c>
      <c r="T14637" s="29">
        <v>0.5</v>
      </c>
    </row>
    <row r="14638" spans="19:20" x14ac:dyDescent="0.25">
      <c r="S14638" s="78">
        <v>42025</v>
      </c>
      <c r="T14638" s="29">
        <v>0.5</v>
      </c>
    </row>
    <row r="14639" spans="19:20" x14ac:dyDescent="0.25">
      <c r="S14639" s="78">
        <v>42026</v>
      </c>
      <c r="T14639" s="29">
        <v>0.5</v>
      </c>
    </row>
    <row r="14640" spans="19:20" x14ac:dyDescent="0.25">
      <c r="S14640" s="78">
        <v>42027</v>
      </c>
      <c r="T14640" s="29">
        <v>0.5</v>
      </c>
    </row>
    <row r="14641" spans="19:20" x14ac:dyDescent="0.25">
      <c r="S14641" s="78">
        <v>42028</v>
      </c>
      <c r="T14641" s="29">
        <v>0.5</v>
      </c>
    </row>
    <row r="14642" spans="19:20" x14ac:dyDescent="0.25">
      <c r="S14642" s="78">
        <v>42029</v>
      </c>
      <c r="T14642" s="29">
        <v>0.5</v>
      </c>
    </row>
    <row r="14643" spans="19:20" x14ac:dyDescent="0.25">
      <c r="S14643" s="78">
        <v>42030</v>
      </c>
      <c r="T14643" s="29">
        <v>0.5</v>
      </c>
    </row>
    <row r="14644" spans="19:20" x14ac:dyDescent="0.25">
      <c r="S14644" s="78">
        <v>42031</v>
      </c>
      <c r="T14644" s="29">
        <v>0.5</v>
      </c>
    </row>
    <row r="14645" spans="19:20" x14ac:dyDescent="0.25">
      <c r="S14645" s="78">
        <v>42032</v>
      </c>
      <c r="T14645" s="29">
        <v>0.5</v>
      </c>
    </row>
    <row r="14646" spans="19:20" x14ac:dyDescent="0.25">
      <c r="S14646" s="78">
        <v>42033</v>
      </c>
      <c r="T14646" s="29">
        <v>0.5</v>
      </c>
    </row>
    <row r="14647" spans="19:20" x14ac:dyDescent="0.25">
      <c r="S14647" s="78">
        <v>42034</v>
      </c>
      <c r="T14647" s="29">
        <v>0.5</v>
      </c>
    </row>
    <row r="14648" spans="19:20" x14ac:dyDescent="0.25">
      <c r="S14648" s="78">
        <v>42035</v>
      </c>
      <c r="T14648" s="29">
        <v>0.5</v>
      </c>
    </row>
    <row r="14649" spans="19:20" x14ac:dyDescent="0.25">
      <c r="S14649" s="78">
        <v>42036</v>
      </c>
      <c r="T14649" s="29">
        <v>0.5</v>
      </c>
    </row>
    <row r="14650" spans="19:20" x14ac:dyDescent="0.25">
      <c r="S14650" s="78">
        <v>42037</v>
      </c>
      <c r="T14650" s="29">
        <v>0.5</v>
      </c>
    </row>
    <row r="14651" spans="19:20" x14ac:dyDescent="0.25">
      <c r="S14651" s="78">
        <v>42038</v>
      </c>
      <c r="T14651" s="29">
        <v>0.5</v>
      </c>
    </row>
    <row r="14652" spans="19:20" x14ac:dyDescent="0.25">
      <c r="S14652" s="78">
        <v>42039</v>
      </c>
      <c r="T14652" s="29">
        <v>0.5</v>
      </c>
    </row>
    <row r="14653" spans="19:20" x14ac:dyDescent="0.25">
      <c r="S14653" s="78">
        <v>42040</v>
      </c>
      <c r="T14653" s="29">
        <v>0.5</v>
      </c>
    </row>
    <row r="14654" spans="19:20" x14ac:dyDescent="0.25">
      <c r="S14654" s="78">
        <v>42041</v>
      </c>
      <c r="T14654" s="29">
        <v>0.5</v>
      </c>
    </row>
    <row r="14655" spans="19:20" x14ac:dyDescent="0.25">
      <c r="S14655" s="78">
        <v>42042</v>
      </c>
      <c r="T14655" s="29">
        <v>0.5</v>
      </c>
    </row>
    <row r="14656" spans="19:20" x14ac:dyDescent="0.25">
      <c r="S14656" s="78">
        <v>42043</v>
      </c>
      <c r="T14656" s="29">
        <v>0.5</v>
      </c>
    </row>
    <row r="14657" spans="19:20" x14ac:dyDescent="0.25">
      <c r="S14657" s="78">
        <v>42044</v>
      </c>
      <c r="T14657" s="29">
        <v>0.5</v>
      </c>
    </row>
    <row r="14658" spans="19:20" x14ac:dyDescent="0.25">
      <c r="S14658" s="78">
        <v>42045</v>
      </c>
      <c r="T14658" s="29">
        <v>0.5</v>
      </c>
    </row>
    <row r="14659" spans="19:20" x14ac:dyDescent="0.25">
      <c r="S14659" s="78">
        <v>42046</v>
      </c>
      <c r="T14659" s="29">
        <v>0.5</v>
      </c>
    </row>
    <row r="14660" spans="19:20" x14ac:dyDescent="0.25">
      <c r="S14660" s="78">
        <v>42047</v>
      </c>
      <c r="T14660" s="29">
        <v>0.5</v>
      </c>
    </row>
    <row r="14661" spans="19:20" x14ac:dyDescent="0.25">
      <c r="S14661" s="78">
        <v>42048</v>
      </c>
      <c r="T14661" s="29">
        <v>0.5</v>
      </c>
    </row>
    <row r="14662" spans="19:20" x14ac:dyDescent="0.25">
      <c r="S14662" s="78">
        <v>42049</v>
      </c>
      <c r="T14662" s="29">
        <v>0.5</v>
      </c>
    </row>
    <row r="14663" spans="19:20" x14ac:dyDescent="0.25">
      <c r="S14663" s="78">
        <v>42050</v>
      </c>
      <c r="T14663" s="29">
        <v>0.5</v>
      </c>
    </row>
    <row r="14664" spans="19:20" x14ac:dyDescent="0.25">
      <c r="S14664" s="78">
        <v>42051</v>
      </c>
      <c r="T14664" s="29">
        <v>0.5</v>
      </c>
    </row>
    <row r="14665" spans="19:20" x14ac:dyDescent="0.25">
      <c r="S14665" s="78">
        <v>42052</v>
      </c>
      <c r="T14665" s="29">
        <v>0.5</v>
      </c>
    </row>
    <row r="14666" spans="19:20" x14ac:dyDescent="0.25">
      <c r="S14666" s="78">
        <v>42053</v>
      </c>
      <c r="T14666" s="29">
        <v>0.5</v>
      </c>
    </row>
    <row r="14667" spans="19:20" x14ac:dyDescent="0.25">
      <c r="S14667" s="78">
        <v>42054</v>
      </c>
      <c r="T14667" s="29">
        <v>0.5</v>
      </c>
    </row>
    <row r="14668" spans="19:20" x14ac:dyDescent="0.25">
      <c r="S14668" s="78">
        <v>42055</v>
      </c>
      <c r="T14668" s="29">
        <v>0.5</v>
      </c>
    </row>
    <row r="14669" spans="19:20" x14ac:dyDescent="0.25">
      <c r="S14669" s="78">
        <v>42056</v>
      </c>
      <c r="T14669" s="29">
        <v>0.5</v>
      </c>
    </row>
    <row r="14670" spans="19:20" x14ac:dyDescent="0.25">
      <c r="S14670" s="78">
        <v>42057</v>
      </c>
      <c r="T14670" s="29">
        <v>0.5</v>
      </c>
    </row>
    <row r="14671" spans="19:20" x14ac:dyDescent="0.25">
      <c r="S14671" s="78">
        <v>42058</v>
      </c>
      <c r="T14671" s="29">
        <v>0.5</v>
      </c>
    </row>
    <row r="14672" spans="19:20" x14ac:dyDescent="0.25">
      <c r="S14672" s="78">
        <v>42059</v>
      </c>
      <c r="T14672" s="29">
        <v>0.5</v>
      </c>
    </row>
    <row r="14673" spans="19:20" x14ac:dyDescent="0.25">
      <c r="S14673" s="78">
        <v>42060</v>
      </c>
      <c r="T14673" s="29">
        <v>0.5</v>
      </c>
    </row>
    <row r="14674" spans="19:20" x14ac:dyDescent="0.25">
      <c r="S14674" s="78">
        <v>42061</v>
      </c>
      <c r="T14674" s="29">
        <v>0.5</v>
      </c>
    </row>
    <row r="14675" spans="19:20" x14ac:dyDescent="0.25">
      <c r="S14675" s="78">
        <v>42062</v>
      </c>
      <c r="T14675" s="29">
        <v>0.5</v>
      </c>
    </row>
    <row r="14676" spans="19:20" x14ac:dyDescent="0.25">
      <c r="S14676" s="78">
        <v>42063</v>
      </c>
      <c r="T14676" s="29">
        <v>0.5</v>
      </c>
    </row>
    <row r="14677" spans="19:20" x14ac:dyDescent="0.25">
      <c r="S14677" s="78">
        <v>42064</v>
      </c>
      <c r="T14677" s="29">
        <v>0.5</v>
      </c>
    </row>
    <row r="14678" spans="19:20" x14ac:dyDescent="0.25">
      <c r="S14678" s="78">
        <v>42065</v>
      </c>
      <c r="T14678" s="29">
        <v>0.5</v>
      </c>
    </row>
    <row r="14679" spans="19:20" x14ac:dyDescent="0.25">
      <c r="S14679" s="78">
        <v>42066</v>
      </c>
      <c r="T14679" s="29">
        <v>0.5</v>
      </c>
    </row>
    <row r="14680" spans="19:20" x14ac:dyDescent="0.25">
      <c r="S14680" s="78">
        <v>42067</v>
      </c>
      <c r="T14680" s="29">
        <v>0.5</v>
      </c>
    </row>
    <row r="14681" spans="19:20" x14ac:dyDescent="0.25">
      <c r="S14681" s="78">
        <v>42068</v>
      </c>
      <c r="T14681" s="29">
        <v>0.5</v>
      </c>
    </row>
    <row r="14682" spans="19:20" x14ac:dyDescent="0.25">
      <c r="S14682" s="78">
        <v>42069</v>
      </c>
      <c r="T14682" s="29">
        <v>0.5</v>
      </c>
    </row>
    <row r="14683" spans="19:20" x14ac:dyDescent="0.25">
      <c r="S14683" s="78">
        <v>42070</v>
      </c>
      <c r="T14683" s="29">
        <v>0.5</v>
      </c>
    </row>
    <row r="14684" spans="19:20" x14ac:dyDescent="0.25">
      <c r="S14684" s="78">
        <v>42071</v>
      </c>
      <c r="T14684" s="29">
        <v>0.5</v>
      </c>
    </row>
    <row r="14685" spans="19:20" x14ac:dyDescent="0.25">
      <c r="S14685" s="78">
        <v>42072</v>
      </c>
      <c r="T14685" s="29">
        <v>0.5</v>
      </c>
    </row>
    <row r="14686" spans="19:20" x14ac:dyDescent="0.25">
      <c r="S14686" s="78">
        <v>42073</v>
      </c>
      <c r="T14686" s="29">
        <v>0.5</v>
      </c>
    </row>
    <row r="14687" spans="19:20" x14ac:dyDescent="0.25">
      <c r="S14687" s="78">
        <v>42074</v>
      </c>
      <c r="T14687" s="29">
        <v>0.5</v>
      </c>
    </row>
    <row r="14688" spans="19:20" x14ac:dyDescent="0.25">
      <c r="S14688" s="78">
        <v>42075</v>
      </c>
      <c r="T14688" s="29">
        <v>0.5</v>
      </c>
    </row>
    <row r="14689" spans="19:20" x14ac:dyDescent="0.25">
      <c r="S14689" s="78">
        <v>42076</v>
      </c>
      <c r="T14689" s="29">
        <v>0.5</v>
      </c>
    </row>
    <row r="14690" spans="19:20" x14ac:dyDescent="0.25">
      <c r="S14690" s="78">
        <v>42077</v>
      </c>
      <c r="T14690" s="29">
        <v>0.5</v>
      </c>
    </row>
    <row r="14691" spans="19:20" x14ac:dyDescent="0.25">
      <c r="S14691" s="78">
        <v>42078</v>
      </c>
      <c r="T14691" s="29">
        <v>0.5</v>
      </c>
    </row>
    <row r="14692" spans="19:20" x14ac:dyDescent="0.25">
      <c r="S14692" s="78">
        <v>42079</v>
      </c>
      <c r="T14692" s="29">
        <v>0.5</v>
      </c>
    </row>
    <row r="14693" spans="19:20" x14ac:dyDescent="0.25">
      <c r="S14693" s="78">
        <v>42080</v>
      </c>
      <c r="T14693" s="29">
        <v>0.5</v>
      </c>
    </row>
    <row r="14694" spans="19:20" x14ac:dyDescent="0.25">
      <c r="S14694" s="78">
        <v>42081</v>
      </c>
      <c r="T14694" s="29">
        <v>0.5</v>
      </c>
    </row>
    <row r="14695" spans="19:20" x14ac:dyDescent="0.25">
      <c r="S14695" s="78">
        <v>42082</v>
      </c>
      <c r="T14695" s="29">
        <v>0.5</v>
      </c>
    </row>
    <row r="14696" spans="19:20" x14ac:dyDescent="0.25">
      <c r="S14696" s="78">
        <v>42083</v>
      </c>
      <c r="T14696" s="29">
        <v>0.5</v>
      </c>
    </row>
    <row r="14697" spans="19:20" x14ac:dyDescent="0.25">
      <c r="S14697" s="78">
        <v>42084</v>
      </c>
      <c r="T14697" s="29">
        <v>0.5</v>
      </c>
    </row>
    <row r="14698" spans="19:20" x14ac:dyDescent="0.25">
      <c r="S14698" s="78">
        <v>42085</v>
      </c>
      <c r="T14698" s="29">
        <v>0.5</v>
      </c>
    </row>
    <row r="14699" spans="19:20" x14ac:dyDescent="0.25">
      <c r="S14699" s="78">
        <v>42086</v>
      </c>
      <c r="T14699" s="29">
        <v>0.5</v>
      </c>
    </row>
    <row r="14700" spans="19:20" x14ac:dyDescent="0.25">
      <c r="S14700" s="78">
        <v>42087</v>
      </c>
      <c r="T14700" s="29">
        <v>0.5</v>
      </c>
    </row>
    <row r="14701" spans="19:20" x14ac:dyDescent="0.25">
      <c r="S14701" s="78">
        <v>42088</v>
      </c>
      <c r="T14701" s="29">
        <v>0.5</v>
      </c>
    </row>
    <row r="14702" spans="19:20" x14ac:dyDescent="0.25">
      <c r="S14702" s="78">
        <v>42089</v>
      </c>
      <c r="T14702" s="29">
        <v>0.5</v>
      </c>
    </row>
    <row r="14703" spans="19:20" x14ac:dyDescent="0.25">
      <c r="S14703" s="78">
        <v>42090</v>
      </c>
      <c r="T14703" s="29">
        <v>0.5</v>
      </c>
    </row>
    <row r="14704" spans="19:20" x14ac:dyDescent="0.25">
      <c r="S14704" s="78">
        <v>42091</v>
      </c>
      <c r="T14704" s="29">
        <v>0.5</v>
      </c>
    </row>
    <row r="14705" spans="19:21" x14ac:dyDescent="0.25">
      <c r="S14705" s="78">
        <v>42092</v>
      </c>
      <c r="T14705" s="29">
        <v>0.5</v>
      </c>
    </row>
    <row r="14706" spans="19:21" x14ac:dyDescent="0.25">
      <c r="S14706" s="78">
        <v>42093</v>
      </c>
      <c r="T14706" s="29">
        <v>0.5</v>
      </c>
    </row>
    <row r="14707" spans="19:21" x14ac:dyDescent="0.25">
      <c r="S14707" s="78">
        <v>42094</v>
      </c>
      <c r="T14707" s="29">
        <v>0.5</v>
      </c>
      <c r="U14707" s="39">
        <f>AVERAGE(T14618:T14707)</f>
        <v>0.5</v>
      </c>
    </row>
    <row r="14708" spans="19:21" x14ac:dyDescent="0.25">
      <c r="S14708" s="78">
        <v>42095</v>
      </c>
      <c r="T14708" s="29">
        <v>0.5</v>
      </c>
    </row>
    <row r="14709" spans="19:21" x14ac:dyDescent="0.25">
      <c r="S14709" s="78">
        <v>42096</v>
      </c>
      <c r="T14709" s="29">
        <v>0.5</v>
      </c>
    </row>
    <row r="14710" spans="19:21" x14ac:dyDescent="0.25">
      <c r="S14710" s="78">
        <v>42097</v>
      </c>
      <c r="T14710" s="29">
        <v>0.5</v>
      </c>
    </row>
    <row r="14711" spans="19:21" x14ac:dyDescent="0.25">
      <c r="S14711" s="78">
        <v>42098</v>
      </c>
      <c r="T14711" s="29">
        <v>0.5</v>
      </c>
    </row>
    <row r="14712" spans="19:21" x14ac:dyDescent="0.25">
      <c r="S14712" s="78">
        <v>42099</v>
      </c>
      <c r="T14712" s="29">
        <v>0.5</v>
      </c>
    </row>
    <row r="14713" spans="19:21" x14ac:dyDescent="0.25">
      <c r="S14713" s="78">
        <v>42100</v>
      </c>
      <c r="T14713" s="29">
        <v>0.5</v>
      </c>
    </row>
    <row r="14714" spans="19:21" x14ac:dyDescent="0.25">
      <c r="S14714" s="78">
        <v>42101</v>
      </c>
      <c r="T14714" s="29">
        <v>0.5</v>
      </c>
    </row>
    <row r="14715" spans="19:21" x14ac:dyDescent="0.25">
      <c r="S14715" s="78">
        <v>42102</v>
      </c>
      <c r="T14715" s="29">
        <v>0.5</v>
      </c>
    </row>
    <row r="14716" spans="19:21" x14ac:dyDescent="0.25">
      <c r="S14716" s="78">
        <v>42103</v>
      </c>
      <c r="T14716" s="29">
        <v>0.5</v>
      </c>
    </row>
    <row r="14717" spans="19:21" x14ac:dyDescent="0.25">
      <c r="S14717" s="78">
        <v>42104</v>
      </c>
      <c r="T14717" s="29">
        <v>0.5</v>
      </c>
    </row>
    <row r="14718" spans="19:21" x14ac:dyDescent="0.25">
      <c r="S14718" s="78">
        <v>42105</v>
      </c>
      <c r="T14718" s="29">
        <v>0.5</v>
      </c>
    </row>
    <row r="14719" spans="19:21" x14ac:dyDescent="0.25">
      <c r="S14719" s="78">
        <v>42106</v>
      </c>
      <c r="T14719" s="29">
        <v>0.5</v>
      </c>
    </row>
    <row r="14720" spans="19:21" x14ac:dyDescent="0.25">
      <c r="S14720" s="78">
        <v>42107</v>
      </c>
      <c r="T14720" s="29">
        <v>0.5</v>
      </c>
    </row>
    <row r="14721" spans="19:20" x14ac:dyDescent="0.25">
      <c r="S14721" s="78">
        <v>42108</v>
      </c>
      <c r="T14721" s="29">
        <v>0.5</v>
      </c>
    </row>
    <row r="14722" spans="19:20" x14ac:dyDescent="0.25">
      <c r="S14722" s="78">
        <v>42109</v>
      </c>
      <c r="T14722" s="29">
        <v>0.5</v>
      </c>
    </row>
    <row r="14723" spans="19:20" x14ac:dyDescent="0.25">
      <c r="S14723" s="78">
        <v>42110</v>
      </c>
      <c r="T14723" s="29">
        <v>0.5</v>
      </c>
    </row>
    <row r="14724" spans="19:20" x14ac:dyDescent="0.25">
      <c r="S14724" s="78">
        <v>42111</v>
      </c>
      <c r="T14724" s="29">
        <v>0.5</v>
      </c>
    </row>
    <row r="14725" spans="19:20" x14ac:dyDescent="0.25">
      <c r="S14725" s="78">
        <v>42112</v>
      </c>
      <c r="T14725" s="29">
        <v>0.5</v>
      </c>
    </row>
    <row r="14726" spans="19:20" x14ac:dyDescent="0.25">
      <c r="S14726" s="78">
        <v>42113</v>
      </c>
      <c r="T14726" s="29">
        <v>0.5</v>
      </c>
    </row>
    <row r="14727" spans="19:20" x14ac:dyDescent="0.25">
      <c r="S14727" s="78">
        <v>42114</v>
      </c>
      <c r="T14727" s="29">
        <v>0.5</v>
      </c>
    </row>
    <row r="14728" spans="19:20" x14ac:dyDescent="0.25">
      <c r="S14728" s="78">
        <v>42115</v>
      </c>
      <c r="T14728" s="29">
        <v>0.5</v>
      </c>
    </row>
    <row r="14729" spans="19:20" x14ac:dyDescent="0.25">
      <c r="S14729" s="78">
        <v>42116</v>
      </c>
      <c r="T14729" s="29">
        <v>0.5</v>
      </c>
    </row>
    <row r="14730" spans="19:20" x14ac:dyDescent="0.25">
      <c r="S14730" s="78">
        <v>42117</v>
      </c>
      <c r="T14730" s="29">
        <v>0.5</v>
      </c>
    </row>
    <row r="14731" spans="19:20" x14ac:dyDescent="0.25">
      <c r="S14731" s="78">
        <v>42118</v>
      </c>
      <c r="T14731" s="29">
        <v>0.5</v>
      </c>
    </row>
    <row r="14732" spans="19:20" x14ac:dyDescent="0.25">
      <c r="S14732" s="78">
        <v>42119</v>
      </c>
      <c r="T14732" s="29">
        <v>0.5</v>
      </c>
    </row>
    <row r="14733" spans="19:20" x14ac:dyDescent="0.25">
      <c r="S14733" s="78">
        <v>42120</v>
      </c>
      <c r="T14733" s="29">
        <v>0.5</v>
      </c>
    </row>
    <row r="14734" spans="19:20" x14ac:dyDescent="0.25">
      <c r="S14734" s="78">
        <v>42121</v>
      </c>
      <c r="T14734" s="29">
        <v>0.5</v>
      </c>
    </row>
    <row r="14735" spans="19:20" x14ac:dyDescent="0.25">
      <c r="S14735" s="78">
        <v>42122</v>
      </c>
      <c r="T14735" s="29">
        <v>0.5</v>
      </c>
    </row>
    <row r="14736" spans="19:20" x14ac:dyDescent="0.25">
      <c r="S14736" s="78">
        <v>42123</v>
      </c>
      <c r="T14736" s="29">
        <v>0.5</v>
      </c>
    </row>
    <row r="14737" spans="19:20" x14ac:dyDescent="0.25">
      <c r="S14737" s="78">
        <v>42124</v>
      </c>
      <c r="T14737" s="29">
        <v>0.5</v>
      </c>
    </row>
    <row r="14738" spans="19:20" x14ac:dyDescent="0.25">
      <c r="S14738" s="78">
        <v>42125</v>
      </c>
      <c r="T14738" s="29">
        <v>0.5</v>
      </c>
    </row>
    <row r="14739" spans="19:20" x14ac:dyDescent="0.25">
      <c r="S14739" s="78">
        <v>42126</v>
      </c>
      <c r="T14739" s="29">
        <v>0.5</v>
      </c>
    </row>
    <row r="14740" spans="19:20" x14ac:dyDescent="0.25">
      <c r="S14740" s="78">
        <v>42127</v>
      </c>
      <c r="T14740" s="29">
        <v>0.5</v>
      </c>
    </row>
    <row r="14741" spans="19:20" x14ac:dyDescent="0.25">
      <c r="S14741" s="78">
        <v>42128</v>
      </c>
      <c r="T14741" s="29">
        <v>0.5</v>
      </c>
    </row>
    <row r="14742" spans="19:20" x14ac:dyDescent="0.25">
      <c r="S14742" s="78">
        <v>42129</v>
      </c>
      <c r="T14742" s="29">
        <v>0.5</v>
      </c>
    </row>
    <row r="14743" spans="19:20" x14ac:dyDescent="0.25">
      <c r="S14743" s="78">
        <v>42130</v>
      </c>
      <c r="T14743" s="29">
        <v>0.5</v>
      </c>
    </row>
    <row r="14744" spans="19:20" x14ac:dyDescent="0.25">
      <c r="S14744" s="78">
        <v>42131</v>
      </c>
      <c r="T14744" s="29">
        <v>0.5</v>
      </c>
    </row>
    <row r="14745" spans="19:20" x14ac:dyDescent="0.25">
      <c r="S14745" s="78">
        <v>42132</v>
      </c>
      <c r="T14745" s="29">
        <v>0.5</v>
      </c>
    </row>
    <row r="14746" spans="19:20" x14ac:dyDescent="0.25">
      <c r="S14746" s="78">
        <v>42133</v>
      </c>
      <c r="T14746" s="29">
        <v>0.5</v>
      </c>
    </row>
    <row r="14747" spans="19:20" x14ac:dyDescent="0.25">
      <c r="S14747" s="78">
        <v>42134</v>
      </c>
      <c r="T14747" s="29">
        <v>0.5</v>
      </c>
    </row>
    <row r="14748" spans="19:20" x14ac:dyDescent="0.25">
      <c r="S14748" s="78">
        <v>42135</v>
      </c>
      <c r="T14748" s="29">
        <v>0.5</v>
      </c>
    </row>
    <row r="14749" spans="19:20" x14ac:dyDescent="0.25">
      <c r="S14749" s="78">
        <v>42136</v>
      </c>
      <c r="T14749" s="29">
        <v>0.5</v>
      </c>
    </row>
    <row r="14750" spans="19:20" x14ac:dyDescent="0.25">
      <c r="S14750" s="78">
        <v>42137</v>
      </c>
      <c r="T14750" s="29">
        <v>0.5</v>
      </c>
    </row>
    <row r="14751" spans="19:20" x14ac:dyDescent="0.25">
      <c r="S14751" s="78">
        <v>42138</v>
      </c>
      <c r="T14751" s="29">
        <v>0.5</v>
      </c>
    </row>
    <row r="14752" spans="19:20" x14ac:dyDescent="0.25">
      <c r="S14752" s="78">
        <v>42139</v>
      </c>
      <c r="T14752" s="29">
        <v>0.5</v>
      </c>
    </row>
    <row r="14753" spans="19:20" x14ac:dyDescent="0.25">
      <c r="S14753" s="78">
        <v>42140</v>
      </c>
      <c r="T14753" s="29">
        <v>0.5</v>
      </c>
    </row>
    <row r="14754" spans="19:20" x14ac:dyDescent="0.25">
      <c r="S14754" s="78">
        <v>42141</v>
      </c>
      <c r="T14754" s="29">
        <v>0.5</v>
      </c>
    </row>
    <row r="14755" spans="19:20" x14ac:dyDescent="0.25">
      <c r="S14755" s="78">
        <v>42142</v>
      </c>
      <c r="T14755" s="29">
        <v>0.5</v>
      </c>
    </row>
    <row r="14756" spans="19:20" x14ac:dyDescent="0.25">
      <c r="S14756" s="78">
        <v>42143</v>
      </c>
      <c r="T14756" s="29">
        <v>0.5</v>
      </c>
    </row>
    <row r="14757" spans="19:20" x14ac:dyDescent="0.25">
      <c r="S14757" s="78">
        <v>42144</v>
      </c>
      <c r="T14757" s="29">
        <v>0.5</v>
      </c>
    </row>
    <row r="14758" spans="19:20" x14ac:dyDescent="0.25">
      <c r="S14758" s="78">
        <v>42145</v>
      </c>
      <c r="T14758" s="29">
        <v>0.5</v>
      </c>
    </row>
    <row r="14759" spans="19:20" x14ac:dyDescent="0.25">
      <c r="S14759" s="78">
        <v>42146</v>
      </c>
      <c r="T14759" s="29">
        <v>0.5</v>
      </c>
    </row>
    <row r="14760" spans="19:20" x14ac:dyDescent="0.25">
      <c r="S14760" s="78">
        <v>42147</v>
      </c>
      <c r="T14760" s="29">
        <v>0.5</v>
      </c>
    </row>
    <row r="14761" spans="19:20" x14ac:dyDescent="0.25">
      <c r="S14761" s="78">
        <v>42148</v>
      </c>
      <c r="T14761" s="29">
        <v>0.5</v>
      </c>
    </row>
    <row r="14762" spans="19:20" x14ac:dyDescent="0.25">
      <c r="S14762" s="78">
        <v>42149</v>
      </c>
      <c r="T14762" s="29">
        <v>0.5</v>
      </c>
    </row>
    <row r="14763" spans="19:20" x14ac:dyDescent="0.25">
      <c r="S14763" s="78">
        <v>42150</v>
      </c>
      <c r="T14763" s="29">
        <v>0.5</v>
      </c>
    </row>
    <row r="14764" spans="19:20" x14ac:dyDescent="0.25">
      <c r="S14764" s="78">
        <v>42151</v>
      </c>
      <c r="T14764" s="29">
        <v>0.5</v>
      </c>
    </row>
    <row r="14765" spans="19:20" x14ac:dyDescent="0.25">
      <c r="S14765" s="78">
        <v>42152</v>
      </c>
      <c r="T14765" s="29">
        <v>0.5</v>
      </c>
    </row>
    <row r="14766" spans="19:20" x14ac:dyDescent="0.25">
      <c r="S14766" s="78">
        <v>42153</v>
      </c>
      <c r="T14766" s="29">
        <v>0.5</v>
      </c>
    </row>
    <row r="14767" spans="19:20" x14ac:dyDescent="0.25">
      <c r="S14767" s="78">
        <v>42154</v>
      </c>
      <c r="T14767" s="29">
        <v>0.5</v>
      </c>
    </row>
    <row r="14768" spans="19:20" x14ac:dyDescent="0.25">
      <c r="S14768" s="78">
        <v>42155</v>
      </c>
      <c r="T14768" s="29">
        <v>0.5</v>
      </c>
    </row>
    <row r="14769" spans="19:20" x14ac:dyDescent="0.25">
      <c r="S14769" s="78">
        <v>42156</v>
      </c>
      <c r="T14769" s="29">
        <v>0.5</v>
      </c>
    </row>
    <row r="14770" spans="19:20" x14ac:dyDescent="0.25">
      <c r="S14770" s="78">
        <v>42157</v>
      </c>
      <c r="T14770" s="29">
        <v>0.5</v>
      </c>
    </row>
    <row r="14771" spans="19:20" x14ac:dyDescent="0.25">
      <c r="S14771" s="78">
        <v>42158</v>
      </c>
      <c r="T14771" s="29">
        <v>0.5</v>
      </c>
    </row>
    <row r="14772" spans="19:20" x14ac:dyDescent="0.25">
      <c r="S14772" s="78">
        <v>42159</v>
      </c>
      <c r="T14772" s="29">
        <v>0.5</v>
      </c>
    </row>
    <row r="14773" spans="19:20" x14ac:dyDescent="0.25">
      <c r="S14773" s="78">
        <v>42160</v>
      </c>
      <c r="T14773" s="29">
        <v>0.5</v>
      </c>
    </row>
    <row r="14774" spans="19:20" x14ac:dyDescent="0.25">
      <c r="S14774" s="78">
        <v>42161</v>
      </c>
      <c r="T14774" s="29">
        <v>0.5</v>
      </c>
    </row>
    <row r="14775" spans="19:20" x14ac:dyDescent="0.25">
      <c r="S14775" s="78">
        <v>42162</v>
      </c>
      <c r="T14775" s="29">
        <v>0.5</v>
      </c>
    </row>
    <row r="14776" spans="19:20" x14ac:dyDescent="0.25">
      <c r="S14776" s="78">
        <v>42163</v>
      </c>
      <c r="T14776" s="29">
        <v>0.5</v>
      </c>
    </row>
    <row r="14777" spans="19:20" x14ac:dyDescent="0.25">
      <c r="S14777" s="78">
        <v>42164</v>
      </c>
      <c r="T14777" s="29">
        <v>0.5</v>
      </c>
    </row>
    <row r="14778" spans="19:20" x14ac:dyDescent="0.25">
      <c r="S14778" s="78">
        <v>42165</v>
      </c>
      <c r="T14778" s="29">
        <v>0.5</v>
      </c>
    </row>
    <row r="14779" spans="19:20" x14ac:dyDescent="0.25">
      <c r="S14779" s="78">
        <v>42166</v>
      </c>
      <c r="T14779" s="29">
        <v>0.5</v>
      </c>
    </row>
    <row r="14780" spans="19:20" x14ac:dyDescent="0.25">
      <c r="S14780" s="78">
        <v>42167</v>
      </c>
      <c r="T14780" s="29">
        <v>0.5</v>
      </c>
    </row>
    <row r="14781" spans="19:20" x14ac:dyDescent="0.25">
      <c r="S14781" s="78">
        <v>42168</v>
      </c>
      <c r="T14781" s="29">
        <v>0.5</v>
      </c>
    </row>
    <row r="14782" spans="19:20" x14ac:dyDescent="0.25">
      <c r="S14782" s="78">
        <v>42169</v>
      </c>
      <c r="T14782" s="29">
        <v>0.5</v>
      </c>
    </row>
    <row r="14783" spans="19:20" x14ac:dyDescent="0.25">
      <c r="S14783" s="78">
        <v>42170</v>
      </c>
      <c r="T14783" s="29">
        <v>0.5</v>
      </c>
    </row>
    <row r="14784" spans="19:20" x14ac:dyDescent="0.25">
      <c r="S14784" s="78">
        <v>42171</v>
      </c>
      <c r="T14784" s="29">
        <v>0.5</v>
      </c>
    </row>
    <row r="14785" spans="19:21" x14ac:dyDescent="0.25">
      <c r="S14785" s="78">
        <v>42172</v>
      </c>
      <c r="T14785" s="29">
        <v>0.5</v>
      </c>
    </row>
    <row r="14786" spans="19:21" x14ac:dyDescent="0.25">
      <c r="S14786" s="78">
        <v>42173</v>
      </c>
      <c r="T14786" s="29">
        <v>0.5</v>
      </c>
    </row>
    <row r="14787" spans="19:21" x14ac:dyDescent="0.25">
      <c r="S14787" s="78">
        <v>42174</v>
      </c>
      <c r="T14787" s="29">
        <v>0.5</v>
      </c>
    </row>
    <row r="14788" spans="19:21" x14ac:dyDescent="0.25">
      <c r="S14788" s="78">
        <v>42175</v>
      </c>
      <c r="T14788" s="29">
        <v>0.5</v>
      </c>
    </row>
    <row r="14789" spans="19:21" x14ac:dyDescent="0.25">
      <c r="S14789" s="78">
        <v>42176</v>
      </c>
      <c r="T14789" s="29">
        <v>0.5</v>
      </c>
    </row>
    <row r="14790" spans="19:21" x14ac:dyDescent="0.25">
      <c r="S14790" s="78">
        <v>42177</v>
      </c>
      <c r="T14790" s="29">
        <v>0.5</v>
      </c>
    </row>
    <row r="14791" spans="19:21" x14ac:dyDescent="0.25">
      <c r="S14791" s="78">
        <v>42178</v>
      </c>
      <c r="T14791" s="29">
        <v>0.5</v>
      </c>
    </row>
    <row r="14792" spans="19:21" x14ac:dyDescent="0.25">
      <c r="S14792" s="78">
        <v>42179</v>
      </c>
      <c r="T14792" s="29">
        <v>0.5</v>
      </c>
    </row>
    <row r="14793" spans="19:21" x14ac:dyDescent="0.25">
      <c r="S14793" s="78">
        <v>42180</v>
      </c>
      <c r="T14793" s="29">
        <v>0.5</v>
      </c>
    </row>
    <row r="14794" spans="19:21" x14ac:dyDescent="0.25">
      <c r="S14794" s="78">
        <v>42181</v>
      </c>
      <c r="T14794" s="29">
        <v>0.5</v>
      </c>
    </row>
    <row r="14795" spans="19:21" x14ac:dyDescent="0.25">
      <c r="S14795" s="78">
        <v>42182</v>
      </c>
      <c r="T14795" s="29">
        <v>0.5</v>
      </c>
    </row>
    <row r="14796" spans="19:21" x14ac:dyDescent="0.25">
      <c r="S14796" s="78">
        <v>42183</v>
      </c>
      <c r="T14796" s="29">
        <v>0.5</v>
      </c>
    </row>
    <row r="14797" spans="19:21" x14ac:dyDescent="0.25">
      <c r="S14797" s="78">
        <v>42184</v>
      </c>
      <c r="T14797" s="29">
        <v>0.5</v>
      </c>
    </row>
    <row r="14798" spans="19:21" x14ac:dyDescent="0.25">
      <c r="S14798" s="78">
        <v>42185</v>
      </c>
      <c r="T14798" s="29">
        <v>0.5</v>
      </c>
      <c r="U14798" s="40">
        <f>AVERAGE(T14708:T14798)</f>
        <v>0.5</v>
      </c>
    </row>
    <row r="14799" spans="19:21" x14ac:dyDescent="0.25">
      <c r="S14799" s="78">
        <v>42186</v>
      </c>
      <c r="T14799" s="29">
        <v>0.5</v>
      </c>
    </row>
    <row r="14800" spans="19:21" x14ac:dyDescent="0.25">
      <c r="S14800" s="78">
        <v>42187</v>
      </c>
      <c r="T14800" s="29">
        <v>0.5</v>
      </c>
    </row>
    <row r="14801" spans="19:20" x14ac:dyDescent="0.25">
      <c r="S14801" s="78">
        <v>42188</v>
      </c>
      <c r="T14801" s="29">
        <v>0.5</v>
      </c>
    </row>
    <row r="14802" spans="19:20" x14ac:dyDescent="0.25">
      <c r="S14802" s="78">
        <v>42189</v>
      </c>
      <c r="T14802" s="29">
        <v>0.5</v>
      </c>
    </row>
    <row r="14803" spans="19:20" x14ac:dyDescent="0.25">
      <c r="S14803" s="78">
        <v>42190</v>
      </c>
      <c r="T14803" s="29">
        <v>0.5</v>
      </c>
    </row>
    <row r="14804" spans="19:20" x14ac:dyDescent="0.25">
      <c r="S14804" s="78">
        <v>42191</v>
      </c>
      <c r="T14804" s="29">
        <v>0.5</v>
      </c>
    </row>
    <row r="14805" spans="19:20" x14ac:dyDescent="0.25">
      <c r="S14805" s="78">
        <v>42192</v>
      </c>
      <c r="T14805" s="29">
        <v>0.5</v>
      </c>
    </row>
    <row r="14806" spans="19:20" x14ac:dyDescent="0.25">
      <c r="S14806" s="78">
        <v>42193</v>
      </c>
      <c r="T14806" s="29">
        <v>0.5</v>
      </c>
    </row>
    <row r="14807" spans="19:20" x14ac:dyDescent="0.25">
      <c r="S14807" s="78">
        <v>42194</v>
      </c>
      <c r="T14807" s="29">
        <v>0.5</v>
      </c>
    </row>
    <row r="14808" spans="19:20" x14ac:dyDescent="0.25">
      <c r="S14808" s="78">
        <v>42195</v>
      </c>
      <c r="T14808" s="29">
        <v>0.5</v>
      </c>
    </row>
    <row r="14809" spans="19:20" x14ac:dyDescent="0.25">
      <c r="S14809" s="78">
        <v>42196</v>
      </c>
      <c r="T14809" s="29">
        <v>0.5</v>
      </c>
    </row>
    <row r="14810" spans="19:20" x14ac:dyDescent="0.25">
      <c r="S14810" s="78">
        <v>42197</v>
      </c>
      <c r="T14810" s="29">
        <v>0.5</v>
      </c>
    </row>
    <row r="14811" spans="19:20" x14ac:dyDescent="0.25">
      <c r="S14811" s="78">
        <v>42198</v>
      </c>
      <c r="T14811" s="29">
        <v>0.5</v>
      </c>
    </row>
    <row r="14812" spans="19:20" x14ac:dyDescent="0.25">
      <c r="S14812" s="78">
        <v>42199</v>
      </c>
      <c r="T14812" s="29">
        <v>0.5</v>
      </c>
    </row>
    <row r="14813" spans="19:20" x14ac:dyDescent="0.25">
      <c r="S14813" s="78">
        <v>42200</v>
      </c>
      <c r="T14813" s="29">
        <v>0.5</v>
      </c>
    </row>
    <row r="14814" spans="19:20" x14ac:dyDescent="0.25">
      <c r="S14814" s="78">
        <v>42201</v>
      </c>
      <c r="T14814" s="29">
        <v>0.5</v>
      </c>
    </row>
    <row r="14815" spans="19:20" x14ac:dyDescent="0.25">
      <c r="S14815" s="78">
        <v>42202</v>
      </c>
      <c r="T14815" s="29">
        <v>0.5</v>
      </c>
    </row>
    <row r="14816" spans="19:20" x14ac:dyDescent="0.25">
      <c r="S14816" s="78">
        <v>42203</v>
      </c>
      <c r="T14816" s="29">
        <v>0.5</v>
      </c>
    </row>
    <row r="14817" spans="19:20" x14ac:dyDescent="0.25">
      <c r="S14817" s="78">
        <v>42204</v>
      </c>
      <c r="T14817" s="29">
        <v>0.5</v>
      </c>
    </row>
    <row r="14818" spans="19:20" x14ac:dyDescent="0.25">
      <c r="S14818" s="78">
        <v>42205</v>
      </c>
      <c r="T14818" s="29">
        <v>0.5</v>
      </c>
    </row>
    <row r="14819" spans="19:20" x14ac:dyDescent="0.25">
      <c r="S14819" s="78">
        <v>42206</v>
      </c>
      <c r="T14819" s="29">
        <v>0.5</v>
      </c>
    </row>
    <row r="14820" spans="19:20" x14ac:dyDescent="0.25">
      <c r="S14820" s="78">
        <v>42207</v>
      </c>
      <c r="T14820" s="29">
        <v>0.5</v>
      </c>
    </row>
    <row r="14821" spans="19:20" x14ac:dyDescent="0.25">
      <c r="S14821" s="78">
        <v>42208</v>
      </c>
      <c r="T14821" s="29">
        <v>0.5</v>
      </c>
    </row>
    <row r="14822" spans="19:20" x14ac:dyDescent="0.25">
      <c r="S14822" s="78">
        <v>42209</v>
      </c>
      <c r="T14822" s="29">
        <v>0.5</v>
      </c>
    </row>
    <row r="14823" spans="19:20" x14ac:dyDescent="0.25">
      <c r="S14823" s="78">
        <v>42210</v>
      </c>
      <c r="T14823" s="29">
        <v>0.5</v>
      </c>
    </row>
    <row r="14824" spans="19:20" x14ac:dyDescent="0.25">
      <c r="S14824" s="78">
        <v>42211</v>
      </c>
      <c r="T14824" s="29">
        <v>0.5</v>
      </c>
    </row>
    <row r="14825" spans="19:20" x14ac:dyDescent="0.25">
      <c r="S14825" s="78">
        <v>42212</v>
      </c>
      <c r="T14825" s="29">
        <v>0.5</v>
      </c>
    </row>
    <row r="14826" spans="19:20" x14ac:dyDescent="0.25">
      <c r="S14826" s="78">
        <v>42213</v>
      </c>
      <c r="T14826" s="29">
        <v>0.5</v>
      </c>
    </row>
    <row r="14827" spans="19:20" x14ac:dyDescent="0.25">
      <c r="S14827" s="78">
        <v>42214</v>
      </c>
      <c r="T14827" s="29">
        <v>0.5</v>
      </c>
    </row>
    <row r="14828" spans="19:20" x14ac:dyDescent="0.25">
      <c r="S14828" s="78">
        <v>42215</v>
      </c>
      <c r="T14828" s="29">
        <v>0.5</v>
      </c>
    </row>
    <row r="14829" spans="19:20" x14ac:dyDescent="0.25">
      <c r="S14829" s="78">
        <v>42216</v>
      </c>
      <c r="T14829" s="29">
        <v>0.5</v>
      </c>
    </row>
    <row r="14830" spans="19:20" x14ac:dyDescent="0.25">
      <c r="S14830" s="78">
        <v>42217</v>
      </c>
      <c r="T14830" s="29">
        <v>0.5</v>
      </c>
    </row>
    <row r="14831" spans="19:20" x14ac:dyDescent="0.25">
      <c r="S14831" s="78">
        <v>42218</v>
      </c>
      <c r="T14831" s="29">
        <v>0.5</v>
      </c>
    </row>
    <row r="14832" spans="19:20" x14ac:dyDescent="0.25">
      <c r="S14832" s="78">
        <v>42219</v>
      </c>
      <c r="T14832" s="29">
        <v>0.5</v>
      </c>
    </row>
    <row r="14833" spans="19:20" x14ac:dyDescent="0.25">
      <c r="S14833" s="78">
        <v>42220</v>
      </c>
      <c r="T14833" s="29">
        <v>0.5</v>
      </c>
    </row>
    <row r="14834" spans="19:20" x14ac:dyDescent="0.25">
      <c r="S14834" s="78">
        <v>42221</v>
      </c>
      <c r="T14834" s="29">
        <v>0.5</v>
      </c>
    </row>
    <row r="14835" spans="19:20" x14ac:dyDescent="0.25">
      <c r="S14835" s="78">
        <v>42222</v>
      </c>
      <c r="T14835" s="29">
        <v>0.5</v>
      </c>
    </row>
    <row r="14836" spans="19:20" x14ac:dyDescent="0.25">
      <c r="S14836" s="78">
        <v>42223</v>
      </c>
      <c r="T14836" s="29">
        <v>0.5</v>
      </c>
    </row>
    <row r="14837" spans="19:20" x14ac:dyDescent="0.25">
      <c r="S14837" s="78">
        <v>42224</v>
      </c>
      <c r="T14837" s="29">
        <v>0.5</v>
      </c>
    </row>
    <row r="14838" spans="19:20" x14ac:dyDescent="0.25">
      <c r="S14838" s="78">
        <v>42225</v>
      </c>
      <c r="T14838" s="29">
        <v>0.5</v>
      </c>
    </row>
    <row r="14839" spans="19:20" x14ac:dyDescent="0.25">
      <c r="S14839" s="78">
        <v>42226</v>
      </c>
      <c r="T14839" s="29">
        <v>0.5</v>
      </c>
    </row>
    <row r="14840" spans="19:20" x14ac:dyDescent="0.25">
      <c r="S14840" s="78">
        <v>42227</v>
      </c>
      <c r="T14840" s="29">
        <v>0.5</v>
      </c>
    </row>
    <row r="14841" spans="19:20" x14ac:dyDescent="0.25">
      <c r="S14841" s="78">
        <v>42228</v>
      </c>
      <c r="T14841" s="29">
        <v>0.5</v>
      </c>
    </row>
    <row r="14842" spans="19:20" x14ac:dyDescent="0.25">
      <c r="S14842" s="78">
        <v>42229</v>
      </c>
      <c r="T14842" s="29">
        <v>0.5</v>
      </c>
    </row>
    <row r="14843" spans="19:20" x14ac:dyDescent="0.25">
      <c r="S14843" s="78">
        <v>42230</v>
      </c>
      <c r="T14843" s="29">
        <v>0.5</v>
      </c>
    </row>
    <row r="14844" spans="19:20" x14ac:dyDescent="0.25">
      <c r="S14844" s="78">
        <v>42231</v>
      </c>
      <c r="T14844" s="29">
        <v>0.5</v>
      </c>
    </row>
    <row r="14845" spans="19:20" x14ac:dyDescent="0.25">
      <c r="S14845" s="78">
        <v>42232</v>
      </c>
      <c r="T14845" s="29">
        <v>0.5</v>
      </c>
    </row>
    <row r="14846" spans="19:20" x14ac:dyDescent="0.25">
      <c r="S14846" s="78">
        <v>42233</v>
      </c>
      <c r="T14846" s="29">
        <v>0.5</v>
      </c>
    </row>
    <row r="14847" spans="19:20" x14ac:dyDescent="0.25">
      <c r="S14847" s="78">
        <v>42234</v>
      </c>
      <c r="T14847" s="29">
        <v>0.5</v>
      </c>
    </row>
    <row r="14848" spans="19:20" x14ac:dyDescent="0.25">
      <c r="S14848" s="78">
        <v>42235</v>
      </c>
      <c r="T14848" s="29">
        <v>0.5</v>
      </c>
    </row>
    <row r="14849" spans="19:20" x14ac:dyDescent="0.25">
      <c r="S14849" s="78">
        <v>42236</v>
      </c>
      <c r="T14849" s="29">
        <v>0.5</v>
      </c>
    </row>
    <row r="14850" spans="19:20" x14ac:dyDescent="0.25">
      <c r="S14850" s="78">
        <v>42237</v>
      </c>
      <c r="T14850" s="29">
        <v>0.5</v>
      </c>
    </row>
    <row r="14851" spans="19:20" x14ac:dyDescent="0.25">
      <c r="S14851" s="78">
        <v>42238</v>
      </c>
      <c r="T14851" s="29">
        <v>0.5</v>
      </c>
    </row>
    <row r="14852" spans="19:20" x14ac:dyDescent="0.25">
      <c r="S14852" s="78">
        <v>42239</v>
      </c>
      <c r="T14852" s="29">
        <v>0.5</v>
      </c>
    </row>
    <row r="14853" spans="19:20" x14ac:dyDescent="0.25">
      <c r="S14853" s="78">
        <v>42240</v>
      </c>
      <c r="T14853" s="29">
        <v>0.5</v>
      </c>
    </row>
    <row r="14854" spans="19:20" x14ac:dyDescent="0.25">
      <c r="S14854" s="78">
        <v>42241</v>
      </c>
      <c r="T14854" s="29">
        <v>0.5</v>
      </c>
    </row>
    <row r="14855" spans="19:20" x14ac:dyDescent="0.25">
      <c r="S14855" s="78">
        <v>42242</v>
      </c>
      <c r="T14855" s="29">
        <v>0.5</v>
      </c>
    </row>
    <row r="14856" spans="19:20" x14ac:dyDescent="0.25">
      <c r="S14856" s="78">
        <v>42243</v>
      </c>
      <c r="T14856" s="29">
        <v>0.5</v>
      </c>
    </row>
    <row r="14857" spans="19:20" x14ac:dyDescent="0.25">
      <c r="S14857" s="78">
        <v>42244</v>
      </c>
      <c r="T14857" s="29">
        <v>0.5</v>
      </c>
    </row>
    <row r="14858" spans="19:20" x14ac:dyDescent="0.25">
      <c r="S14858" s="78">
        <v>42245</v>
      </c>
      <c r="T14858" s="29">
        <v>0.5</v>
      </c>
    </row>
    <row r="14859" spans="19:20" x14ac:dyDescent="0.25">
      <c r="S14859" s="78">
        <v>42246</v>
      </c>
      <c r="T14859" s="29">
        <v>0.5</v>
      </c>
    </row>
    <row r="14860" spans="19:20" x14ac:dyDescent="0.25">
      <c r="S14860" s="78">
        <v>42247</v>
      </c>
      <c r="T14860" s="29">
        <v>0.5</v>
      </c>
    </row>
    <row r="14861" spans="19:20" x14ac:dyDescent="0.25">
      <c r="S14861" s="78">
        <v>42248</v>
      </c>
      <c r="T14861" s="29">
        <v>0.5</v>
      </c>
    </row>
    <row r="14862" spans="19:20" x14ac:dyDescent="0.25">
      <c r="S14862" s="78">
        <v>42249</v>
      </c>
      <c r="T14862" s="29">
        <v>0.5</v>
      </c>
    </row>
    <row r="14863" spans="19:20" x14ac:dyDescent="0.25">
      <c r="S14863" s="78">
        <v>42250</v>
      </c>
      <c r="T14863" s="29">
        <v>0.5</v>
      </c>
    </row>
    <row r="14864" spans="19:20" x14ac:dyDescent="0.25">
      <c r="S14864" s="78">
        <v>42251</v>
      </c>
      <c r="T14864" s="29">
        <v>0.5</v>
      </c>
    </row>
    <row r="14865" spans="19:20" x14ac:dyDescent="0.25">
      <c r="S14865" s="78">
        <v>42252</v>
      </c>
      <c r="T14865" s="29">
        <v>0.5</v>
      </c>
    </row>
    <row r="14866" spans="19:20" x14ac:dyDescent="0.25">
      <c r="S14866" s="78">
        <v>42253</v>
      </c>
      <c r="T14866" s="29">
        <v>0.5</v>
      </c>
    </row>
    <row r="14867" spans="19:20" x14ac:dyDescent="0.25">
      <c r="S14867" s="78">
        <v>42254</v>
      </c>
      <c r="T14867" s="29">
        <v>0.5</v>
      </c>
    </row>
    <row r="14868" spans="19:20" x14ac:dyDescent="0.25">
      <c r="S14868" s="78">
        <v>42255</v>
      </c>
      <c r="T14868" s="29">
        <v>0.5</v>
      </c>
    </row>
    <row r="14869" spans="19:20" x14ac:dyDescent="0.25">
      <c r="S14869" s="78">
        <v>42256</v>
      </c>
      <c r="T14869" s="29">
        <v>0.5</v>
      </c>
    </row>
    <row r="14870" spans="19:20" x14ac:dyDescent="0.25">
      <c r="S14870" s="78">
        <v>42257</v>
      </c>
      <c r="T14870" s="29">
        <v>0.5</v>
      </c>
    </row>
    <row r="14871" spans="19:20" x14ac:dyDescent="0.25">
      <c r="S14871" s="78">
        <v>42258</v>
      </c>
      <c r="T14871" s="29">
        <v>0.5</v>
      </c>
    </row>
    <row r="14872" spans="19:20" x14ac:dyDescent="0.25">
      <c r="S14872" s="78">
        <v>42259</v>
      </c>
      <c r="T14872" s="29">
        <v>0.5</v>
      </c>
    </row>
    <row r="14873" spans="19:20" x14ac:dyDescent="0.25">
      <c r="S14873" s="78">
        <v>42260</v>
      </c>
      <c r="T14873" s="29">
        <v>0.5</v>
      </c>
    </row>
    <row r="14874" spans="19:20" x14ac:dyDescent="0.25">
      <c r="S14874" s="78">
        <v>42261</v>
      </c>
      <c r="T14874" s="29">
        <v>0.5</v>
      </c>
    </row>
    <row r="14875" spans="19:20" x14ac:dyDescent="0.25">
      <c r="S14875" s="78">
        <v>42262</v>
      </c>
      <c r="T14875" s="29">
        <v>0.5</v>
      </c>
    </row>
    <row r="14876" spans="19:20" x14ac:dyDescent="0.25">
      <c r="S14876" s="78">
        <v>42263</v>
      </c>
      <c r="T14876" s="29">
        <v>0.5</v>
      </c>
    </row>
    <row r="14877" spans="19:20" x14ac:dyDescent="0.25">
      <c r="S14877" s="78">
        <v>42264</v>
      </c>
      <c r="T14877" s="29">
        <v>0.5</v>
      </c>
    </row>
    <row r="14878" spans="19:20" x14ac:dyDescent="0.25">
      <c r="S14878" s="78">
        <v>42265</v>
      </c>
      <c r="T14878" s="29">
        <v>0.5</v>
      </c>
    </row>
    <row r="14879" spans="19:20" x14ac:dyDescent="0.25">
      <c r="S14879" s="78">
        <v>42266</v>
      </c>
      <c r="T14879" s="29">
        <v>0.5</v>
      </c>
    </row>
    <row r="14880" spans="19:20" x14ac:dyDescent="0.25">
      <c r="S14880" s="78">
        <v>42267</v>
      </c>
      <c r="T14880" s="29">
        <v>0.5</v>
      </c>
    </row>
    <row r="14881" spans="19:21" x14ac:dyDescent="0.25">
      <c r="S14881" s="78">
        <v>42268</v>
      </c>
      <c r="T14881" s="29">
        <v>0.5</v>
      </c>
    </row>
    <row r="14882" spans="19:21" x14ac:dyDescent="0.25">
      <c r="S14882" s="78">
        <v>42269</v>
      </c>
      <c r="T14882" s="29">
        <v>0.5</v>
      </c>
    </row>
    <row r="14883" spans="19:21" x14ac:dyDescent="0.25">
      <c r="S14883" s="78">
        <v>42270</v>
      </c>
      <c r="T14883" s="29">
        <v>0.5</v>
      </c>
    </row>
    <row r="14884" spans="19:21" x14ac:dyDescent="0.25">
      <c r="S14884" s="78">
        <v>42271</v>
      </c>
      <c r="T14884" s="29">
        <v>0.5</v>
      </c>
    </row>
    <row r="14885" spans="19:21" x14ac:dyDescent="0.25">
      <c r="S14885" s="78">
        <v>42272</v>
      </c>
      <c r="T14885" s="29">
        <v>0.5</v>
      </c>
    </row>
    <row r="14886" spans="19:21" x14ac:dyDescent="0.25">
      <c r="S14886" s="78">
        <v>42273</v>
      </c>
      <c r="T14886" s="29">
        <v>0.5</v>
      </c>
    </row>
    <row r="14887" spans="19:21" x14ac:dyDescent="0.25">
      <c r="S14887" s="78">
        <v>42274</v>
      </c>
      <c r="T14887" s="29">
        <v>0.5</v>
      </c>
    </row>
    <row r="14888" spans="19:21" x14ac:dyDescent="0.25">
      <c r="S14888" s="78">
        <v>42275</v>
      </c>
      <c r="T14888" s="29">
        <v>0.5</v>
      </c>
    </row>
    <row r="14889" spans="19:21" x14ac:dyDescent="0.25">
      <c r="S14889" s="78">
        <v>42276</v>
      </c>
      <c r="T14889" s="29">
        <v>0.5</v>
      </c>
    </row>
    <row r="14890" spans="19:21" x14ac:dyDescent="0.25">
      <c r="S14890" s="78">
        <v>42277</v>
      </c>
      <c r="T14890" s="29">
        <v>0.5</v>
      </c>
      <c r="U14890" s="40">
        <f>AVERAGE(T14799:T14890)</f>
        <v>0.5</v>
      </c>
    </row>
    <row r="14891" spans="19:21" x14ac:dyDescent="0.25">
      <c r="S14891" s="78">
        <v>42278</v>
      </c>
      <c r="T14891" s="29">
        <v>0.5</v>
      </c>
    </row>
    <row r="14892" spans="19:21" x14ac:dyDescent="0.25">
      <c r="S14892" s="78">
        <v>42279</v>
      </c>
      <c r="T14892" s="29">
        <v>0.5</v>
      </c>
    </row>
    <row r="14893" spans="19:21" x14ac:dyDescent="0.25">
      <c r="S14893" s="78">
        <v>42280</v>
      </c>
      <c r="T14893" s="29">
        <v>0.5</v>
      </c>
    </row>
    <row r="14894" spans="19:21" x14ac:dyDescent="0.25">
      <c r="S14894" s="78">
        <v>42281</v>
      </c>
      <c r="T14894" s="29">
        <v>0.5</v>
      </c>
    </row>
    <row r="14895" spans="19:21" x14ac:dyDescent="0.25">
      <c r="S14895" s="78">
        <v>42282</v>
      </c>
      <c r="T14895" s="29">
        <v>0.5</v>
      </c>
    </row>
    <row r="14896" spans="19:21" x14ac:dyDescent="0.25">
      <c r="S14896" s="78">
        <v>42283</v>
      </c>
      <c r="T14896" s="29">
        <v>0.5</v>
      </c>
    </row>
    <row r="14897" spans="19:20" x14ac:dyDescent="0.25">
      <c r="S14897" s="78">
        <v>42284</v>
      </c>
      <c r="T14897" s="29">
        <v>0.5</v>
      </c>
    </row>
    <row r="14898" spans="19:20" x14ac:dyDescent="0.25">
      <c r="S14898" s="78">
        <v>42285</v>
      </c>
      <c r="T14898" s="29">
        <v>0.5</v>
      </c>
    </row>
    <row r="14899" spans="19:20" x14ac:dyDescent="0.25">
      <c r="S14899" s="78">
        <v>42286</v>
      </c>
      <c r="T14899" s="29">
        <v>0.5</v>
      </c>
    </row>
    <row r="14900" spans="19:20" x14ac:dyDescent="0.25">
      <c r="S14900" s="78">
        <v>42287</v>
      </c>
      <c r="T14900" s="29">
        <v>0.5</v>
      </c>
    </row>
    <row r="14901" spans="19:20" x14ac:dyDescent="0.25">
      <c r="S14901" s="78">
        <v>42288</v>
      </c>
      <c r="T14901" s="29">
        <v>0.5</v>
      </c>
    </row>
    <row r="14902" spans="19:20" x14ac:dyDescent="0.25">
      <c r="S14902" s="78">
        <v>42289</v>
      </c>
      <c r="T14902" s="29">
        <v>0.5</v>
      </c>
    </row>
    <row r="14903" spans="19:20" x14ac:dyDescent="0.25">
      <c r="S14903" s="78">
        <v>42290</v>
      </c>
      <c r="T14903" s="29">
        <v>0.5</v>
      </c>
    </row>
    <row r="14904" spans="19:20" x14ac:dyDescent="0.25">
      <c r="S14904" s="78">
        <v>42291</v>
      </c>
      <c r="T14904" s="29">
        <v>0.5</v>
      </c>
    </row>
    <row r="14905" spans="19:20" x14ac:dyDescent="0.25">
      <c r="S14905" s="78">
        <v>42292</v>
      </c>
      <c r="T14905" s="29">
        <v>0.5</v>
      </c>
    </row>
    <row r="14906" spans="19:20" x14ac:dyDescent="0.25">
      <c r="S14906" s="78">
        <v>42293</v>
      </c>
      <c r="T14906" s="29">
        <v>0.5</v>
      </c>
    </row>
    <row r="14907" spans="19:20" x14ac:dyDescent="0.25">
      <c r="S14907" s="78">
        <v>42294</v>
      </c>
      <c r="T14907" s="29">
        <v>0.5</v>
      </c>
    </row>
    <row r="14908" spans="19:20" x14ac:dyDescent="0.25">
      <c r="S14908" s="78">
        <v>42295</v>
      </c>
      <c r="T14908" s="29">
        <v>0.5</v>
      </c>
    </row>
    <row r="14909" spans="19:20" x14ac:dyDescent="0.25">
      <c r="S14909" s="78">
        <v>42296</v>
      </c>
      <c r="T14909" s="29">
        <v>0.5</v>
      </c>
    </row>
    <row r="14910" spans="19:20" x14ac:dyDescent="0.25">
      <c r="S14910" s="78">
        <v>42297</v>
      </c>
      <c r="T14910" s="29">
        <v>0.5</v>
      </c>
    </row>
    <row r="14911" spans="19:20" x14ac:dyDescent="0.25">
      <c r="S14911" s="78">
        <v>42298</v>
      </c>
      <c r="T14911" s="29">
        <v>0.5</v>
      </c>
    </row>
    <row r="14912" spans="19:20" x14ac:dyDescent="0.25">
      <c r="S14912" s="78">
        <v>42299</v>
      </c>
      <c r="T14912" s="29">
        <v>0.5</v>
      </c>
    </row>
    <row r="14913" spans="19:20" x14ac:dyDescent="0.25">
      <c r="S14913" s="78">
        <v>42300</v>
      </c>
      <c r="T14913" s="29">
        <v>0.5</v>
      </c>
    </row>
    <row r="14914" spans="19:20" x14ac:dyDescent="0.25">
      <c r="S14914" s="78">
        <v>42301</v>
      </c>
      <c r="T14914" s="29">
        <v>0.5</v>
      </c>
    </row>
    <row r="14915" spans="19:20" x14ac:dyDescent="0.25">
      <c r="S14915" s="78">
        <v>42302</v>
      </c>
      <c r="T14915" s="29">
        <v>0.5</v>
      </c>
    </row>
    <row r="14916" spans="19:20" x14ac:dyDescent="0.25">
      <c r="S14916" s="78">
        <v>42303</v>
      </c>
      <c r="T14916" s="29">
        <v>0.5</v>
      </c>
    </row>
    <row r="14917" spans="19:20" x14ac:dyDescent="0.25">
      <c r="S14917" s="78">
        <v>42304</v>
      </c>
      <c r="T14917" s="29">
        <v>0.5</v>
      </c>
    </row>
    <row r="14918" spans="19:20" x14ac:dyDescent="0.25">
      <c r="S14918" s="78">
        <v>42305</v>
      </c>
      <c r="T14918" s="29">
        <v>0.5</v>
      </c>
    </row>
    <row r="14919" spans="19:20" x14ac:dyDescent="0.25">
      <c r="S14919" s="78">
        <v>42306</v>
      </c>
      <c r="T14919" s="29">
        <v>0.5</v>
      </c>
    </row>
    <row r="14920" spans="19:20" x14ac:dyDescent="0.25">
      <c r="S14920" s="78">
        <v>42307</v>
      </c>
      <c r="T14920" s="29">
        <v>0.5</v>
      </c>
    </row>
    <row r="14921" spans="19:20" x14ac:dyDescent="0.25">
      <c r="S14921" s="78">
        <v>42308</v>
      </c>
      <c r="T14921" s="29">
        <v>0.5</v>
      </c>
    </row>
    <row r="14922" spans="19:20" x14ac:dyDescent="0.25">
      <c r="S14922" s="78">
        <v>42309</v>
      </c>
      <c r="T14922" s="29">
        <v>0.5</v>
      </c>
    </row>
    <row r="14923" spans="19:20" x14ac:dyDescent="0.25">
      <c r="S14923" s="78">
        <v>42310</v>
      </c>
      <c r="T14923" s="29">
        <v>0.5</v>
      </c>
    </row>
    <row r="14924" spans="19:20" x14ac:dyDescent="0.25">
      <c r="S14924" s="78">
        <v>42311</v>
      </c>
      <c r="T14924" s="29">
        <v>0.5</v>
      </c>
    </row>
    <row r="14925" spans="19:20" x14ac:dyDescent="0.25">
      <c r="S14925" s="78">
        <v>42312</v>
      </c>
      <c r="T14925" s="29">
        <v>0.5</v>
      </c>
    </row>
    <row r="14926" spans="19:20" x14ac:dyDescent="0.25">
      <c r="S14926" s="78">
        <v>42313</v>
      </c>
      <c r="T14926" s="29">
        <v>0.5</v>
      </c>
    </row>
    <row r="14927" spans="19:20" x14ac:dyDescent="0.25">
      <c r="S14927" s="78">
        <v>42314</v>
      </c>
      <c r="T14927" s="29">
        <v>0.5</v>
      </c>
    </row>
    <row r="14928" spans="19:20" x14ac:dyDescent="0.25">
      <c r="S14928" s="78">
        <v>42315</v>
      </c>
      <c r="T14928" s="29">
        <v>0.5</v>
      </c>
    </row>
    <row r="14929" spans="19:20" x14ac:dyDescent="0.25">
      <c r="S14929" s="78">
        <v>42316</v>
      </c>
      <c r="T14929" s="29">
        <v>0.5</v>
      </c>
    </row>
    <row r="14930" spans="19:20" x14ac:dyDescent="0.25">
      <c r="S14930" s="78">
        <v>42317</v>
      </c>
      <c r="T14930" s="29">
        <v>0.5</v>
      </c>
    </row>
    <row r="14931" spans="19:20" x14ac:dyDescent="0.25">
      <c r="S14931" s="78">
        <v>42318</v>
      </c>
      <c r="T14931" s="29">
        <v>0.5</v>
      </c>
    </row>
    <row r="14932" spans="19:20" x14ac:dyDescent="0.25">
      <c r="S14932" s="78">
        <v>42319</v>
      </c>
      <c r="T14932" s="29">
        <v>0.5</v>
      </c>
    </row>
    <row r="14933" spans="19:20" x14ac:dyDescent="0.25">
      <c r="S14933" s="78">
        <v>42320</v>
      </c>
      <c r="T14933" s="29">
        <v>0.5</v>
      </c>
    </row>
    <row r="14934" spans="19:20" x14ac:dyDescent="0.25">
      <c r="S14934" s="78">
        <v>42321</v>
      </c>
      <c r="T14934" s="29">
        <v>0.5</v>
      </c>
    </row>
    <row r="14935" spans="19:20" x14ac:dyDescent="0.25">
      <c r="S14935" s="78">
        <v>42322</v>
      </c>
      <c r="T14935" s="29">
        <v>0.5</v>
      </c>
    </row>
    <row r="14936" spans="19:20" x14ac:dyDescent="0.25">
      <c r="S14936" s="78">
        <v>42323</v>
      </c>
      <c r="T14936" s="29">
        <v>0.5</v>
      </c>
    </row>
    <row r="14937" spans="19:20" x14ac:dyDescent="0.25">
      <c r="S14937" s="78">
        <v>42324</v>
      </c>
      <c r="T14937" s="29">
        <v>0.5</v>
      </c>
    </row>
    <row r="14938" spans="19:20" x14ac:dyDescent="0.25">
      <c r="S14938" s="78">
        <v>42325</v>
      </c>
      <c r="T14938" s="29">
        <v>0.5</v>
      </c>
    </row>
    <row r="14939" spans="19:20" x14ac:dyDescent="0.25">
      <c r="S14939" s="78">
        <v>42326</v>
      </c>
      <c r="T14939" s="29">
        <v>0.5</v>
      </c>
    </row>
    <row r="14940" spans="19:20" x14ac:dyDescent="0.25">
      <c r="S14940" s="78">
        <v>42327</v>
      </c>
      <c r="T14940" s="29">
        <v>0.5</v>
      </c>
    </row>
    <row r="14941" spans="19:20" x14ac:dyDescent="0.25">
      <c r="S14941" s="78">
        <v>42328</v>
      </c>
      <c r="T14941" s="29">
        <v>0.5</v>
      </c>
    </row>
    <row r="14942" spans="19:20" x14ac:dyDescent="0.25">
      <c r="S14942" s="78">
        <v>42329</v>
      </c>
      <c r="T14942" s="29">
        <v>0.5</v>
      </c>
    </row>
    <row r="14943" spans="19:20" x14ac:dyDescent="0.25">
      <c r="S14943" s="78">
        <v>42330</v>
      </c>
      <c r="T14943" s="29">
        <v>0.5</v>
      </c>
    </row>
    <row r="14944" spans="19:20" x14ac:dyDescent="0.25">
      <c r="S14944" s="78">
        <v>42331</v>
      </c>
      <c r="T14944" s="29">
        <v>0.5</v>
      </c>
    </row>
    <row r="14945" spans="19:20" x14ac:dyDescent="0.25">
      <c r="S14945" s="78">
        <v>42332</v>
      </c>
      <c r="T14945" s="29">
        <v>0.5</v>
      </c>
    </row>
    <row r="14946" spans="19:20" x14ac:dyDescent="0.25">
      <c r="S14946" s="78">
        <v>42333</v>
      </c>
      <c r="T14946" s="29">
        <v>0.5</v>
      </c>
    </row>
    <row r="14947" spans="19:20" x14ac:dyDescent="0.25">
      <c r="S14947" s="78">
        <v>42334</v>
      </c>
      <c r="T14947" s="29">
        <v>0.5</v>
      </c>
    </row>
    <row r="14948" spans="19:20" x14ac:dyDescent="0.25">
      <c r="S14948" s="78">
        <v>42335</v>
      </c>
      <c r="T14948" s="29">
        <v>0.5</v>
      </c>
    </row>
    <row r="14949" spans="19:20" x14ac:dyDescent="0.25">
      <c r="S14949" s="78">
        <v>42336</v>
      </c>
      <c r="T14949" s="29">
        <v>0.5</v>
      </c>
    </row>
    <row r="14950" spans="19:20" x14ac:dyDescent="0.25">
      <c r="S14950" s="78">
        <v>42337</v>
      </c>
      <c r="T14950" s="29">
        <v>0.5</v>
      </c>
    </row>
    <row r="14951" spans="19:20" x14ac:dyDescent="0.25">
      <c r="S14951" s="78">
        <v>42338</v>
      </c>
      <c r="T14951" s="29">
        <v>0.5</v>
      </c>
    </row>
    <row r="14952" spans="19:20" x14ac:dyDescent="0.25">
      <c r="S14952" s="78">
        <v>42339</v>
      </c>
      <c r="T14952" s="29">
        <v>0.5</v>
      </c>
    </row>
    <row r="14953" spans="19:20" x14ac:dyDescent="0.25">
      <c r="S14953" s="78">
        <v>42340</v>
      </c>
      <c r="T14953" s="29">
        <v>0.5</v>
      </c>
    </row>
    <row r="14954" spans="19:20" x14ac:dyDescent="0.25">
      <c r="S14954" s="78">
        <v>42341</v>
      </c>
      <c r="T14954" s="29">
        <v>0.5</v>
      </c>
    </row>
    <row r="14955" spans="19:20" x14ac:dyDescent="0.25">
      <c r="S14955" s="78">
        <v>42342</v>
      </c>
      <c r="T14955" s="29">
        <v>0.5</v>
      </c>
    </row>
    <row r="14956" spans="19:20" x14ac:dyDescent="0.25">
      <c r="S14956" s="78">
        <v>42343</v>
      </c>
      <c r="T14956" s="29">
        <v>0.5</v>
      </c>
    </row>
    <row r="14957" spans="19:20" x14ac:dyDescent="0.25">
      <c r="S14957" s="78">
        <v>42344</v>
      </c>
      <c r="T14957" s="29">
        <v>0.5</v>
      </c>
    </row>
    <row r="14958" spans="19:20" x14ac:dyDescent="0.25">
      <c r="S14958" s="78">
        <v>42345</v>
      </c>
      <c r="T14958" s="29">
        <v>0.5</v>
      </c>
    </row>
    <row r="14959" spans="19:20" x14ac:dyDescent="0.25">
      <c r="S14959" s="78">
        <v>42346</v>
      </c>
      <c r="T14959" s="29">
        <v>0.5</v>
      </c>
    </row>
    <row r="14960" spans="19:20" x14ac:dyDescent="0.25">
      <c r="S14960" s="78">
        <v>42347</v>
      </c>
      <c r="T14960" s="29">
        <v>0.5</v>
      </c>
    </row>
    <row r="14961" spans="19:20" x14ac:dyDescent="0.25">
      <c r="S14961" s="78">
        <v>42348</v>
      </c>
      <c r="T14961" s="29">
        <v>0.5</v>
      </c>
    </row>
    <row r="14962" spans="19:20" x14ac:dyDescent="0.25">
      <c r="S14962" s="78">
        <v>42349</v>
      </c>
      <c r="T14962" s="29">
        <v>0.5</v>
      </c>
    </row>
    <row r="14963" spans="19:20" x14ac:dyDescent="0.25">
      <c r="S14963" s="78">
        <v>42350</v>
      </c>
      <c r="T14963" s="29">
        <v>0.5</v>
      </c>
    </row>
    <row r="14964" spans="19:20" x14ac:dyDescent="0.25">
      <c r="S14964" s="78">
        <v>42351</v>
      </c>
      <c r="T14964" s="29">
        <v>0.5</v>
      </c>
    </row>
    <row r="14965" spans="19:20" x14ac:dyDescent="0.25">
      <c r="S14965" s="78">
        <v>42352</v>
      </c>
      <c r="T14965" s="29">
        <v>0.5</v>
      </c>
    </row>
    <row r="14966" spans="19:20" x14ac:dyDescent="0.25">
      <c r="S14966" s="78">
        <v>42353</v>
      </c>
      <c r="T14966" s="29">
        <v>0.5</v>
      </c>
    </row>
    <row r="14967" spans="19:20" x14ac:dyDescent="0.25">
      <c r="S14967" s="78">
        <v>42354</v>
      </c>
      <c r="T14967" s="29">
        <v>0.5</v>
      </c>
    </row>
    <row r="14968" spans="19:20" x14ac:dyDescent="0.25">
      <c r="S14968" s="78">
        <v>42355</v>
      </c>
      <c r="T14968" s="29">
        <v>0.5</v>
      </c>
    </row>
    <row r="14969" spans="19:20" x14ac:dyDescent="0.25">
      <c r="S14969" s="78">
        <v>42356</v>
      </c>
      <c r="T14969" s="29">
        <v>0.5</v>
      </c>
    </row>
    <row r="14970" spans="19:20" x14ac:dyDescent="0.25">
      <c r="S14970" s="78">
        <v>42357</v>
      </c>
      <c r="T14970" s="29">
        <v>0.5</v>
      </c>
    </row>
    <row r="14971" spans="19:20" x14ac:dyDescent="0.25">
      <c r="S14971" s="78">
        <v>42358</v>
      </c>
      <c r="T14971" s="29">
        <v>0.5</v>
      </c>
    </row>
    <row r="14972" spans="19:20" x14ac:dyDescent="0.25">
      <c r="S14972" s="78">
        <v>42359</v>
      </c>
      <c r="T14972" s="29">
        <v>0.5</v>
      </c>
    </row>
    <row r="14973" spans="19:20" x14ac:dyDescent="0.25">
      <c r="S14973" s="78">
        <v>42360</v>
      </c>
      <c r="T14973" s="29">
        <v>0.5</v>
      </c>
    </row>
    <row r="14974" spans="19:20" x14ac:dyDescent="0.25">
      <c r="S14974" s="78">
        <v>42361</v>
      </c>
      <c r="T14974" s="29">
        <v>0.5</v>
      </c>
    </row>
    <row r="14975" spans="19:20" x14ac:dyDescent="0.25">
      <c r="S14975" s="78">
        <v>42362</v>
      </c>
      <c r="T14975" s="29">
        <v>0.5</v>
      </c>
    </row>
    <row r="14976" spans="19:20" x14ac:dyDescent="0.25">
      <c r="S14976" s="78">
        <v>42363</v>
      </c>
      <c r="T14976" s="29">
        <v>0.5</v>
      </c>
    </row>
    <row r="14977" spans="19:21" x14ac:dyDescent="0.25">
      <c r="S14977" s="78">
        <v>42364</v>
      </c>
      <c r="T14977" s="29">
        <v>0.5</v>
      </c>
    </row>
    <row r="14978" spans="19:21" x14ac:dyDescent="0.25">
      <c r="S14978" s="78">
        <v>42365</v>
      </c>
      <c r="T14978" s="29">
        <v>0.5</v>
      </c>
    </row>
    <row r="14979" spans="19:21" x14ac:dyDescent="0.25">
      <c r="S14979" s="78">
        <v>42366</v>
      </c>
      <c r="T14979" s="29">
        <v>0.5</v>
      </c>
    </row>
    <row r="14980" spans="19:21" x14ac:dyDescent="0.25">
      <c r="S14980" s="78">
        <v>42367</v>
      </c>
      <c r="T14980" s="29">
        <v>0.5</v>
      </c>
    </row>
    <row r="14981" spans="19:21" x14ac:dyDescent="0.25">
      <c r="S14981" s="78">
        <v>42368</v>
      </c>
      <c r="T14981" s="29">
        <v>0.5</v>
      </c>
    </row>
    <row r="14982" spans="19:21" x14ac:dyDescent="0.25">
      <c r="S14982" s="78">
        <v>42369</v>
      </c>
      <c r="T14982" s="29">
        <v>0.5</v>
      </c>
      <c r="U14982" s="40">
        <f>AVERAGE(T14891:T14982)</f>
        <v>0.5</v>
      </c>
    </row>
    <row r="14983" spans="19:21" x14ac:dyDescent="0.25">
      <c r="S14983" s="78">
        <v>42370</v>
      </c>
      <c r="T14983" s="29">
        <v>0.5</v>
      </c>
    </row>
    <row r="14984" spans="19:21" x14ac:dyDescent="0.25">
      <c r="S14984" s="78">
        <v>42371</v>
      </c>
      <c r="T14984" s="29">
        <v>0.5</v>
      </c>
    </row>
    <row r="14985" spans="19:21" x14ac:dyDescent="0.25">
      <c r="S14985" s="78">
        <v>42372</v>
      </c>
      <c r="T14985" s="29">
        <v>0.5</v>
      </c>
    </row>
    <row r="14986" spans="19:21" x14ac:dyDescent="0.25">
      <c r="S14986" s="78">
        <v>42373</v>
      </c>
      <c r="T14986" s="29">
        <v>0.5</v>
      </c>
    </row>
    <row r="14987" spans="19:21" x14ac:dyDescent="0.25">
      <c r="S14987" s="78">
        <v>42374</v>
      </c>
      <c r="T14987" s="29">
        <v>0.5</v>
      </c>
    </row>
    <row r="14988" spans="19:21" x14ac:dyDescent="0.25">
      <c r="S14988" s="78">
        <v>42375</v>
      </c>
      <c r="T14988" s="29">
        <v>0.5</v>
      </c>
    </row>
    <row r="14989" spans="19:21" x14ac:dyDescent="0.25">
      <c r="S14989" s="78">
        <v>42376</v>
      </c>
      <c r="T14989" s="29">
        <v>0.5</v>
      </c>
    </row>
    <row r="14990" spans="19:21" x14ac:dyDescent="0.25">
      <c r="S14990" s="78">
        <v>42377</v>
      </c>
      <c r="T14990" s="29">
        <v>0.5</v>
      </c>
    </row>
    <row r="14991" spans="19:21" x14ac:dyDescent="0.25">
      <c r="S14991" s="78">
        <v>42378</v>
      </c>
      <c r="T14991" s="29">
        <v>0.5</v>
      </c>
    </row>
    <row r="14992" spans="19:21" x14ac:dyDescent="0.25">
      <c r="S14992" s="78">
        <v>42379</v>
      </c>
      <c r="T14992" s="29">
        <v>0.5</v>
      </c>
    </row>
    <row r="14993" spans="19:20" x14ac:dyDescent="0.25">
      <c r="S14993" s="78">
        <v>42380</v>
      </c>
      <c r="T14993" s="29">
        <v>0.5</v>
      </c>
    </row>
    <row r="14994" spans="19:20" x14ac:dyDescent="0.25">
      <c r="S14994" s="78">
        <v>42381</v>
      </c>
      <c r="T14994" s="29">
        <v>0.5</v>
      </c>
    </row>
    <row r="14995" spans="19:20" x14ac:dyDescent="0.25">
      <c r="S14995" s="78">
        <v>42382</v>
      </c>
      <c r="T14995" s="29">
        <v>0.5</v>
      </c>
    </row>
    <row r="14996" spans="19:20" x14ac:dyDescent="0.25">
      <c r="S14996" s="78">
        <v>42383</v>
      </c>
      <c r="T14996" s="29">
        <v>0.5</v>
      </c>
    </row>
    <row r="14997" spans="19:20" x14ac:dyDescent="0.25">
      <c r="S14997" s="78">
        <v>42384</v>
      </c>
      <c r="T14997" s="29">
        <v>0.5</v>
      </c>
    </row>
    <row r="14998" spans="19:20" x14ac:dyDescent="0.25">
      <c r="S14998" s="78">
        <v>42385</v>
      </c>
      <c r="T14998" s="29">
        <v>0.5</v>
      </c>
    </row>
    <row r="14999" spans="19:20" x14ac:dyDescent="0.25">
      <c r="S14999" s="78">
        <v>42386</v>
      </c>
      <c r="T14999" s="29">
        <v>0.5</v>
      </c>
    </row>
    <row r="15000" spans="19:20" x14ac:dyDescent="0.25">
      <c r="S15000" s="78">
        <v>42387</v>
      </c>
      <c r="T15000" s="29">
        <v>0.5</v>
      </c>
    </row>
    <row r="15001" spans="19:20" x14ac:dyDescent="0.25">
      <c r="S15001" s="78">
        <v>42388</v>
      </c>
      <c r="T15001" s="29">
        <v>0.5</v>
      </c>
    </row>
    <row r="15002" spans="19:20" x14ac:dyDescent="0.25">
      <c r="S15002" s="78">
        <v>42389</v>
      </c>
      <c r="T15002" s="29">
        <v>0.5</v>
      </c>
    </row>
    <row r="15003" spans="19:20" x14ac:dyDescent="0.25">
      <c r="S15003" s="78">
        <v>42390</v>
      </c>
      <c r="T15003" s="29">
        <v>0.5</v>
      </c>
    </row>
    <row r="15004" spans="19:20" x14ac:dyDescent="0.25">
      <c r="S15004" s="78">
        <v>42391</v>
      </c>
      <c r="T15004" s="29">
        <v>0.5</v>
      </c>
    </row>
    <row r="15005" spans="19:20" x14ac:dyDescent="0.25">
      <c r="S15005" s="78">
        <v>42392</v>
      </c>
      <c r="T15005" s="29">
        <v>0.5</v>
      </c>
    </row>
    <row r="15006" spans="19:20" x14ac:dyDescent="0.25">
      <c r="S15006" s="78">
        <v>42393</v>
      </c>
      <c r="T15006" s="29">
        <v>0.5</v>
      </c>
    </row>
    <row r="15007" spans="19:20" x14ac:dyDescent="0.25">
      <c r="S15007" s="78">
        <v>42394</v>
      </c>
      <c r="T15007" s="29">
        <v>0.5</v>
      </c>
    </row>
    <row r="15008" spans="19:20" x14ac:dyDescent="0.25">
      <c r="S15008" s="78">
        <v>42395</v>
      </c>
      <c r="T15008" s="29">
        <v>0.5</v>
      </c>
    </row>
    <row r="15009" spans="19:20" x14ac:dyDescent="0.25">
      <c r="S15009" s="78">
        <v>42396</v>
      </c>
      <c r="T15009" s="29">
        <v>0.5</v>
      </c>
    </row>
    <row r="15010" spans="19:20" x14ac:dyDescent="0.25">
      <c r="S15010" s="78">
        <v>42397</v>
      </c>
      <c r="T15010" s="29">
        <v>0.5</v>
      </c>
    </row>
    <row r="15011" spans="19:20" x14ac:dyDescent="0.25">
      <c r="S15011" s="78">
        <v>42398</v>
      </c>
      <c r="T15011" s="29">
        <v>0.5</v>
      </c>
    </row>
    <row r="15012" spans="19:20" x14ac:dyDescent="0.25">
      <c r="S15012" s="78">
        <v>42399</v>
      </c>
      <c r="T15012" s="29">
        <v>0.5</v>
      </c>
    </row>
    <row r="15013" spans="19:20" x14ac:dyDescent="0.25">
      <c r="S15013" s="78">
        <v>42400</v>
      </c>
      <c r="T15013" s="29">
        <v>0.5</v>
      </c>
    </row>
    <row r="15014" spans="19:20" x14ac:dyDescent="0.25">
      <c r="S15014" s="78">
        <v>42401</v>
      </c>
      <c r="T15014" s="29">
        <v>0.5</v>
      </c>
    </row>
    <row r="15015" spans="19:20" x14ac:dyDescent="0.25">
      <c r="S15015" s="78">
        <v>42402</v>
      </c>
      <c r="T15015" s="29">
        <v>0.5</v>
      </c>
    </row>
    <row r="15016" spans="19:20" x14ac:dyDescent="0.25">
      <c r="S15016" s="78">
        <v>42403</v>
      </c>
      <c r="T15016" s="29">
        <v>0.5</v>
      </c>
    </row>
    <row r="15017" spans="19:20" x14ac:dyDescent="0.25">
      <c r="S15017" s="78">
        <v>42404</v>
      </c>
      <c r="T15017" s="29">
        <v>0.5</v>
      </c>
    </row>
    <row r="15018" spans="19:20" x14ac:dyDescent="0.25">
      <c r="S15018" s="78">
        <v>42405</v>
      </c>
      <c r="T15018" s="29">
        <v>0.5</v>
      </c>
    </row>
    <row r="15019" spans="19:20" x14ac:dyDescent="0.25">
      <c r="S15019" s="78">
        <v>42406</v>
      </c>
      <c r="T15019" s="29">
        <v>0.5</v>
      </c>
    </row>
    <row r="15020" spans="19:20" x14ac:dyDescent="0.25">
      <c r="S15020" s="78">
        <v>42407</v>
      </c>
      <c r="T15020" s="29">
        <v>0.5</v>
      </c>
    </row>
    <row r="15021" spans="19:20" x14ac:dyDescent="0.25">
      <c r="S15021" s="78">
        <v>42408</v>
      </c>
      <c r="T15021" s="29">
        <v>0.5</v>
      </c>
    </row>
    <row r="15022" spans="19:20" x14ac:dyDescent="0.25">
      <c r="S15022" s="78">
        <v>42409</v>
      </c>
      <c r="T15022" s="29">
        <v>0.5</v>
      </c>
    </row>
    <row r="15023" spans="19:20" x14ac:dyDescent="0.25">
      <c r="S15023" s="78">
        <v>42410</v>
      </c>
      <c r="T15023" s="29">
        <v>0.5</v>
      </c>
    </row>
    <row r="15024" spans="19:20" x14ac:dyDescent="0.25">
      <c r="S15024" s="78">
        <v>42411</v>
      </c>
      <c r="T15024" s="29">
        <v>0.5</v>
      </c>
    </row>
    <row r="15025" spans="19:20" x14ac:dyDescent="0.25">
      <c r="S15025" s="78">
        <v>42412</v>
      </c>
      <c r="T15025" s="29">
        <v>0.5</v>
      </c>
    </row>
    <row r="15026" spans="19:20" x14ac:dyDescent="0.25">
      <c r="S15026" s="78">
        <v>42413</v>
      </c>
      <c r="T15026" s="29">
        <v>0.5</v>
      </c>
    </row>
    <row r="15027" spans="19:20" x14ac:dyDescent="0.25">
      <c r="S15027" s="78">
        <v>42414</v>
      </c>
      <c r="T15027" s="29">
        <v>0.5</v>
      </c>
    </row>
    <row r="15028" spans="19:20" x14ac:dyDescent="0.25">
      <c r="S15028" s="78">
        <v>42415</v>
      </c>
      <c r="T15028" s="29">
        <v>0.5</v>
      </c>
    </row>
    <row r="15029" spans="19:20" x14ac:dyDescent="0.25">
      <c r="S15029" s="78">
        <v>42416</v>
      </c>
      <c r="T15029" s="29">
        <v>0.5</v>
      </c>
    </row>
    <row r="15030" spans="19:20" x14ac:dyDescent="0.25">
      <c r="S15030" s="78">
        <v>42417</v>
      </c>
      <c r="T15030" s="29">
        <v>0.5</v>
      </c>
    </row>
    <row r="15031" spans="19:20" x14ac:dyDescent="0.25">
      <c r="S15031" s="78">
        <v>42418</v>
      </c>
      <c r="T15031" s="29">
        <v>0.5</v>
      </c>
    </row>
    <row r="15032" spans="19:20" x14ac:dyDescent="0.25">
      <c r="S15032" s="78">
        <v>42419</v>
      </c>
      <c r="T15032" s="29">
        <v>0.5</v>
      </c>
    </row>
    <row r="15033" spans="19:20" x14ac:dyDescent="0.25">
      <c r="S15033" s="78">
        <v>42420</v>
      </c>
      <c r="T15033" s="29">
        <v>0.5</v>
      </c>
    </row>
    <row r="15034" spans="19:20" x14ac:dyDescent="0.25">
      <c r="S15034" s="78">
        <v>42421</v>
      </c>
      <c r="T15034" s="29">
        <v>0.5</v>
      </c>
    </row>
    <row r="15035" spans="19:20" x14ac:dyDescent="0.25">
      <c r="S15035" s="78">
        <v>42422</v>
      </c>
      <c r="T15035" s="29">
        <v>0.5</v>
      </c>
    </row>
    <row r="15036" spans="19:20" x14ac:dyDescent="0.25">
      <c r="S15036" s="78">
        <v>42423</v>
      </c>
      <c r="T15036" s="29">
        <v>0.5</v>
      </c>
    </row>
    <row r="15037" spans="19:20" x14ac:dyDescent="0.25">
      <c r="S15037" s="78">
        <v>42424</v>
      </c>
      <c r="T15037" s="29">
        <v>0.5</v>
      </c>
    </row>
    <row r="15038" spans="19:20" x14ac:dyDescent="0.25">
      <c r="S15038" s="78">
        <v>42425</v>
      </c>
      <c r="T15038" s="29">
        <v>0.5</v>
      </c>
    </row>
    <row r="15039" spans="19:20" x14ac:dyDescent="0.25">
      <c r="S15039" s="78">
        <v>42426</v>
      </c>
      <c r="T15039" s="29">
        <v>0.5</v>
      </c>
    </row>
    <row r="15040" spans="19:20" x14ac:dyDescent="0.25">
      <c r="S15040" s="78">
        <v>42427</v>
      </c>
      <c r="T15040" s="29">
        <v>0.5</v>
      </c>
    </row>
    <row r="15041" spans="19:20" x14ac:dyDescent="0.25">
      <c r="S15041" s="78">
        <v>42428</v>
      </c>
      <c r="T15041" s="29">
        <v>0.5</v>
      </c>
    </row>
    <row r="15042" spans="19:20" x14ac:dyDescent="0.25">
      <c r="S15042" s="78">
        <v>42429</v>
      </c>
      <c r="T15042" s="29">
        <v>0.5</v>
      </c>
    </row>
    <row r="15043" spans="19:20" x14ac:dyDescent="0.25">
      <c r="S15043" s="78">
        <v>42430</v>
      </c>
      <c r="T15043" s="29">
        <v>0.5</v>
      </c>
    </row>
    <row r="15044" spans="19:20" x14ac:dyDescent="0.25">
      <c r="S15044" s="78">
        <v>42431</v>
      </c>
      <c r="T15044" s="29">
        <v>0.5</v>
      </c>
    </row>
    <row r="15045" spans="19:20" x14ac:dyDescent="0.25">
      <c r="S15045" s="78">
        <v>42432</v>
      </c>
      <c r="T15045" s="29">
        <v>0.5</v>
      </c>
    </row>
    <row r="15046" spans="19:20" x14ac:dyDescent="0.25">
      <c r="S15046" s="78">
        <v>42433</v>
      </c>
      <c r="T15046" s="29">
        <v>0.5</v>
      </c>
    </row>
    <row r="15047" spans="19:20" x14ac:dyDescent="0.25">
      <c r="S15047" s="78">
        <v>42434</v>
      </c>
      <c r="T15047" s="29">
        <v>0.5</v>
      </c>
    </row>
    <row r="15048" spans="19:20" x14ac:dyDescent="0.25">
      <c r="S15048" s="78">
        <v>42435</v>
      </c>
      <c r="T15048" s="29">
        <v>0.5</v>
      </c>
    </row>
    <row r="15049" spans="19:20" x14ac:dyDescent="0.25">
      <c r="S15049" s="78">
        <v>42436</v>
      </c>
      <c r="T15049" s="29">
        <v>0.5</v>
      </c>
    </row>
    <row r="15050" spans="19:20" x14ac:dyDescent="0.25">
      <c r="S15050" s="78">
        <v>42437</v>
      </c>
      <c r="T15050" s="29">
        <v>0.5</v>
      </c>
    </row>
    <row r="15051" spans="19:20" x14ac:dyDescent="0.25">
      <c r="S15051" s="78">
        <v>42438</v>
      </c>
      <c r="T15051" s="29">
        <v>0.5</v>
      </c>
    </row>
    <row r="15052" spans="19:20" x14ac:dyDescent="0.25">
      <c r="S15052" s="78">
        <v>42439</v>
      </c>
      <c r="T15052" s="29">
        <v>0.5</v>
      </c>
    </row>
    <row r="15053" spans="19:20" x14ac:dyDescent="0.25">
      <c r="S15053" s="78">
        <v>42440</v>
      </c>
      <c r="T15053" s="29">
        <v>0.5</v>
      </c>
    </row>
    <row r="15054" spans="19:20" x14ac:dyDescent="0.25">
      <c r="S15054" s="78">
        <v>42441</v>
      </c>
      <c r="T15054" s="29">
        <v>0.5</v>
      </c>
    </row>
    <row r="15055" spans="19:20" x14ac:dyDescent="0.25">
      <c r="S15055" s="78">
        <v>42442</v>
      </c>
      <c r="T15055" s="29">
        <v>0.5</v>
      </c>
    </row>
    <row r="15056" spans="19:20" x14ac:dyDescent="0.25">
      <c r="S15056" s="78">
        <v>42443</v>
      </c>
      <c r="T15056" s="29">
        <v>0.5</v>
      </c>
    </row>
    <row r="15057" spans="19:20" x14ac:dyDescent="0.25">
      <c r="S15057" s="78">
        <v>42444</v>
      </c>
      <c r="T15057" s="29">
        <v>0.5</v>
      </c>
    </row>
    <row r="15058" spans="19:20" x14ac:dyDescent="0.25">
      <c r="S15058" s="78">
        <v>42445</v>
      </c>
      <c r="T15058" s="29">
        <v>0.5</v>
      </c>
    </row>
    <row r="15059" spans="19:20" x14ac:dyDescent="0.25">
      <c r="S15059" s="78">
        <v>42446</v>
      </c>
      <c r="T15059" s="29">
        <v>0.5</v>
      </c>
    </row>
    <row r="15060" spans="19:20" x14ac:dyDescent="0.25">
      <c r="S15060" s="78">
        <v>42447</v>
      </c>
      <c r="T15060" s="29">
        <v>0.5</v>
      </c>
    </row>
    <row r="15061" spans="19:20" x14ac:dyDescent="0.25">
      <c r="S15061" s="78">
        <v>42448</v>
      </c>
      <c r="T15061" s="29">
        <v>0.5</v>
      </c>
    </row>
    <row r="15062" spans="19:20" x14ac:dyDescent="0.25">
      <c r="S15062" s="78">
        <v>42449</v>
      </c>
      <c r="T15062" s="29">
        <v>0.5</v>
      </c>
    </row>
    <row r="15063" spans="19:20" x14ac:dyDescent="0.25">
      <c r="S15063" s="78">
        <v>42450</v>
      </c>
      <c r="T15063" s="29">
        <v>0.5</v>
      </c>
    </row>
    <row r="15064" spans="19:20" x14ac:dyDescent="0.25">
      <c r="S15064" s="78">
        <v>42451</v>
      </c>
      <c r="T15064" s="29">
        <v>0.5</v>
      </c>
    </row>
    <row r="15065" spans="19:20" x14ac:dyDescent="0.25">
      <c r="S15065" s="78">
        <v>42452</v>
      </c>
      <c r="T15065" s="29">
        <v>0.5</v>
      </c>
    </row>
    <row r="15066" spans="19:20" x14ac:dyDescent="0.25">
      <c r="S15066" s="78">
        <v>42453</v>
      </c>
      <c r="T15066" s="29">
        <v>0.5</v>
      </c>
    </row>
    <row r="15067" spans="19:20" x14ac:dyDescent="0.25">
      <c r="S15067" s="78">
        <v>42454</v>
      </c>
      <c r="T15067" s="29">
        <v>0.5</v>
      </c>
    </row>
    <row r="15068" spans="19:20" x14ac:dyDescent="0.25">
      <c r="S15068" s="78">
        <v>42455</v>
      </c>
      <c r="T15068" s="29">
        <v>0.5</v>
      </c>
    </row>
    <row r="15069" spans="19:20" x14ac:dyDescent="0.25">
      <c r="S15069" s="78">
        <v>42456</v>
      </c>
      <c r="T15069" s="29">
        <v>0.5</v>
      </c>
    </row>
    <row r="15070" spans="19:20" x14ac:dyDescent="0.25">
      <c r="S15070" s="78">
        <v>42457</v>
      </c>
      <c r="T15070" s="29">
        <v>0.5</v>
      </c>
    </row>
    <row r="15071" spans="19:20" x14ac:dyDescent="0.25">
      <c r="S15071" s="78">
        <v>42458</v>
      </c>
      <c r="T15071" s="29">
        <v>0.5</v>
      </c>
    </row>
    <row r="15072" spans="19:20" x14ac:dyDescent="0.25">
      <c r="S15072" s="78">
        <v>42459</v>
      </c>
      <c r="T15072" s="29">
        <v>0.5</v>
      </c>
    </row>
    <row r="15073" spans="19:21" x14ac:dyDescent="0.25">
      <c r="S15073" s="78">
        <v>42460</v>
      </c>
      <c r="T15073" s="29">
        <v>0.5</v>
      </c>
      <c r="U15073" s="39">
        <f>AVERAGE(T14983:T15073)</f>
        <v>0.5</v>
      </c>
    </row>
    <row r="15074" spans="19:21" x14ac:dyDescent="0.25">
      <c r="S15074" s="78">
        <v>42461</v>
      </c>
      <c r="T15074" s="29">
        <v>0.5</v>
      </c>
    </row>
    <row r="15075" spans="19:21" x14ac:dyDescent="0.25">
      <c r="S15075" s="78">
        <v>42462</v>
      </c>
      <c r="T15075" s="29">
        <v>0.5</v>
      </c>
    </row>
    <row r="15076" spans="19:21" x14ac:dyDescent="0.25">
      <c r="S15076" s="78">
        <v>42463</v>
      </c>
      <c r="T15076" s="29">
        <v>0.5</v>
      </c>
    </row>
    <row r="15077" spans="19:21" x14ac:dyDescent="0.25">
      <c r="S15077" s="78">
        <v>42464</v>
      </c>
      <c r="T15077" s="29">
        <v>0.5</v>
      </c>
    </row>
    <row r="15078" spans="19:21" x14ac:dyDescent="0.25">
      <c r="S15078" s="78">
        <v>42465</v>
      </c>
      <c r="T15078" s="29">
        <v>0.5</v>
      </c>
    </row>
    <row r="15079" spans="19:21" x14ac:dyDescent="0.25">
      <c r="S15079" s="78">
        <v>42466</v>
      </c>
      <c r="T15079" s="29">
        <v>0.5</v>
      </c>
    </row>
    <row r="15080" spans="19:21" x14ac:dyDescent="0.25">
      <c r="S15080" s="78">
        <v>42467</v>
      </c>
      <c r="T15080" s="29">
        <v>0.5</v>
      </c>
    </row>
    <row r="15081" spans="19:21" x14ac:dyDescent="0.25">
      <c r="S15081" s="78">
        <v>42468</v>
      </c>
      <c r="T15081" s="29">
        <v>0.5</v>
      </c>
    </row>
    <row r="15082" spans="19:21" x14ac:dyDescent="0.25">
      <c r="S15082" s="78">
        <v>42469</v>
      </c>
      <c r="T15082" s="29">
        <v>0.5</v>
      </c>
    </row>
    <row r="15083" spans="19:21" x14ac:dyDescent="0.25">
      <c r="S15083" s="78">
        <v>42470</v>
      </c>
      <c r="T15083" s="29">
        <v>0.5</v>
      </c>
    </row>
    <row r="15084" spans="19:21" x14ac:dyDescent="0.25">
      <c r="S15084" s="78">
        <v>42471</v>
      </c>
      <c r="T15084" s="29">
        <v>0.5</v>
      </c>
    </row>
    <row r="15085" spans="19:21" x14ac:dyDescent="0.25">
      <c r="S15085" s="78">
        <v>42472</v>
      </c>
      <c r="T15085" s="29">
        <v>0.5</v>
      </c>
    </row>
    <row r="15086" spans="19:21" x14ac:dyDescent="0.25">
      <c r="S15086" s="78">
        <v>42473</v>
      </c>
      <c r="T15086" s="29">
        <v>0.5</v>
      </c>
    </row>
    <row r="15087" spans="19:21" x14ac:dyDescent="0.25">
      <c r="S15087" s="78">
        <v>42474</v>
      </c>
      <c r="T15087" s="29">
        <v>0.5</v>
      </c>
    </row>
    <row r="15088" spans="19:21" x14ac:dyDescent="0.25">
      <c r="S15088" s="78">
        <v>42475</v>
      </c>
      <c r="T15088" s="29">
        <v>0.5</v>
      </c>
    </row>
    <row r="15089" spans="19:20" x14ac:dyDescent="0.25">
      <c r="S15089" s="78">
        <v>42476</v>
      </c>
      <c r="T15089" s="29">
        <v>0.5</v>
      </c>
    </row>
    <row r="15090" spans="19:20" x14ac:dyDescent="0.25">
      <c r="S15090" s="78">
        <v>42477</v>
      </c>
      <c r="T15090" s="29">
        <v>0.5</v>
      </c>
    </row>
    <row r="15091" spans="19:20" x14ac:dyDescent="0.25">
      <c r="S15091" s="78">
        <v>42478</v>
      </c>
      <c r="T15091" s="29">
        <v>0.5</v>
      </c>
    </row>
    <row r="15092" spans="19:20" x14ac:dyDescent="0.25">
      <c r="S15092" s="78">
        <v>42479</v>
      </c>
      <c r="T15092" s="29">
        <v>0.5</v>
      </c>
    </row>
    <row r="15093" spans="19:20" x14ac:dyDescent="0.25">
      <c r="S15093" s="78">
        <v>42480</v>
      </c>
      <c r="T15093" s="29">
        <v>0.5</v>
      </c>
    </row>
    <row r="15094" spans="19:20" x14ac:dyDescent="0.25">
      <c r="S15094" s="78">
        <v>42481</v>
      </c>
      <c r="T15094" s="29">
        <v>0.5</v>
      </c>
    </row>
    <row r="15095" spans="19:20" x14ac:dyDescent="0.25">
      <c r="S15095" s="78">
        <v>42482</v>
      </c>
      <c r="T15095" s="29">
        <v>0.5</v>
      </c>
    </row>
    <row r="15096" spans="19:20" x14ac:dyDescent="0.25">
      <c r="S15096" s="78">
        <v>42483</v>
      </c>
      <c r="T15096" s="29">
        <v>0.5</v>
      </c>
    </row>
    <row r="15097" spans="19:20" x14ac:dyDescent="0.25">
      <c r="S15097" s="78">
        <v>42484</v>
      </c>
      <c r="T15097" s="29">
        <v>0.5</v>
      </c>
    </row>
    <row r="15098" spans="19:20" x14ac:dyDescent="0.25">
      <c r="S15098" s="78">
        <v>42485</v>
      </c>
      <c r="T15098" s="29">
        <v>0.5</v>
      </c>
    </row>
    <row r="15099" spans="19:20" x14ac:dyDescent="0.25">
      <c r="S15099" s="78">
        <v>42486</v>
      </c>
      <c r="T15099" s="29">
        <v>0.5</v>
      </c>
    </row>
    <row r="15100" spans="19:20" x14ac:dyDescent="0.25">
      <c r="S15100" s="78">
        <v>42487</v>
      </c>
      <c r="T15100" s="29">
        <v>0.5</v>
      </c>
    </row>
    <row r="15101" spans="19:20" x14ac:dyDescent="0.25">
      <c r="S15101" s="78">
        <v>42488</v>
      </c>
      <c r="T15101" s="29">
        <v>0.5</v>
      </c>
    </row>
    <row r="15102" spans="19:20" x14ac:dyDescent="0.25">
      <c r="S15102" s="78">
        <v>42489</v>
      </c>
      <c r="T15102" s="29">
        <v>0.5</v>
      </c>
    </row>
    <row r="15103" spans="19:20" x14ac:dyDescent="0.25">
      <c r="S15103" s="78">
        <v>42490</v>
      </c>
      <c r="T15103" s="29">
        <v>0.5</v>
      </c>
    </row>
    <row r="15104" spans="19:20" x14ac:dyDescent="0.25">
      <c r="S15104" s="78">
        <v>42491</v>
      </c>
      <c r="T15104" s="29">
        <v>0.5</v>
      </c>
    </row>
    <row r="15105" spans="19:20" x14ac:dyDescent="0.25">
      <c r="S15105" s="78">
        <v>42492</v>
      </c>
      <c r="T15105" s="29">
        <v>0.5</v>
      </c>
    </row>
    <row r="15106" spans="19:20" x14ac:dyDescent="0.25">
      <c r="S15106" s="78">
        <v>42493</v>
      </c>
      <c r="T15106" s="29">
        <v>0.5</v>
      </c>
    </row>
    <row r="15107" spans="19:20" x14ac:dyDescent="0.25">
      <c r="S15107" s="78">
        <v>42494</v>
      </c>
      <c r="T15107" s="29">
        <v>0.5</v>
      </c>
    </row>
    <row r="15108" spans="19:20" x14ac:dyDescent="0.25">
      <c r="S15108" s="78">
        <v>42495</v>
      </c>
      <c r="T15108" s="29">
        <v>0.5</v>
      </c>
    </row>
    <row r="15109" spans="19:20" x14ac:dyDescent="0.25">
      <c r="S15109" s="78">
        <v>42496</v>
      </c>
      <c r="T15109" s="29">
        <v>0.5</v>
      </c>
    </row>
    <row r="15110" spans="19:20" x14ac:dyDescent="0.25">
      <c r="S15110" s="78">
        <v>42497</v>
      </c>
      <c r="T15110" s="29">
        <v>0.5</v>
      </c>
    </row>
    <row r="15111" spans="19:20" x14ac:dyDescent="0.25">
      <c r="S15111" s="78">
        <v>42498</v>
      </c>
      <c r="T15111" s="29">
        <v>0.5</v>
      </c>
    </row>
    <row r="15112" spans="19:20" x14ac:dyDescent="0.25">
      <c r="S15112" s="78">
        <v>42499</v>
      </c>
      <c r="T15112" s="29">
        <v>0.5</v>
      </c>
    </row>
    <row r="15113" spans="19:20" x14ac:dyDescent="0.25">
      <c r="S15113" s="78">
        <v>42500</v>
      </c>
      <c r="T15113" s="29">
        <v>0.5</v>
      </c>
    </row>
    <row r="15114" spans="19:20" x14ac:dyDescent="0.25">
      <c r="S15114" s="78">
        <v>42501</v>
      </c>
      <c r="T15114" s="29">
        <v>0.5</v>
      </c>
    </row>
    <row r="15115" spans="19:20" x14ac:dyDescent="0.25">
      <c r="S15115" s="78">
        <v>42502</v>
      </c>
      <c r="T15115" s="29">
        <v>0.5</v>
      </c>
    </row>
    <row r="15116" spans="19:20" x14ac:dyDescent="0.25">
      <c r="S15116" s="78">
        <v>42503</v>
      </c>
      <c r="T15116" s="29">
        <v>0.5</v>
      </c>
    </row>
    <row r="15117" spans="19:20" x14ac:dyDescent="0.25">
      <c r="S15117" s="78">
        <v>42504</v>
      </c>
      <c r="T15117" s="29">
        <v>0.5</v>
      </c>
    </row>
    <row r="15118" spans="19:20" x14ac:dyDescent="0.25">
      <c r="S15118" s="78">
        <v>42505</v>
      </c>
      <c r="T15118" s="29">
        <v>0.5</v>
      </c>
    </row>
    <row r="15119" spans="19:20" x14ac:dyDescent="0.25">
      <c r="S15119" s="78">
        <v>42506</v>
      </c>
      <c r="T15119" s="29">
        <v>0.5</v>
      </c>
    </row>
    <row r="15120" spans="19:20" x14ac:dyDescent="0.25">
      <c r="S15120" s="78">
        <v>42507</v>
      </c>
      <c r="T15120" s="29">
        <v>0.5</v>
      </c>
    </row>
    <row r="15121" spans="19:20" x14ac:dyDescent="0.25">
      <c r="S15121" s="78">
        <v>42508</v>
      </c>
      <c r="T15121" s="29">
        <v>0.5</v>
      </c>
    </row>
    <row r="15122" spans="19:20" x14ac:dyDescent="0.25">
      <c r="S15122" s="78">
        <v>42509</v>
      </c>
      <c r="T15122" s="29">
        <v>0.5</v>
      </c>
    </row>
    <row r="15123" spans="19:20" x14ac:dyDescent="0.25">
      <c r="S15123" s="78">
        <v>42510</v>
      </c>
      <c r="T15123" s="29">
        <v>0.5</v>
      </c>
    </row>
    <row r="15124" spans="19:20" x14ac:dyDescent="0.25">
      <c r="S15124" s="78">
        <v>42511</v>
      </c>
      <c r="T15124" s="29">
        <v>0.5</v>
      </c>
    </row>
    <row r="15125" spans="19:20" x14ac:dyDescent="0.25">
      <c r="S15125" s="78">
        <v>42512</v>
      </c>
      <c r="T15125" s="29">
        <v>0.5</v>
      </c>
    </row>
    <row r="15126" spans="19:20" x14ac:dyDescent="0.25">
      <c r="S15126" s="78">
        <v>42513</v>
      </c>
      <c r="T15126" s="29">
        <v>0.5</v>
      </c>
    </row>
    <row r="15127" spans="19:20" x14ac:dyDescent="0.25">
      <c r="S15127" s="78">
        <v>42514</v>
      </c>
      <c r="T15127" s="29">
        <v>0.5</v>
      </c>
    </row>
    <row r="15128" spans="19:20" x14ac:dyDescent="0.25">
      <c r="S15128" s="78">
        <v>42515</v>
      </c>
      <c r="T15128" s="29">
        <v>0.5</v>
      </c>
    </row>
    <row r="15129" spans="19:20" x14ac:dyDescent="0.25">
      <c r="S15129" s="78">
        <v>42516</v>
      </c>
      <c r="T15129" s="29">
        <v>0.5</v>
      </c>
    </row>
    <row r="15130" spans="19:20" x14ac:dyDescent="0.25">
      <c r="S15130" s="78">
        <v>42517</v>
      </c>
      <c r="T15130" s="29">
        <v>0.5</v>
      </c>
    </row>
    <row r="15131" spans="19:20" x14ac:dyDescent="0.25">
      <c r="S15131" s="78">
        <v>42518</v>
      </c>
      <c r="T15131" s="29">
        <v>0.5</v>
      </c>
    </row>
    <row r="15132" spans="19:20" x14ac:dyDescent="0.25">
      <c r="S15132" s="78">
        <v>42519</v>
      </c>
      <c r="T15132" s="29">
        <v>0.5</v>
      </c>
    </row>
    <row r="15133" spans="19:20" x14ac:dyDescent="0.25">
      <c r="S15133" s="78">
        <v>42520</v>
      </c>
      <c r="T15133" s="29">
        <v>0.5</v>
      </c>
    </row>
    <row r="15134" spans="19:20" x14ac:dyDescent="0.25">
      <c r="S15134" s="78">
        <v>42521</v>
      </c>
      <c r="T15134" s="29">
        <v>0.5</v>
      </c>
    </row>
    <row r="15135" spans="19:20" x14ac:dyDescent="0.25">
      <c r="S15135" s="78">
        <v>42522</v>
      </c>
      <c r="T15135" s="29">
        <v>0.5</v>
      </c>
    </row>
    <row r="15136" spans="19:20" x14ac:dyDescent="0.25">
      <c r="S15136" s="78">
        <v>42523</v>
      </c>
      <c r="T15136" s="29">
        <v>0.5</v>
      </c>
    </row>
    <row r="15137" spans="19:20" x14ac:dyDescent="0.25">
      <c r="S15137" s="78">
        <v>42524</v>
      </c>
      <c r="T15137" s="29">
        <v>0.5</v>
      </c>
    </row>
    <row r="15138" spans="19:20" x14ac:dyDescent="0.25">
      <c r="S15138" s="78">
        <v>42525</v>
      </c>
      <c r="T15138" s="29">
        <v>0.5</v>
      </c>
    </row>
    <row r="15139" spans="19:20" x14ac:dyDescent="0.25">
      <c r="S15139" s="78">
        <v>42526</v>
      </c>
      <c r="T15139" s="29">
        <v>0.5</v>
      </c>
    </row>
    <row r="15140" spans="19:20" x14ac:dyDescent="0.25">
      <c r="S15140" s="78">
        <v>42527</v>
      </c>
      <c r="T15140" s="29">
        <v>0.5</v>
      </c>
    </row>
    <row r="15141" spans="19:20" x14ac:dyDescent="0.25">
      <c r="S15141" s="78">
        <v>42528</v>
      </c>
      <c r="T15141" s="29">
        <v>0.5</v>
      </c>
    </row>
    <row r="15142" spans="19:20" x14ac:dyDescent="0.25">
      <c r="S15142" s="78">
        <v>42529</v>
      </c>
      <c r="T15142" s="29">
        <v>0.5</v>
      </c>
    </row>
    <row r="15143" spans="19:20" x14ac:dyDescent="0.25">
      <c r="S15143" s="78">
        <v>42530</v>
      </c>
      <c r="T15143" s="29">
        <v>0.5</v>
      </c>
    </row>
    <row r="15144" spans="19:20" x14ac:dyDescent="0.25">
      <c r="S15144" s="78">
        <v>42531</v>
      </c>
      <c r="T15144" s="29">
        <v>0.5</v>
      </c>
    </row>
    <row r="15145" spans="19:20" x14ac:dyDescent="0.25">
      <c r="S15145" s="78">
        <v>42532</v>
      </c>
      <c r="T15145" s="29">
        <v>0.5</v>
      </c>
    </row>
    <row r="15146" spans="19:20" x14ac:dyDescent="0.25">
      <c r="S15146" s="78">
        <v>42533</v>
      </c>
      <c r="T15146" s="29">
        <v>0.5</v>
      </c>
    </row>
    <row r="15147" spans="19:20" x14ac:dyDescent="0.25">
      <c r="S15147" s="78">
        <v>42534</v>
      </c>
      <c r="T15147" s="29">
        <v>0.5</v>
      </c>
    </row>
    <row r="15148" spans="19:20" x14ac:dyDescent="0.25">
      <c r="S15148" s="78">
        <v>42535</v>
      </c>
      <c r="T15148" s="29">
        <v>0.5</v>
      </c>
    </row>
    <row r="15149" spans="19:20" x14ac:dyDescent="0.25">
      <c r="S15149" s="78">
        <v>42536</v>
      </c>
      <c r="T15149" s="29">
        <v>0.5</v>
      </c>
    </row>
    <row r="15150" spans="19:20" x14ac:dyDescent="0.25">
      <c r="S15150" s="78">
        <v>42537</v>
      </c>
      <c r="T15150" s="29">
        <v>0.5</v>
      </c>
    </row>
    <row r="15151" spans="19:20" x14ac:dyDescent="0.25">
      <c r="S15151" s="78">
        <v>42538</v>
      </c>
      <c r="T15151" s="29">
        <v>0.5</v>
      </c>
    </row>
    <row r="15152" spans="19:20" x14ac:dyDescent="0.25">
      <c r="S15152" s="78">
        <v>42539</v>
      </c>
      <c r="T15152" s="29">
        <v>0.5</v>
      </c>
    </row>
    <row r="15153" spans="19:21" x14ac:dyDescent="0.25">
      <c r="S15153" s="78">
        <v>42540</v>
      </c>
      <c r="T15153" s="29">
        <v>0.5</v>
      </c>
    </row>
    <row r="15154" spans="19:21" x14ac:dyDescent="0.25">
      <c r="S15154" s="78">
        <v>42541</v>
      </c>
      <c r="T15154" s="29">
        <v>0.5</v>
      </c>
    </row>
    <row r="15155" spans="19:21" x14ac:dyDescent="0.25">
      <c r="S15155" s="78">
        <v>42542</v>
      </c>
      <c r="T15155" s="29">
        <v>0.5</v>
      </c>
    </row>
    <row r="15156" spans="19:21" x14ac:dyDescent="0.25">
      <c r="S15156" s="78">
        <v>42543</v>
      </c>
      <c r="T15156" s="29">
        <v>0.5</v>
      </c>
    </row>
    <row r="15157" spans="19:21" x14ac:dyDescent="0.25">
      <c r="S15157" s="78">
        <v>42544</v>
      </c>
      <c r="T15157" s="29">
        <v>0.5</v>
      </c>
    </row>
    <row r="15158" spans="19:21" x14ac:dyDescent="0.25">
      <c r="S15158" s="78">
        <v>42545</v>
      </c>
      <c r="T15158" s="29">
        <v>0.5</v>
      </c>
    </row>
    <row r="15159" spans="19:21" x14ac:dyDescent="0.25">
      <c r="S15159" s="78">
        <v>42546</v>
      </c>
      <c r="T15159" s="29">
        <v>0.5</v>
      </c>
    </row>
    <row r="15160" spans="19:21" x14ac:dyDescent="0.25">
      <c r="S15160" s="78">
        <v>42547</v>
      </c>
      <c r="T15160" s="29">
        <v>0.5</v>
      </c>
    </row>
    <row r="15161" spans="19:21" x14ac:dyDescent="0.25">
      <c r="S15161" s="78">
        <v>42548</v>
      </c>
      <c r="T15161" s="29">
        <v>0.5</v>
      </c>
    </row>
    <row r="15162" spans="19:21" x14ac:dyDescent="0.25">
      <c r="S15162" s="78">
        <v>42549</v>
      </c>
      <c r="T15162" s="29">
        <v>0.5</v>
      </c>
    </row>
    <row r="15163" spans="19:21" x14ac:dyDescent="0.25">
      <c r="S15163" s="78">
        <v>42550</v>
      </c>
      <c r="T15163" s="29">
        <v>0.5</v>
      </c>
      <c r="U15163" s="40"/>
    </row>
    <row r="15164" spans="19:21" x14ac:dyDescent="0.25">
      <c r="S15164" s="78">
        <v>42551</v>
      </c>
      <c r="T15164" s="29">
        <v>0.5</v>
      </c>
      <c r="U15164" s="40">
        <f>AVERAGE(T15074:T15164)</f>
        <v>0.5</v>
      </c>
    </row>
    <row r="15165" spans="19:21" x14ac:dyDescent="0.25">
      <c r="S15165" s="78">
        <v>42552</v>
      </c>
      <c r="T15165" s="29">
        <v>0.5</v>
      </c>
    </row>
    <row r="15166" spans="19:21" x14ac:dyDescent="0.25">
      <c r="S15166" s="78">
        <v>42553</v>
      </c>
      <c r="T15166" s="29">
        <v>0.5</v>
      </c>
    </row>
    <row r="15167" spans="19:21" x14ac:dyDescent="0.25">
      <c r="S15167" s="78">
        <v>42554</v>
      </c>
      <c r="T15167" s="29">
        <v>0.5</v>
      </c>
    </row>
    <row r="15168" spans="19:21" x14ac:dyDescent="0.25">
      <c r="S15168" s="78">
        <v>42555</v>
      </c>
      <c r="T15168" s="29">
        <v>0.5</v>
      </c>
    </row>
    <row r="15169" spans="19:20" x14ac:dyDescent="0.25">
      <c r="S15169" s="78">
        <v>42556</v>
      </c>
      <c r="T15169" s="29">
        <v>0.5</v>
      </c>
    </row>
    <row r="15170" spans="19:20" x14ac:dyDescent="0.25">
      <c r="S15170" s="78">
        <v>42557</v>
      </c>
      <c r="T15170" s="29">
        <v>0.5</v>
      </c>
    </row>
    <row r="15171" spans="19:20" x14ac:dyDescent="0.25">
      <c r="S15171" s="78">
        <v>42558</v>
      </c>
      <c r="T15171" s="29">
        <v>0.5</v>
      </c>
    </row>
    <row r="15172" spans="19:20" x14ac:dyDescent="0.25">
      <c r="S15172" s="78">
        <v>42559</v>
      </c>
      <c r="T15172" s="29">
        <v>0.5</v>
      </c>
    </row>
    <row r="15173" spans="19:20" x14ac:dyDescent="0.25">
      <c r="S15173" s="78">
        <v>42560</v>
      </c>
      <c r="T15173" s="29">
        <v>0.5</v>
      </c>
    </row>
    <row r="15174" spans="19:20" x14ac:dyDescent="0.25">
      <c r="S15174" s="78">
        <v>42561</v>
      </c>
      <c r="T15174" s="29">
        <v>0.5</v>
      </c>
    </row>
    <row r="15175" spans="19:20" x14ac:dyDescent="0.25">
      <c r="S15175" s="78">
        <v>42562</v>
      </c>
      <c r="T15175" s="29">
        <v>0.5</v>
      </c>
    </row>
    <row r="15176" spans="19:20" x14ac:dyDescent="0.25">
      <c r="S15176" s="78">
        <v>42563</v>
      </c>
      <c r="T15176" s="29">
        <v>0.5</v>
      </c>
    </row>
    <row r="15177" spans="19:20" x14ac:dyDescent="0.25">
      <c r="S15177" s="78">
        <v>42564</v>
      </c>
      <c r="T15177" s="29">
        <v>0.5</v>
      </c>
    </row>
    <row r="15178" spans="19:20" x14ac:dyDescent="0.25">
      <c r="S15178" s="78">
        <v>42565</v>
      </c>
      <c r="T15178" s="29">
        <v>0.5</v>
      </c>
    </row>
    <row r="15179" spans="19:20" x14ac:dyDescent="0.25">
      <c r="S15179" s="78">
        <v>42566</v>
      </c>
      <c r="T15179" s="29">
        <v>0.5</v>
      </c>
    </row>
    <row r="15180" spans="19:20" x14ac:dyDescent="0.25">
      <c r="S15180" s="78">
        <v>42567</v>
      </c>
      <c r="T15180" s="29">
        <v>0.5</v>
      </c>
    </row>
    <row r="15181" spans="19:20" x14ac:dyDescent="0.25">
      <c r="S15181" s="78">
        <v>42568</v>
      </c>
      <c r="T15181" s="29">
        <v>0.5</v>
      </c>
    </row>
    <row r="15182" spans="19:20" x14ac:dyDescent="0.25">
      <c r="S15182" s="78">
        <v>42569</v>
      </c>
      <c r="T15182" s="29">
        <v>0.5</v>
      </c>
    </row>
    <row r="15183" spans="19:20" x14ac:dyDescent="0.25">
      <c r="S15183" s="78">
        <v>42570</v>
      </c>
      <c r="T15183" s="29">
        <v>0.5</v>
      </c>
    </row>
    <row r="15184" spans="19:20" x14ac:dyDescent="0.25">
      <c r="S15184" s="78">
        <v>42571</v>
      </c>
      <c r="T15184" s="29">
        <v>0.5</v>
      </c>
    </row>
    <row r="15185" spans="19:20" x14ac:dyDescent="0.25">
      <c r="S15185" s="78">
        <v>42572</v>
      </c>
      <c r="T15185" s="29">
        <v>0.5</v>
      </c>
    </row>
    <row r="15186" spans="19:20" x14ac:dyDescent="0.25">
      <c r="S15186" s="78">
        <v>42573</v>
      </c>
      <c r="T15186" s="29">
        <v>0.5</v>
      </c>
    </row>
    <row r="15187" spans="19:20" x14ac:dyDescent="0.25">
      <c r="S15187" s="78">
        <v>42574</v>
      </c>
      <c r="T15187" s="29">
        <v>0.5</v>
      </c>
    </row>
    <row r="15188" spans="19:20" x14ac:dyDescent="0.25">
      <c r="S15188" s="78">
        <v>42575</v>
      </c>
      <c r="T15188" s="29">
        <v>0.5</v>
      </c>
    </row>
    <row r="15189" spans="19:20" x14ac:dyDescent="0.25">
      <c r="S15189" s="78">
        <v>42576</v>
      </c>
      <c r="T15189" s="29">
        <v>0.5</v>
      </c>
    </row>
    <row r="15190" spans="19:20" x14ac:dyDescent="0.25">
      <c r="S15190" s="78">
        <v>42577</v>
      </c>
      <c r="T15190" s="29">
        <v>0.5</v>
      </c>
    </row>
    <row r="15191" spans="19:20" x14ac:dyDescent="0.25">
      <c r="S15191" s="78">
        <v>42578</v>
      </c>
      <c r="T15191" s="29">
        <v>0.5</v>
      </c>
    </row>
    <row r="15192" spans="19:20" x14ac:dyDescent="0.25">
      <c r="S15192" s="78">
        <v>42579</v>
      </c>
      <c r="T15192" s="29">
        <v>0.5</v>
      </c>
    </row>
    <row r="15193" spans="19:20" x14ac:dyDescent="0.25">
      <c r="S15193" s="78">
        <v>42580</v>
      </c>
      <c r="T15193" s="29">
        <v>0.5</v>
      </c>
    </row>
    <row r="15194" spans="19:20" x14ac:dyDescent="0.25">
      <c r="S15194" s="78">
        <v>42581</v>
      </c>
      <c r="T15194" s="29">
        <v>0.5</v>
      </c>
    </row>
    <row r="15195" spans="19:20" x14ac:dyDescent="0.25">
      <c r="S15195" s="78">
        <v>42582</v>
      </c>
      <c r="T15195" s="29">
        <v>0.5</v>
      </c>
    </row>
    <row r="15196" spans="19:20" x14ac:dyDescent="0.25">
      <c r="S15196" s="78">
        <v>42583</v>
      </c>
      <c r="T15196" s="29">
        <v>0.5</v>
      </c>
    </row>
    <row r="15197" spans="19:20" x14ac:dyDescent="0.25">
      <c r="S15197" s="78">
        <v>42584</v>
      </c>
      <c r="T15197" s="29">
        <v>0.5</v>
      </c>
    </row>
    <row r="15198" spans="19:20" x14ac:dyDescent="0.25">
      <c r="S15198" s="78">
        <v>42585</v>
      </c>
      <c r="T15198" s="29">
        <v>0.5</v>
      </c>
    </row>
    <row r="15199" spans="19:20" x14ac:dyDescent="0.25">
      <c r="S15199" s="78">
        <v>42586</v>
      </c>
      <c r="T15199" s="29">
        <v>0.25</v>
      </c>
    </row>
    <row r="15200" spans="19:20" x14ac:dyDescent="0.25">
      <c r="S15200" s="78">
        <v>42587</v>
      </c>
      <c r="T15200" s="29">
        <v>0.25</v>
      </c>
    </row>
    <row r="15201" spans="19:20" x14ac:dyDescent="0.25">
      <c r="S15201" s="78">
        <v>42588</v>
      </c>
      <c r="T15201" s="29">
        <v>0.25</v>
      </c>
    </row>
    <row r="15202" spans="19:20" x14ac:dyDescent="0.25">
      <c r="S15202" s="78">
        <v>42589</v>
      </c>
      <c r="T15202" s="29">
        <v>0.25</v>
      </c>
    </row>
    <row r="15203" spans="19:20" x14ac:dyDescent="0.25">
      <c r="S15203" s="78">
        <v>42590</v>
      </c>
      <c r="T15203" s="29">
        <v>0.25</v>
      </c>
    </row>
    <row r="15204" spans="19:20" x14ac:dyDescent="0.25">
      <c r="S15204" s="78">
        <v>42591</v>
      </c>
      <c r="T15204" s="29">
        <v>0.25</v>
      </c>
    </row>
    <row r="15205" spans="19:20" x14ac:dyDescent="0.25">
      <c r="S15205" s="78">
        <v>42592</v>
      </c>
      <c r="T15205" s="29">
        <v>0.25</v>
      </c>
    </row>
    <row r="15206" spans="19:20" x14ac:dyDescent="0.25">
      <c r="S15206" s="78">
        <v>42593</v>
      </c>
      <c r="T15206" s="29">
        <v>0.25</v>
      </c>
    </row>
    <row r="15207" spans="19:20" x14ac:dyDescent="0.25">
      <c r="S15207" s="78">
        <v>42594</v>
      </c>
      <c r="T15207" s="29">
        <v>0.25</v>
      </c>
    </row>
    <row r="15208" spans="19:20" x14ac:dyDescent="0.25">
      <c r="S15208" s="78">
        <v>42595</v>
      </c>
      <c r="T15208" s="29">
        <v>0.25</v>
      </c>
    </row>
    <row r="15209" spans="19:20" x14ac:dyDescent="0.25">
      <c r="S15209" s="78">
        <v>42596</v>
      </c>
      <c r="T15209" s="29">
        <v>0.25</v>
      </c>
    </row>
    <row r="15210" spans="19:20" x14ac:dyDescent="0.25">
      <c r="S15210" s="78">
        <v>42597</v>
      </c>
      <c r="T15210" s="29">
        <v>0.25</v>
      </c>
    </row>
    <row r="15211" spans="19:20" x14ac:dyDescent="0.25">
      <c r="S15211" s="78">
        <v>42598</v>
      </c>
      <c r="T15211" s="29">
        <v>0.25</v>
      </c>
    </row>
    <row r="15212" spans="19:20" x14ac:dyDescent="0.25">
      <c r="S15212" s="78">
        <v>42599</v>
      </c>
      <c r="T15212" s="29">
        <v>0.25</v>
      </c>
    </row>
    <row r="15213" spans="19:20" x14ac:dyDescent="0.25">
      <c r="S15213" s="78">
        <v>42600</v>
      </c>
      <c r="T15213" s="29">
        <v>0.25</v>
      </c>
    </row>
    <row r="15214" spans="19:20" x14ac:dyDescent="0.25">
      <c r="S15214" s="78">
        <v>42601</v>
      </c>
      <c r="T15214" s="29">
        <v>0.25</v>
      </c>
    </row>
    <row r="15215" spans="19:20" x14ac:dyDescent="0.25">
      <c r="S15215" s="78">
        <v>42602</v>
      </c>
      <c r="T15215" s="29">
        <v>0.25</v>
      </c>
    </row>
    <row r="15216" spans="19:20" x14ac:dyDescent="0.25">
      <c r="S15216" s="78">
        <v>42603</v>
      </c>
      <c r="T15216" s="29">
        <v>0.25</v>
      </c>
    </row>
    <row r="15217" spans="19:20" x14ac:dyDescent="0.25">
      <c r="S15217" s="78">
        <v>42604</v>
      </c>
      <c r="T15217" s="29">
        <v>0.25</v>
      </c>
    </row>
    <row r="15218" spans="19:20" x14ac:dyDescent="0.25">
      <c r="S15218" s="78">
        <v>42605</v>
      </c>
      <c r="T15218" s="29">
        <v>0.25</v>
      </c>
    </row>
    <row r="15219" spans="19:20" x14ac:dyDescent="0.25">
      <c r="S15219" s="78">
        <v>42606</v>
      </c>
      <c r="T15219" s="29">
        <v>0.25</v>
      </c>
    </row>
    <row r="15220" spans="19:20" x14ac:dyDescent="0.25">
      <c r="S15220" s="78">
        <v>42607</v>
      </c>
      <c r="T15220" s="29">
        <v>0.25</v>
      </c>
    </row>
    <row r="15221" spans="19:20" x14ac:dyDescent="0.25">
      <c r="S15221" s="78">
        <v>42608</v>
      </c>
      <c r="T15221" s="29">
        <v>0.25</v>
      </c>
    </row>
    <row r="15222" spans="19:20" x14ac:dyDescent="0.25">
      <c r="S15222" s="78">
        <v>42609</v>
      </c>
      <c r="T15222" s="29">
        <v>0.25</v>
      </c>
    </row>
    <row r="15223" spans="19:20" x14ac:dyDescent="0.25">
      <c r="S15223" s="78">
        <v>42610</v>
      </c>
      <c r="T15223" s="29">
        <v>0.25</v>
      </c>
    </row>
    <row r="15224" spans="19:20" x14ac:dyDescent="0.25">
      <c r="S15224" s="78">
        <v>42611</v>
      </c>
      <c r="T15224" s="29">
        <v>0.25</v>
      </c>
    </row>
    <row r="15225" spans="19:20" x14ac:dyDescent="0.25">
      <c r="S15225" s="78">
        <v>42612</v>
      </c>
      <c r="T15225" s="29">
        <v>0.25</v>
      </c>
    </row>
    <row r="15226" spans="19:20" x14ac:dyDescent="0.25">
      <c r="S15226" s="78">
        <v>42613</v>
      </c>
      <c r="T15226" s="29">
        <v>0.25</v>
      </c>
    </row>
    <row r="15227" spans="19:20" x14ac:dyDescent="0.25">
      <c r="S15227" s="78">
        <v>42614</v>
      </c>
      <c r="T15227" s="29">
        <v>0.25</v>
      </c>
    </row>
    <row r="15228" spans="19:20" x14ac:dyDescent="0.25">
      <c r="S15228" s="78">
        <v>42615</v>
      </c>
      <c r="T15228" s="29">
        <v>0.25</v>
      </c>
    </row>
    <row r="15229" spans="19:20" x14ac:dyDescent="0.25">
      <c r="S15229" s="78">
        <v>42616</v>
      </c>
      <c r="T15229" s="29">
        <v>0.25</v>
      </c>
    </row>
    <row r="15230" spans="19:20" x14ac:dyDescent="0.25">
      <c r="S15230" s="78">
        <v>42617</v>
      </c>
      <c r="T15230" s="29">
        <v>0.25</v>
      </c>
    </row>
    <row r="15231" spans="19:20" x14ac:dyDescent="0.25">
      <c r="S15231" s="78">
        <v>42618</v>
      </c>
      <c r="T15231" s="29">
        <v>0.25</v>
      </c>
    </row>
    <row r="15232" spans="19:20" x14ac:dyDescent="0.25">
      <c r="S15232" s="78">
        <v>42619</v>
      </c>
      <c r="T15232" s="29">
        <v>0.25</v>
      </c>
    </row>
    <row r="15233" spans="19:20" x14ac:dyDescent="0.25">
      <c r="S15233" s="78">
        <v>42620</v>
      </c>
      <c r="T15233" s="29">
        <v>0.25</v>
      </c>
    </row>
    <row r="15234" spans="19:20" x14ac:dyDescent="0.25">
      <c r="S15234" s="78">
        <v>42621</v>
      </c>
      <c r="T15234" s="29">
        <v>0.25</v>
      </c>
    </row>
    <row r="15235" spans="19:20" x14ac:dyDescent="0.25">
      <c r="S15235" s="78">
        <v>42622</v>
      </c>
      <c r="T15235" s="29">
        <v>0.25</v>
      </c>
    </row>
    <row r="15236" spans="19:20" x14ac:dyDescent="0.25">
      <c r="S15236" s="78">
        <v>42623</v>
      </c>
      <c r="T15236" s="29">
        <v>0.25</v>
      </c>
    </row>
    <row r="15237" spans="19:20" x14ac:dyDescent="0.25">
      <c r="S15237" s="78">
        <v>42624</v>
      </c>
      <c r="T15237" s="29">
        <v>0.25</v>
      </c>
    </row>
    <row r="15238" spans="19:20" x14ac:dyDescent="0.25">
      <c r="S15238" s="78">
        <v>42625</v>
      </c>
      <c r="T15238" s="29">
        <v>0.25</v>
      </c>
    </row>
    <row r="15239" spans="19:20" x14ac:dyDescent="0.25">
      <c r="S15239" s="78">
        <v>42626</v>
      </c>
      <c r="T15239" s="29">
        <v>0.25</v>
      </c>
    </row>
    <row r="15240" spans="19:20" x14ac:dyDescent="0.25">
      <c r="S15240" s="78">
        <v>42627</v>
      </c>
      <c r="T15240" s="29">
        <v>0.25</v>
      </c>
    </row>
    <row r="15241" spans="19:20" x14ac:dyDescent="0.25">
      <c r="S15241" s="78">
        <v>42628</v>
      </c>
      <c r="T15241" s="29">
        <v>0.25</v>
      </c>
    </row>
    <row r="15242" spans="19:20" x14ac:dyDescent="0.25">
      <c r="S15242" s="78">
        <v>42629</v>
      </c>
      <c r="T15242" s="29">
        <v>0.25</v>
      </c>
    </row>
    <row r="15243" spans="19:20" x14ac:dyDescent="0.25">
      <c r="S15243" s="78">
        <v>42630</v>
      </c>
      <c r="T15243" s="29">
        <v>0.25</v>
      </c>
    </row>
    <row r="15244" spans="19:20" x14ac:dyDescent="0.25">
      <c r="S15244" s="78">
        <v>42631</v>
      </c>
      <c r="T15244" s="29">
        <v>0.25</v>
      </c>
    </row>
    <row r="15245" spans="19:20" x14ac:dyDescent="0.25">
      <c r="S15245" s="78">
        <v>42632</v>
      </c>
      <c r="T15245" s="29">
        <v>0.25</v>
      </c>
    </row>
    <row r="15246" spans="19:20" x14ac:dyDescent="0.25">
      <c r="S15246" s="78">
        <v>42633</v>
      </c>
      <c r="T15246" s="29">
        <v>0.25</v>
      </c>
    </row>
    <row r="15247" spans="19:20" x14ac:dyDescent="0.25">
      <c r="S15247" s="78">
        <v>42634</v>
      </c>
      <c r="T15247" s="29">
        <v>0.25</v>
      </c>
    </row>
    <row r="15248" spans="19:20" x14ac:dyDescent="0.25">
      <c r="S15248" s="78">
        <v>42635</v>
      </c>
      <c r="T15248" s="29">
        <v>0.25</v>
      </c>
    </row>
    <row r="15249" spans="19:21" x14ac:dyDescent="0.25">
      <c r="S15249" s="78">
        <v>42636</v>
      </c>
      <c r="T15249" s="29">
        <v>0.25</v>
      </c>
    </row>
    <row r="15250" spans="19:21" x14ac:dyDescent="0.25">
      <c r="S15250" s="78">
        <v>42637</v>
      </c>
      <c r="T15250" s="29">
        <v>0.25</v>
      </c>
    </row>
    <row r="15251" spans="19:21" x14ac:dyDescent="0.25">
      <c r="S15251" s="78">
        <v>42638</v>
      </c>
      <c r="T15251" s="29">
        <v>0.25</v>
      </c>
    </row>
    <row r="15252" spans="19:21" x14ac:dyDescent="0.25">
      <c r="S15252" s="78">
        <v>42639</v>
      </c>
      <c r="T15252" s="29">
        <v>0.25</v>
      </c>
    </row>
    <row r="15253" spans="19:21" x14ac:dyDescent="0.25">
      <c r="S15253" s="78">
        <v>42640</v>
      </c>
      <c r="T15253" s="29">
        <v>0.25</v>
      </c>
    </row>
    <row r="15254" spans="19:21" x14ac:dyDescent="0.25">
      <c r="S15254" s="78">
        <v>42641</v>
      </c>
      <c r="T15254" s="29">
        <v>0.25</v>
      </c>
    </row>
    <row r="15255" spans="19:21" x14ac:dyDescent="0.25">
      <c r="S15255" s="78">
        <v>42642</v>
      </c>
      <c r="T15255" s="29">
        <v>0.25</v>
      </c>
      <c r="U15255" s="40"/>
    </row>
    <row r="15256" spans="19:21" x14ac:dyDescent="0.25">
      <c r="S15256" s="78">
        <v>42643</v>
      </c>
      <c r="T15256" s="29">
        <v>0.25</v>
      </c>
      <c r="U15256" s="40">
        <f>AVERAGE(T15165:T15256)</f>
        <v>0.34239130434782611</v>
      </c>
    </row>
    <row r="15257" spans="19:21" x14ac:dyDescent="0.25">
      <c r="S15257" s="78">
        <v>42644</v>
      </c>
      <c r="T15257" s="29">
        <v>0.25</v>
      </c>
    </row>
    <row r="15258" spans="19:21" x14ac:dyDescent="0.25">
      <c r="S15258" s="78">
        <v>42645</v>
      </c>
      <c r="T15258" s="29">
        <v>0.25</v>
      </c>
    </row>
    <row r="15259" spans="19:21" x14ac:dyDescent="0.25">
      <c r="S15259" s="78">
        <v>42646</v>
      </c>
      <c r="T15259" s="29">
        <v>0.25</v>
      </c>
    </row>
    <row r="15260" spans="19:21" x14ac:dyDescent="0.25">
      <c r="S15260" s="78">
        <v>42647</v>
      </c>
      <c r="T15260" s="29">
        <v>0.25</v>
      </c>
    </row>
    <row r="15261" spans="19:21" x14ac:dyDescent="0.25">
      <c r="S15261" s="78">
        <v>42648</v>
      </c>
      <c r="T15261" s="29">
        <v>0.25</v>
      </c>
    </row>
    <row r="15262" spans="19:21" x14ac:dyDescent="0.25">
      <c r="S15262" s="78">
        <v>42649</v>
      </c>
      <c r="T15262" s="29">
        <v>0.25</v>
      </c>
    </row>
    <row r="15263" spans="19:21" x14ac:dyDescent="0.25">
      <c r="S15263" s="78">
        <v>42650</v>
      </c>
      <c r="T15263" s="29">
        <v>0.25</v>
      </c>
    </row>
    <row r="15264" spans="19:21" x14ac:dyDescent="0.25">
      <c r="S15264" s="78">
        <v>42651</v>
      </c>
      <c r="T15264" s="29">
        <v>0.25</v>
      </c>
    </row>
    <row r="15265" spans="19:20" x14ac:dyDescent="0.25">
      <c r="S15265" s="78">
        <v>42652</v>
      </c>
      <c r="T15265" s="29">
        <v>0.25</v>
      </c>
    </row>
    <row r="15266" spans="19:20" x14ac:dyDescent="0.25">
      <c r="S15266" s="78">
        <v>42653</v>
      </c>
      <c r="T15266" s="29">
        <v>0.25</v>
      </c>
    </row>
    <row r="15267" spans="19:20" x14ac:dyDescent="0.25">
      <c r="S15267" s="78">
        <v>42654</v>
      </c>
      <c r="T15267" s="29">
        <v>0.25</v>
      </c>
    </row>
    <row r="15268" spans="19:20" x14ac:dyDescent="0.25">
      <c r="S15268" s="78">
        <v>42655</v>
      </c>
      <c r="T15268" s="29">
        <v>0.25</v>
      </c>
    </row>
    <row r="15269" spans="19:20" x14ac:dyDescent="0.25">
      <c r="S15269" s="78">
        <v>42656</v>
      </c>
      <c r="T15269" s="29">
        <v>0.25</v>
      </c>
    </row>
    <row r="15270" spans="19:20" x14ac:dyDescent="0.25">
      <c r="S15270" s="78">
        <v>42657</v>
      </c>
      <c r="T15270" s="29">
        <v>0.25</v>
      </c>
    </row>
    <row r="15271" spans="19:20" x14ac:dyDescent="0.25">
      <c r="S15271" s="78">
        <v>42658</v>
      </c>
      <c r="T15271" s="29">
        <v>0.25</v>
      </c>
    </row>
    <row r="15272" spans="19:20" x14ac:dyDescent="0.25">
      <c r="S15272" s="78">
        <v>42659</v>
      </c>
      <c r="T15272" s="29">
        <v>0.25</v>
      </c>
    </row>
    <row r="15273" spans="19:20" x14ac:dyDescent="0.25">
      <c r="S15273" s="78">
        <v>42660</v>
      </c>
      <c r="T15273" s="29">
        <v>0.25</v>
      </c>
    </row>
    <row r="15274" spans="19:20" x14ac:dyDescent="0.25">
      <c r="S15274" s="78">
        <v>42661</v>
      </c>
      <c r="T15274" s="29">
        <v>0.25</v>
      </c>
    </row>
    <row r="15275" spans="19:20" x14ac:dyDescent="0.25">
      <c r="S15275" s="78">
        <v>42662</v>
      </c>
      <c r="T15275" s="29">
        <v>0.25</v>
      </c>
    </row>
    <row r="15276" spans="19:20" x14ac:dyDescent="0.25">
      <c r="S15276" s="78">
        <v>42663</v>
      </c>
      <c r="T15276" s="29">
        <v>0.25</v>
      </c>
    </row>
    <row r="15277" spans="19:20" x14ac:dyDescent="0.25">
      <c r="S15277" s="78">
        <v>42664</v>
      </c>
      <c r="T15277" s="29">
        <v>0.25</v>
      </c>
    </row>
    <row r="15278" spans="19:20" x14ac:dyDescent="0.25">
      <c r="S15278" s="78">
        <v>42665</v>
      </c>
      <c r="T15278" s="29">
        <v>0.25</v>
      </c>
    </row>
    <row r="15279" spans="19:20" x14ac:dyDescent="0.25">
      <c r="S15279" s="78">
        <v>42666</v>
      </c>
      <c r="T15279" s="29">
        <v>0.25</v>
      </c>
    </row>
    <row r="15280" spans="19:20" x14ac:dyDescent="0.25">
      <c r="S15280" s="78">
        <v>42667</v>
      </c>
      <c r="T15280" s="29">
        <v>0.25</v>
      </c>
    </row>
    <row r="15281" spans="19:20" x14ac:dyDescent="0.25">
      <c r="S15281" s="78">
        <v>42668</v>
      </c>
      <c r="T15281" s="29">
        <v>0.25</v>
      </c>
    </row>
    <row r="15282" spans="19:20" x14ac:dyDescent="0.25">
      <c r="S15282" s="78">
        <v>42669</v>
      </c>
      <c r="T15282" s="29">
        <v>0.25</v>
      </c>
    </row>
    <row r="15283" spans="19:20" x14ac:dyDescent="0.25">
      <c r="S15283" s="78">
        <v>42670</v>
      </c>
      <c r="T15283" s="29">
        <v>0.25</v>
      </c>
    </row>
    <row r="15284" spans="19:20" x14ac:dyDescent="0.25">
      <c r="S15284" s="78">
        <v>42671</v>
      </c>
      <c r="T15284" s="29">
        <v>0.25</v>
      </c>
    </row>
    <row r="15285" spans="19:20" x14ac:dyDescent="0.25">
      <c r="S15285" s="78">
        <v>42672</v>
      </c>
      <c r="T15285" s="29">
        <v>0.25</v>
      </c>
    </row>
    <row r="15286" spans="19:20" x14ac:dyDescent="0.25">
      <c r="S15286" s="78">
        <v>42673</v>
      </c>
      <c r="T15286" s="29">
        <v>0.25</v>
      </c>
    </row>
    <row r="15287" spans="19:20" x14ac:dyDescent="0.25">
      <c r="S15287" s="78">
        <v>42674</v>
      </c>
      <c r="T15287" s="29">
        <v>0.25</v>
      </c>
    </row>
    <row r="15288" spans="19:20" x14ac:dyDescent="0.25">
      <c r="S15288" s="78">
        <v>42675</v>
      </c>
      <c r="T15288" s="29">
        <v>0.25</v>
      </c>
    </row>
    <row r="15289" spans="19:20" x14ac:dyDescent="0.25">
      <c r="S15289" s="78">
        <v>42676</v>
      </c>
      <c r="T15289" s="29">
        <v>0.25</v>
      </c>
    </row>
    <row r="15290" spans="19:20" x14ac:dyDescent="0.25">
      <c r="S15290" s="78">
        <v>42677</v>
      </c>
      <c r="T15290" s="29">
        <v>0.25</v>
      </c>
    </row>
    <row r="15291" spans="19:20" x14ac:dyDescent="0.25">
      <c r="S15291" s="78">
        <v>42678</v>
      </c>
      <c r="T15291" s="29">
        <v>0.25</v>
      </c>
    </row>
    <row r="15292" spans="19:20" x14ac:dyDescent="0.25">
      <c r="S15292" s="78">
        <v>42679</v>
      </c>
      <c r="T15292" s="29">
        <v>0.25</v>
      </c>
    </row>
    <row r="15293" spans="19:20" x14ac:dyDescent="0.25">
      <c r="S15293" s="78">
        <v>42680</v>
      </c>
      <c r="T15293" s="29">
        <v>0.25</v>
      </c>
    </row>
    <row r="15294" spans="19:20" x14ac:dyDescent="0.25">
      <c r="S15294" s="78">
        <v>42681</v>
      </c>
      <c r="T15294" s="29">
        <v>0.25</v>
      </c>
    </row>
    <row r="15295" spans="19:20" x14ac:dyDescent="0.25">
      <c r="S15295" s="78">
        <v>42682</v>
      </c>
      <c r="T15295" s="29">
        <v>0.25</v>
      </c>
    </row>
    <row r="15296" spans="19:20" x14ac:dyDescent="0.25">
      <c r="S15296" s="78">
        <v>42683</v>
      </c>
      <c r="T15296" s="29">
        <v>0.25</v>
      </c>
    </row>
    <row r="15297" spans="19:20" x14ac:dyDescent="0.25">
      <c r="S15297" s="78">
        <v>42684</v>
      </c>
      <c r="T15297" s="29">
        <v>0.25</v>
      </c>
    </row>
    <row r="15298" spans="19:20" x14ac:dyDescent="0.25">
      <c r="S15298" s="78">
        <v>42685</v>
      </c>
      <c r="T15298" s="29">
        <v>0.25</v>
      </c>
    </row>
    <row r="15299" spans="19:20" x14ac:dyDescent="0.25">
      <c r="S15299" s="78">
        <v>42686</v>
      </c>
      <c r="T15299" s="29">
        <v>0.25</v>
      </c>
    </row>
    <row r="15300" spans="19:20" x14ac:dyDescent="0.25">
      <c r="S15300" s="78">
        <v>42687</v>
      </c>
      <c r="T15300" s="29">
        <v>0.25</v>
      </c>
    </row>
    <row r="15301" spans="19:20" x14ac:dyDescent="0.25">
      <c r="S15301" s="78">
        <v>42688</v>
      </c>
      <c r="T15301" s="29">
        <v>0.25</v>
      </c>
    </row>
    <row r="15302" spans="19:20" x14ac:dyDescent="0.25">
      <c r="S15302" s="78">
        <v>42689</v>
      </c>
      <c r="T15302" s="29">
        <v>0.25</v>
      </c>
    </row>
    <row r="15303" spans="19:20" x14ac:dyDescent="0.25">
      <c r="S15303" s="78">
        <v>42690</v>
      </c>
      <c r="T15303" s="29">
        <v>0.25</v>
      </c>
    </row>
    <row r="15304" spans="19:20" x14ac:dyDescent="0.25">
      <c r="S15304" s="78">
        <v>42691</v>
      </c>
      <c r="T15304" s="29">
        <v>0.25</v>
      </c>
    </row>
    <row r="15305" spans="19:20" x14ac:dyDescent="0.25">
      <c r="S15305" s="78">
        <v>42692</v>
      </c>
      <c r="T15305" s="29">
        <v>0.25</v>
      </c>
    </row>
    <row r="15306" spans="19:20" x14ac:dyDescent="0.25">
      <c r="S15306" s="78">
        <v>42693</v>
      </c>
      <c r="T15306" s="29">
        <v>0.25</v>
      </c>
    </row>
    <row r="15307" spans="19:20" x14ac:dyDescent="0.25">
      <c r="S15307" s="78">
        <v>42694</v>
      </c>
      <c r="T15307" s="29">
        <v>0.25</v>
      </c>
    </row>
    <row r="15308" spans="19:20" x14ac:dyDescent="0.25">
      <c r="S15308" s="78">
        <v>42695</v>
      </c>
      <c r="T15308" s="29">
        <v>0.25</v>
      </c>
    </row>
    <row r="15309" spans="19:20" x14ac:dyDescent="0.25">
      <c r="S15309" s="78">
        <v>42696</v>
      </c>
      <c r="T15309" s="29">
        <v>0.25</v>
      </c>
    </row>
    <row r="15310" spans="19:20" x14ac:dyDescent="0.25">
      <c r="S15310" s="78">
        <v>42697</v>
      </c>
      <c r="T15310" s="29">
        <v>0.25</v>
      </c>
    </row>
    <row r="15311" spans="19:20" x14ac:dyDescent="0.25">
      <c r="S15311" s="78">
        <v>42698</v>
      </c>
      <c r="T15311" s="29">
        <v>0.25</v>
      </c>
    </row>
    <row r="15312" spans="19:20" x14ac:dyDescent="0.25">
      <c r="S15312" s="78">
        <v>42699</v>
      </c>
      <c r="T15312" s="29">
        <v>0.25</v>
      </c>
    </row>
    <row r="15313" spans="19:20" x14ac:dyDescent="0.25">
      <c r="S15313" s="78">
        <v>42700</v>
      </c>
      <c r="T15313" s="29">
        <v>0.25</v>
      </c>
    </row>
    <row r="15314" spans="19:20" x14ac:dyDescent="0.25">
      <c r="S15314" s="78">
        <v>42701</v>
      </c>
      <c r="T15314" s="29">
        <v>0.25</v>
      </c>
    </row>
    <row r="15315" spans="19:20" x14ac:dyDescent="0.25">
      <c r="S15315" s="78">
        <v>42702</v>
      </c>
      <c r="T15315" s="29">
        <v>0.25</v>
      </c>
    </row>
    <row r="15316" spans="19:20" x14ac:dyDescent="0.25">
      <c r="S15316" s="78">
        <v>42703</v>
      </c>
      <c r="T15316" s="29">
        <v>0.25</v>
      </c>
    </row>
    <row r="15317" spans="19:20" x14ac:dyDescent="0.25">
      <c r="S15317" s="78">
        <v>42704</v>
      </c>
      <c r="T15317" s="29">
        <v>0.25</v>
      </c>
    </row>
    <row r="15318" spans="19:20" x14ac:dyDescent="0.25">
      <c r="S15318" s="78">
        <v>42705</v>
      </c>
      <c r="T15318" s="29">
        <v>0.25</v>
      </c>
    </row>
    <row r="15319" spans="19:20" x14ac:dyDescent="0.25">
      <c r="S15319" s="78">
        <v>42706</v>
      </c>
      <c r="T15319" s="29">
        <v>0.25</v>
      </c>
    </row>
    <row r="15320" spans="19:20" x14ac:dyDescent="0.25">
      <c r="S15320" s="78">
        <v>42707</v>
      </c>
      <c r="T15320" s="29">
        <v>0.25</v>
      </c>
    </row>
    <row r="15321" spans="19:20" x14ac:dyDescent="0.25">
      <c r="S15321" s="78">
        <v>42708</v>
      </c>
      <c r="T15321" s="29">
        <v>0.25</v>
      </c>
    </row>
    <row r="15322" spans="19:20" x14ac:dyDescent="0.25">
      <c r="S15322" s="78">
        <v>42709</v>
      </c>
      <c r="T15322" s="29">
        <v>0.25</v>
      </c>
    </row>
    <row r="15323" spans="19:20" x14ac:dyDescent="0.25">
      <c r="S15323" s="78">
        <v>42710</v>
      </c>
      <c r="T15323" s="29">
        <v>0.25</v>
      </c>
    </row>
    <row r="15324" spans="19:20" x14ac:dyDescent="0.25">
      <c r="S15324" s="78">
        <v>42711</v>
      </c>
      <c r="T15324" s="29">
        <v>0.25</v>
      </c>
    </row>
    <row r="15325" spans="19:20" x14ac:dyDescent="0.25">
      <c r="S15325" s="78">
        <v>42712</v>
      </c>
      <c r="T15325" s="29">
        <v>0.25</v>
      </c>
    </row>
    <row r="15326" spans="19:20" x14ac:dyDescent="0.25">
      <c r="S15326" s="78">
        <v>42713</v>
      </c>
      <c r="T15326" s="29">
        <v>0.25</v>
      </c>
    </row>
    <row r="15327" spans="19:20" x14ac:dyDescent="0.25">
      <c r="S15327" s="78">
        <v>42714</v>
      </c>
      <c r="T15327" s="29">
        <v>0.25</v>
      </c>
    </row>
    <row r="15328" spans="19:20" x14ac:dyDescent="0.25">
      <c r="S15328" s="78">
        <v>42715</v>
      </c>
      <c r="T15328" s="29">
        <v>0.25</v>
      </c>
    </row>
    <row r="15329" spans="19:20" x14ac:dyDescent="0.25">
      <c r="S15329" s="78">
        <v>42716</v>
      </c>
      <c r="T15329" s="29">
        <v>0.25</v>
      </c>
    </row>
    <row r="15330" spans="19:20" x14ac:dyDescent="0.25">
      <c r="S15330" s="78">
        <v>42717</v>
      </c>
      <c r="T15330" s="29">
        <v>0.25</v>
      </c>
    </row>
    <row r="15331" spans="19:20" x14ac:dyDescent="0.25">
      <c r="S15331" s="78">
        <v>42718</v>
      </c>
      <c r="T15331" s="29">
        <v>0.25</v>
      </c>
    </row>
    <row r="15332" spans="19:20" x14ac:dyDescent="0.25">
      <c r="S15332" s="78">
        <v>42719</v>
      </c>
      <c r="T15332" s="29">
        <v>0.25</v>
      </c>
    </row>
    <row r="15333" spans="19:20" x14ac:dyDescent="0.25">
      <c r="S15333" s="78">
        <v>42720</v>
      </c>
      <c r="T15333" s="29">
        <v>0.25</v>
      </c>
    </row>
    <row r="15334" spans="19:20" x14ac:dyDescent="0.25">
      <c r="S15334" s="78">
        <v>42721</v>
      </c>
      <c r="T15334" s="29">
        <v>0.25</v>
      </c>
    </row>
    <row r="15335" spans="19:20" x14ac:dyDescent="0.25">
      <c r="S15335" s="78">
        <v>42722</v>
      </c>
      <c r="T15335" s="29">
        <v>0.25</v>
      </c>
    </row>
    <row r="15336" spans="19:20" x14ac:dyDescent="0.25">
      <c r="S15336" s="78">
        <v>42723</v>
      </c>
      <c r="T15336" s="29">
        <v>0.25</v>
      </c>
    </row>
    <row r="15337" spans="19:20" x14ac:dyDescent="0.25">
      <c r="S15337" s="78">
        <v>42724</v>
      </c>
      <c r="T15337" s="29">
        <v>0.25</v>
      </c>
    </row>
    <row r="15338" spans="19:20" x14ac:dyDescent="0.25">
      <c r="S15338" s="78">
        <v>42725</v>
      </c>
      <c r="T15338" s="29">
        <v>0.25</v>
      </c>
    </row>
    <row r="15339" spans="19:20" x14ac:dyDescent="0.25">
      <c r="S15339" s="78">
        <v>42726</v>
      </c>
      <c r="T15339" s="29">
        <v>0.25</v>
      </c>
    </row>
    <row r="15340" spans="19:20" x14ac:dyDescent="0.25">
      <c r="S15340" s="78">
        <v>42727</v>
      </c>
      <c r="T15340" s="29">
        <v>0.25</v>
      </c>
    </row>
    <row r="15341" spans="19:20" x14ac:dyDescent="0.25">
      <c r="S15341" s="78">
        <v>42728</v>
      </c>
      <c r="T15341" s="29">
        <v>0.25</v>
      </c>
    </row>
    <row r="15342" spans="19:20" x14ac:dyDescent="0.25">
      <c r="S15342" s="78">
        <v>42729</v>
      </c>
      <c r="T15342" s="29">
        <v>0.25</v>
      </c>
    </row>
    <row r="15343" spans="19:20" x14ac:dyDescent="0.25">
      <c r="S15343" s="78">
        <v>42730</v>
      </c>
      <c r="T15343" s="29">
        <v>0.25</v>
      </c>
    </row>
    <row r="15344" spans="19:20" x14ac:dyDescent="0.25">
      <c r="S15344" s="78">
        <v>42731</v>
      </c>
      <c r="T15344" s="29">
        <v>0.25</v>
      </c>
    </row>
    <row r="15345" spans="19:21" x14ac:dyDescent="0.25">
      <c r="S15345" s="78">
        <v>42732</v>
      </c>
      <c r="T15345" s="29">
        <v>0.25</v>
      </c>
    </row>
    <row r="15346" spans="19:21" x14ac:dyDescent="0.25">
      <c r="S15346" s="78">
        <v>42733</v>
      </c>
      <c r="T15346" s="29">
        <v>0.25</v>
      </c>
    </row>
    <row r="15347" spans="19:21" x14ac:dyDescent="0.25">
      <c r="S15347" s="78">
        <v>42734</v>
      </c>
      <c r="T15347" s="29">
        <v>0.25</v>
      </c>
      <c r="U15347" s="40"/>
    </row>
    <row r="15348" spans="19:21" x14ac:dyDescent="0.25">
      <c r="S15348" s="78">
        <v>42735</v>
      </c>
      <c r="T15348" s="29">
        <v>0.25</v>
      </c>
      <c r="U15348" s="40">
        <f>AVERAGE(T15257:T15348)</f>
        <v>0.25</v>
      </c>
    </row>
    <row r="15349" spans="19:21" x14ac:dyDescent="0.25">
      <c r="S15349" s="78">
        <v>42736</v>
      </c>
      <c r="T15349" s="29">
        <v>0.25</v>
      </c>
    </row>
    <row r="15350" spans="19:21" x14ac:dyDescent="0.25">
      <c r="S15350" s="78">
        <v>42737</v>
      </c>
      <c r="T15350" s="29">
        <v>0.25</v>
      </c>
    </row>
    <row r="15351" spans="19:21" x14ac:dyDescent="0.25">
      <c r="S15351" s="78">
        <v>42738</v>
      </c>
      <c r="T15351" s="29">
        <v>0.25</v>
      </c>
    </row>
    <row r="15352" spans="19:21" x14ac:dyDescent="0.25">
      <c r="S15352" s="78">
        <v>42739</v>
      </c>
      <c r="T15352" s="29">
        <v>0.25</v>
      </c>
    </row>
    <row r="15353" spans="19:21" x14ac:dyDescent="0.25">
      <c r="S15353" s="78">
        <v>42740</v>
      </c>
      <c r="T15353" s="29">
        <v>0.25</v>
      </c>
    </row>
    <row r="15354" spans="19:21" x14ac:dyDescent="0.25">
      <c r="S15354" s="78">
        <v>42741</v>
      </c>
      <c r="T15354" s="29">
        <v>0.25</v>
      </c>
    </row>
    <row r="15355" spans="19:21" x14ac:dyDescent="0.25">
      <c r="S15355" s="78">
        <v>42742</v>
      </c>
      <c r="T15355" s="29">
        <v>0.25</v>
      </c>
    </row>
    <row r="15356" spans="19:21" x14ac:dyDescent="0.25">
      <c r="S15356" s="78">
        <v>42743</v>
      </c>
      <c r="T15356" s="29">
        <v>0.25</v>
      </c>
    </row>
    <row r="15357" spans="19:21" x14ac:dyDescent="0.25">
      <c r="S15357" s="78">
        <v>42744</v>
      </c>
      <c r="T15357" s="29">
        <v>0.25</v>
      </c>
    </row>
    <row r="15358" spans="19:21" x14ac:dyDescent="0.25">
      <c r="S15358" s="78">
        <v>42745</v>
      </c>
      <c r="T15358" s="29">
        <v>0.25</v>
      </c>
    </row>
    <row r="15359" spans="19:21" x14ac:dyDescent="0.25">
      <c r="S15359" s="78">
        <v>42746</v>
      </c>
      <c r="T15359" s="29">
        <v>0.25</v>
      </c>
    </row>
    <row r="15360" spans="19:21" x14ac:dyDescent="0.25">
      <c r="S15360" s="78">
        <v>42747</v>
      </c>
      <c r="T15360" s="29">
        <v>0.25</v>
      </c>
    </row>
    <row r="15361" spans="19:20" x14ac:dyDescent="0.25">
      <c r="S15361" s="78">
        <v>42748</v>
      </c>
      <c r="T15361" s="29">
        <v>0.25</v>
      </c>
    </row>
    <row r="15362" spans="19:20" x14ac:dyDescent="0.25">
      <c r="S15362" s="78">
        <v>42749</v>
      </c>
      <c r="T15362" s="29">
        <v>0.25</v>
      </c>
    </row>
    <row r="15363" spans="19:20" x14ac:dyDescent="0.25">
      <c r="S15363" s="78">
        <v>42750</v>
      </c>
      <c r="T15363" s="29">
        <v>0.25</v>
      </c>
    </row>
    <row r="15364" spans="19:20" x14ac:dyDescent="0.25">
      <c r="S15364" s="78">
        <v>42751</v>
      </c>
      <c r="T15364" s="29">
        <v>0.25</v>
      </c>
    </row>
    <row r="15365" spans="19:20" x14ac:dyDescent="0.25">
      <c r="S15365" s="78">
        <v>42752</v>
      </c>
      <c r="T15365" s="29">
        <v>0.25</v>
      </c>
    </row>
    <row r="15366" spans="19:20" x14ac:dyDescent="0.25">
      <c r="S15366" s="78">
        <v>42753</v>
      </c>
      <c r="T15366" s="29">
        <v>0.25</v>
      </c>
    </row>
    <row r="15367" spans="19:20" x14ac:dyDescent="0.25">
      <c r="S15367" s="78">
        <v>42754</v>
      </c>
      <c r="T15367" s="29">
        <v>0.25</v>
      </c>
    </row>
    <row r="15368" spans="19:20" x14ac:dyDescent="0.25">
      <c r="S15368" s="78">
        <v>42755</v>
      </c>
      <c r="T15368" s="29">
        <v>0.25</v>
      </c>
    </row>
    <row r="15369" spans="19:20" x14ac:dyDescent="0.25">
      <c r="S15369" s="78">
        <v>42756</v>
      </c>
      <c r="T15369" s="29">
        <v>0.25</v>
      </c>
    </row>
    <row r="15370" spans="19:20" x14ac:dyDescent="0.25">
      <c r="S15370" s="78">
        <v>42757</v>
      </c>
      <c r="T15370" s="29">
        <v>0.25</v>
      </c>
    </row>
    <row r="15371" spans="19:20" x14ac:dyDescent="0.25">
      <c r="S15371" s="78">
        <v>42758</v>
      </c>
      <c r="T15371" s="29">
        <v>0.25</v>
      </c>
    </row>
    <row r="15372" spans="19:20" x14ac:dyDescent="0.25">
      <c r="S15372" s="78">
        <v>42759</v>
      </c>
      <c r="T15372" s="29">
        <v>0.25</v>
      </c>
    </row>
    <row r="15373" spans="19:20" x14ac:dyDescent="0.25">
      <c r="S15373" s="78">
        <v>42760</v>
      </c>
      <c r="T15373" s="29">
        <v>0.25</v>
      </c>
    </row>
    <row r="15374" spans="19:20" x14ac:dyDescent="0.25">
      <c r="S15374" s="78">
        <v>42761</v>
      </c>
      <c r="T15374" s="29">
        <v>0.25</v>
      </c>
    </row>
    <row r="15375" spans="19:20" x14ac:dyDescent="0.25">
      <c r="S15375" s="78">
        <v>42762</v>
      </c>
      <c r="T15375" s="29">
        <v>0.25</v>
      </c>
    </row>
    <row r="15376" spans="19:20" x14ac:dyDescent="0.25">
      <c r="S15376" s="78">
        <v>42763</v>
      </c>
      <c r="T15376" s="29">
        <v>0.25</v>
      </c>
    </row>
    <row r="15377" spans="19:20" x14ac:dyDescent="0.25">
      <c r="S15377" s="78">
        <v>42764</v>
      </c>
      <c r="T15377" s="29">
        <v>0.25</v>
      </c>
    </row>
    <row r="15378" spans="19:20" x14ac:dyDescent="0.25">
      <c r="S15378" s="78">
        <v>42765</v>
      </c>
      <c r="T15378" s="29">
        <v>0.25</v>
      </c>
    </row>
    <row r="15379" spans="19:20" x14ac:dyDescent="0.25">
      <c r="S15379" s="78">
        <v>42766</v>
      </c>
      <c r="T15379" s="29">
        <v>0.25</v>
      </c>
    </row>
    <row r="15380" spans="19:20" x14ac:dyDescent="0.25">
      <c r="S15380" s="78">
        <v>42767</v>
      </c>
      <c r="T15380" s="29">
        <v>0.25</v>
      </c>
    </row>
    <row r="15381" spans="19:20" x14ac:dyDescent="0.25">
      <c r="S15381" s="78">
        <v>42768</v>
      </c>
      <c r="T15381" s="29">
        <v>0.25</v>
      </c>
    </row>
    <row r="15382" spans="19:20" x14ac:dyDescent="0.25">
      <c r="S15382" s="78">
        <v>42769</v>
      </c>
      <c r="T15382" s="29">
        <v>0.25</v>
      </c>
    </row>
    <row r="15383" spans="19:20" x14ac:dyDescent="0.25">
      <c r="S15383" s="78">
        <v>42770</v>
      </c>
      <c r="T15383" s="29">
        <v>0.25</v>
      </c>
    </row>
    <row r="15384" spans="19:20" x14ac:dyDescent="0.25">
      <c r="S15384" s="78">
        <v>42771</v>
      </c>
      <c r="T15384" s="29">
        <v>0.25</v>
      </c>
    </row>
    <row r="15385" spans="19:20" x14ac:dyDescent="0.25">
      <c r="S15385" s="78">
        <v>42772</v>
      </c>
      <c r="T15385" s="29">
        <v>0.25</v>
      </c>
    </row>
    <row r="15386" spans="19:20" x14ac:dyDescent="0.25">
      <c r="S15386" s="78">
        <v>42773</v>
      </c>
      <c r="T15386" s="29">
        <v>0.25</v>
      </c>
    </row>
    <row r="15387" spans="19:20" x14ac:dyDescent="0.25">
      <c r="S15387" s="78">
        <v>42774</v>
      </c>
      <c r="T15387" s="29">
        <v>0.25</v>
      </c>
    </row>
    <row r="15388" spans="19:20" x14ac:dyDescent="0.25">
      <c r="S15388" s="78">
        <v>42775</v>
      </c>
      <c r="T15388" s="29">
        <v>0.25</v>
      </c>
    </row>
    <row r="15389" spans="19:20" x14ac:dyDescent="0.25">
      <c r="S15389" s="78">
        <v>42776</v>
      </c>
      <c r="T15389" s="29">
        <v>0.25</v>
      </c>
    </row>
    <row r="15390" spans="19:20" x14ac:dyDescent="0.25">
      <c r="S15390" s="78">
        <v>42777</v>
      </c>
      <c r="T15390" s="29">
        <v>0.25</v>
      </c>
    </row>
    <row r="15391" spans="19:20" x14ac:dyDescent="0.25">
      <c r="S15391" s="78">
        <v>42778</v>
      </c>
      <c r="T15391" s="29">
        <v>0.25</v>
      </c>
    </row>
    <row r="15392" spans="19:20" x14ac:dyDescent="0.25">
      <c r="S15392" s="78">
        <v>42779</v>
      </c>
      <c r="T15392" s="29">
        <v>0.25</v>
      </c>
    </row>
    <row r="15393" spans="19:20" x14ac:dyDescent="0.25">
      <c r="S15393" s="78">
        <v>42780</v>
      </c>
      <c r="T15393" s="29">
        <v>0.25</v>
      </c>
    </row>
    <row r="15394" spans="19:20" x14ac:dyDescent="0.25">
      <c r="S15394" s="78">
        <v>42781</v>
      </c>
      <c r="T15394" s="29">
        <v>0.25</v>
      </c>
    </row>
    <row r="15395" spans="19:20" x14ac:dyDescent="0.25">
      <c r="S15395" s="78">
        <v>42782</v>
      </c>
      <c r="T15395" s="29">
        <v>0.25</v>
      </c>
    </row>
    <row r="15396" spans="19:20" x14ac:dyDescent="0.25">
      <c r="S15396" s="78">
        <v>42783</v>
      </c>
      <c r="T15396" s="29">
        <v>0.25</v>
      </c>
    </row>
    <row r="15397" spans="19:20" x14ac:dyDescent="0.25">
      <c r="S15397" s="78">
        <v>42784</v>
      </c>
      <c r="T15397" s="29">
        <v>0.25</v>
      </c>
    </row>
    <row r="15398" spans="19:20" x14ac:dyDescent="0.25">
      <c r="S15398" s="78">
        <v>42785</v>
      </c>
      <c r="T15398" s="29">
        <v>0.25</v>
      </c>
    </row>
    <row r="15399" spans="19:20" x14ac:dyDescent="0.25">
      <c r="S15399" s="78">
        <v>42786</v>
      </c>
      <c r="T15399" s="29">
        <v>0.25</v>
      </c>
    </row>
    <row r="15400" spans="19:20" x14ac:dyDescent="0.25">
      <c r="S15400" s="78">
        <v>42787</v>
      </c>
      <c r="T15400" s="29">
        <v>0.25</v>
      </c>
    </row>
    <row r="15401" spans="19:20" x14ac:dyDescent="0.25">
      <c r="S15401" s="78">
        <v>42788</v>
      </c>
      <c r="T15401" s="29">
        <v>0.25</v>
      </c>
    </row>
    <row r="15402" spans="19:20" x14ac:dyDescent="0.25">
      <c r="S15402" s="78">
        <v>42789</v>
      </c>
      <c r="T15402" s="29">
        <v>0.25</v>
      </c>
    </row>
    <row r="15403" spans="19:20" x14ac:dyDescent="0.25">
      <c r="S15403" s="78">
        <v>42790</v>
      </c>
      <c r="T15403" s="29">
        <v>0.25</v>
      </c>
    </row>
    <row r="15404" spans="19:20" x14ac:dyDescent="0.25">
      <c r="S15404" s="78">
        <v>42791</v>
      </c>
      <c r="T15404" s="29">
        <v>0.25</v>
      </c>
    </row>
    <row r="15405" spans="19:20" x14ac:dyDescent="0.25">
      <c r="S15405" s="78">
        <v>42792</v>
      </c>
      <c r="T15405" s="29">
        <v>0.25</v>
      </c>
    </row>
    <row r="15406" spans="19:20" x14ac:dyDescent="0.25">
      <c r="S15406" s="78">
        <v>42793</v>
      </c>
      <c r="T15406" s="29">
        <v>0.25</v>
      </c>
    </row>
    <row r="15407" spans="19:20" x14ac:dyDescent="0.25">
      <c r="S15407" s="78">
        <v>42794</v>
      </c>
      <c r="T15407" s="29">
        <v>0.25</v>
      </c>
    </row>
    <row r="15408" spans="19:20" x14ac:dyDescent="0.25">
      <c r="S15408" s="78">
        <v>42795</v>
      </c>
      <c r="T15408" s="29">
        <v>0.25</v>
      </c>
    </row>
    <row r="15409" spans="19:20" x14ac:dyDescent="0.25">
      <c r="S15409" s="78">
        <v>42796</v>
      </c>
      <c r="T15409" s="29">
        <v>0.25</v>
      </c>
    </row>
    <row r="15410" spans="19:20" x14ac:dyDescent="0.25">
      <c r="S15410" s="78">
        <v>42797</v>
      </c>
      <c r="T15410" s="29">
        <v>0.25</v>
      </c>
    </row>
    <row r="15411" spans="19:20" x14ac:dyDescent="0.25">
      <c r="S15411" s="78">
        <v>42798</v>
      </c>
      <c r="T15411" s="29">
        <v>0.25</v>
      </c>
    </row>
    <row r="15412" spans="19:20" x14ac:dyDescent="0.25">
      <c r="S15412" s="78">
        <v>42799</v>
      </c>
      <c r="T15412" s="29">
        <v>0.25</v>
      </c>
    </row>
    <row r="15413" spans="19:20" x14ac:dyDescent="0.25">
      <c r="S15413" s="78">
        <v>42800</v>
      </c>
      <c r="T15413" s="29">
        <v>0.25</v>
      </c>
    </row>
    <row r="15414" spans="19:20" x14ac:dyDescent="0.25">
      <c r="S15414" s="78">
        <v>42801</v>
      </c>
      <c r="T15414" s="29">
        <v>0.25</v>
      </c>
    </row>
    <row r="15415" spans="19:20" x14ac:dyDescent="0.25">
      <c r="S15415" s="78">
        <v>42802</v>
      </c>
      <c r="T15415" s="29">
        <v>0.25</v>
      </c>
    </row>
    <row r="15416" spans="19:20" x14ac:dyDescent="0.25">
      <c r="S15416" s="78">
        <v>42803</v>
      </c>
      <c r="T15416" s="29">
        <v>0.25</v>
      </c>
    </row>
    <row r="15417" spans="19:20" x14ac:dyDescent="0.25">
      <c r="S15417" s="78">
        <v>42804</v>
      </c>
      <c r="T15417" s="29">
        <v>0.25</v>
      </c>
    </row>
    <row r="15418" spans="19:20" x14ac:dyDescent="0.25">
      <c r="S15418" s="78">
        <v>42805</v>
      </c>
      <c r="T15418" s="29">
        <v>0.25</v>
      </c>
    </row>
    <row r="15419" spans="19:20" x14ac:dyDescent="0.25">
      <c r="S15419" s="78">
        <v>42806</v>
      </c>
      <c r="T15419" s="29">
        <v>0.25</v>
      </c>
    </row>
    <row r="15420" spans="19:20" x14ac:dyDescent="0.25">
      <c r="S15420" s="78">
        <v>42807</v>
      </c>
      <c r="T15420" s="29">
        <v>0.25</v>
      </c>
    </row>
    <row r="15421" spans="19:20" x14ac:dyDescent="0.25">
      <c r="S15421" s="78">
        <v>42808</v>
      </c>
      <c r="T15421" s="29">
        <v>0.25</v>
      </c>
    </row>
    <row r="15422" spans="19:20" x14ac:dyDescent="0.25">
      <c r="S15422" s="78">
        <v>42809</v>
      </c>
      <c r="T15422" s="29">
        <v>0.25</v>
      </c>
    </row>
    <row r="15423" spans="19:20" x14ac:dyDescent="0.25">
      <c r="S15423" s="78">
        <v>42810</v>
      </c>
      <c r="T15423" s="29">
        <v>0.25</v>
      </c>
    </row>
    <row r="15424" spans="19:20" x14ac:dyDescent="0.25">
      <c r="S15424" s="78">
        <v>42811</v>
      </c>
      <c r="T15424" s="29">
        <v>0.25</v>
      </c>
    </row>
    <row r="15425" spans="19:21" x14ac:dyDescent="0.25">
      <c r="S15425" s="78">
        <v>42812</v>
      </c>
      <c r="T15425" s="29">
        <v>0.25</v>
      </c>
    </row>
    <row r="15426" spans="19:21" x14ac:dyDescent="0.25">
      <c r="S15426" s="78">
        <v>42813</v>
      </c>
      <c r="T15426" s="29">
        <v>0.25</v>
      </c>
    </row>
    <row r="15427" spans="19:21" x14ac:dyDescent="0.25">
      <c r="S15427" s="78">
        <v>42814</v>
      </c>
      <c r="T15427" s="29">
        <v>0.25</v>
      </c>
    </row>
    <row r="15428" spans="19:21" x14ac:dyDescent="0.25">
      <c r="S15428" s="78">
        <v>42815</v>
      </c>
      <c r="T15428" s="29">
        <v>0.25</v>
      </c>
    </row>
    <row r="15429" spans="19:21" x14ac:dyDescent="0.25">
      <c r="S15429" s="78">
        <v>42816</v>
      </c>
      <c r="T15429" s="29">
        <v>0.25</v>
      </c>
    </row>
    <row r="15430" spans="19:21" x14ac:dyDescent="0.25">
      <c r="S15430" s="78">
        <v>42817</v>
      </c>
      <c r="T15430" s="29">
        <v>0.25</v>
      </c>
    </row>
    <row r="15431" spans="19:21" x14ac:dyDescent="0.25">
      <c r="S15431" s="78">
        <v>42818</v>
      </c>
      <c r="T15431" s="29">
        <v>0.25</v>
      </c>
    </row>
    <row r="15432" spans="19:21" x14ac:dyDescent="0.25">
      <c r="S15432" s="78">
        <v>42819</v>
      </c>
      <c r="T15432" s="29">
        <v>0.25</v>
      </c>
    </row>
    <row r="15433" spans="19:21" x14ac:dyDescent="0.25">
      <c r="S15433" s="78">
        <v>42820</v>
      </c>
      <c r="T15433" s="29">
        <v>0.25</v>
      </c>
    </row>
    <row r="15434" spans="19:21" x14ac:dyDescent="0.25">
      <c r="S15434" s="78">
        <v>42821</v>
      </c>
      <c r="T15434" s="29">
        <v>0.25</v>
      </c>
    </row>
    <row r="15435" spans="19:21" x14ac:dyDescent="0.25">
      <c r="S15435" s="78">
        <v>42822</v>
      </c>
      <c r="T15435" s="29">
        <v>0.25</v>
      </c>
    </row>
    <row r="15436" spans="19:21" x14ac:dyDescent="0.25">
      <c r="S15436" s="78">
        <v>42823</v>
      </c>
      <c r="T15436" s="29">
        <v>0.25</v>
      </c>
    </row>
    <row r="15437" spans="19:21" x14ac:dyDescent="0.25">
      <c r="S15437" s="78">
        <v>42824</v>
      </c>
      <c r="T15437" s="29">
        <v>0.25</v>
      </c>
    </row>
    <row r="15438" spans="19:21" x14ac:dyDescent="0.25">
      <c r="S15438" s="78">
        <v>42825</v>
      </c>
      <c r="T15438" s="29">
        <v>0.25</v>
      </c>
      <c r="U15438" s="39">
        <f>AVERAGE(T15349:T15438)</f>
        <v>0.25</v>
      </c>
    </row>
    <row r="15439" spans="19:21" x14ac:dyDescent="0.25">
      <c r="S15439" s="78">
        <v>42826</v>
      </c>
      <c r="T15439" s="29">
        <v>0.25</v>
      </c>
    </row>
    <row r="15440" spans="19:21" x14ac:dyDescent="0.25">
      <c r="S15440" s="78">
        <v>42827</v>
      </c>
      <c r="T15440" s="29">
        <v>0.25</v>
      </c>
    </row>
    <row r="15441" spans="19:20" x14ac:dyDescent="0.25">
      <c r="S15441" s="78">
        <v>42828</v>
      </c>
      <c r="T15441" s="29">
        <v>0.25</v>
      </c>
    </row>
    <row r="15442" spans="19:20" x14ac:dyDescent="0.25">
      <c r="S15442" s="78">
        <v>42829</v>
      </c>
      <c r="T15442" s="29">
        <v>0.25</v>
      </c>
    </row>
    <row r="15443" spans="19:20" x14ac:dyDescent="0.25">
      <c r="S15443" s="78">
        <v>42830</v>
      </c>
      <c r="T15443" s="29">
        <v>0.25</v>
      </c>
    </row>
    <row r="15444" spans="19:20" x14ac:dyDescent="0.25">
      <c r="S15444" s="78">
        <v>42831</v>
      </c>
      <c r="T15444" s="29">
        <v>0.25</v>
      </c>
    </row>
    <row r="15445" spans="19:20" x14ac:dyDescent="0.25">
      <c r="S15445" s="78">
        <v>42832</v>
      </c>
      <c r="T15445" s="29">
        <v>0.25</v>
      </c>
    </row>
    <row r="15446" spans="19:20" x14ac:dyDescent="0.25">
      <c r="S15446" s="78">
        <v>42833</v>
      </c>
      <c r="T15446" s="29">
        <v>0.25</v>
      </c>
    </row>
    <row r="15447" spans="19:20" x14ac:dyDescent="0.25">
      <c r="S15447" s="78">
        <v>42834</v>
      </c>
      <c r="T15447" s="29">
        <v>0.25</v>
      </c>
    </row>
    <row r="15448" spans="19:20" x14ac:dyDescent="0.25">
      <c r="S15448" s="78">
        <v>42835</v>
      </c>
      <c r="T15448" s="29">
        <v>0.25</v>
      </c>
    </row>
    <row r="15449" spans="19:20" x14ac:dyDescent="0.25">
      <c r="S15449" s="78">
        <v>42836</v>
      </c>
      <c r="T15449" s="29">
        <v>0.25</v>
      </c>
    </row>
    <row r="15450" spans="19:20" x14ac:dyDescent="0.25">
      <c r="S15450" s="78">
        <v>42837</v>
      </c>
      <c r="T15450" s="29">
        <v>0.25</v>
      </c>
    </row>
    <row r="15451" spans="19:20" x14ac:dyDescent="0.25">
      <c r="S15451" s="78">
        <v>42838</v>
      </c>
      <c r="T15451" s="29">
        <v>0.25</v>
      </c>
    </row>
    <row r="15452" spans="19:20" x14ac:dyDescent="0.25">
      <c r="S15452" s="78">
        <v>42839</v>
      </c>
      <c r="T15452" s="29">
        <v>0.25</v>
      </c>
    </row>
    <row r="15453" spans="19:20" x14ac:dyDescent="0.25">
      <c r="S15453" s="78">
        <v>42840</v>
      </c>
      <c r="T15453" s="29">
        <v>0.25</v>
      </c>
    </row>
    <row r="15454" spans="19:20" x14ac:dyDescent="0.25">
      <c r="S15454" s="78">
        <v>42841</v>
      </c>
      <c r="T15454" s="29">
        <v>0.25</v>
      </c>
    </row>
    <row r="15455" spans="19:20" x14ac:dyDescent="0.25">
      <c r="S15455" s="78">
        <v>42842</v>
      </c>
      <c r="T15455" s="29">
        <v>0.25</v>
      </c>
    </row>
    <row r="15456" spans="19:20" x14ac:dyDescent="0.25">
      <c r="S15456" s="78">
        <v>42843</v>
      </c>
      <c r="T15456" s="29">
        <v>0.25</v>
      </c>
    </row>
    <row r="15457" spans="19:20" x14ac:dyDescent="0.25">
      <c r="S15457" s="78">
        <v>42844</v>
      </c>
      <c r="T15457" s="29">
        <v>0.25</v>
      </c>
    </row>
    <row r="15458" spans="19:20" x14ac:dyDescent="0.25">
      <c r="S15458" s="78">
        <v>42845</v>
      </c>
      <c r="T15458" s="29">
        <v>0.25</v>
      </c>
    </row>
    <row r="15459" spans="19:20" x14ac:dyDescent="0.25">
      <c r="S15459" s="78">
        <v>42846</v>
      </c>
      <c r="T15459" s="29">
        <v>0.25</v>
      </c>
    </row>
    <row r="15460" spans="19:20" x14ac:dyDescent="0.25">
      <c r="S15460" s="78">
        <v>42847</v>
      </c>
      <c r="T15460" s="29">
        <v>0.25</v>
      </c>
    </row>
    <row r="15461" spans="19:20" x14ac:dyDescent="0.25">
      <c r="S15461" s="78">
        <v>42848</v>
      </c>
      <c r="T15461" s="29">
        <v>0.25</v>
      </c>
    </row>
    <row r="15462" spans="19:20" x14ac:dyDescent="0.25">
      <c r="S15462" s="78">
        <v>42849</v>
      </c>
      <c r="T15462" s="29">
        <v>0.25</v>
      </c>
    </row>
    <row r="15463" spans="19:20" x14ac:dyDescent="0.25">
      <c r="S15463" s="78">
        <v>42850</v>
      </c>
      <c r="T15463" s="29">
        <v>0.25</v>
      </c>
    </row>
    <row r="15464" spans="19:20" x14ac:dyDescent="0.25">
      <c r="S15464" s="78">
        <v>42851</v>
      </c>
      <c r="T15464" s="29">
        <v>0.25</v>
      </c>
    </row>
    <row r="15465" spans="19:20" x14ac:dyDescent="0.25">
      <c r="S15465" s="78">
        <v>42852</v>
      </c>
      <c r="T15465" s="29">
        <v>0.25</v>
      </c>
    </row>
    <row r="15466" spans="19:20" x14ac:dyDescent="0.25">
      <c r="S15466" s="78">
        <v>42853</v>
      </c>
      <c r="T15466" s="29">
        <v>0.25</v>
      </c>
    </row>
    <row r="15467" spans="19:20" x14ac:dyDescent="0.25">
      <c r="S15467" s="78">
        <v>42854</v>
      </c>
      <c r="T15467" s="29">
        <v>0.25</v>
      </c>
    </row>
    <row r="15468" spans="19:20" x14ac:dyDescent="0.25">
      <c r="S15468" s="78">
        <v>42855</v>
      </c>
      <c r="T15468" s="29">
        <v>0.25</v>
      </c>
    </row>
    <row r="15469" spans="19:20" x14ac:dyDescent="0.25">
      <c r="S15469" s="78">
        <v>42856</v>
      </c>
      <c r="T15469" s="29">
        <v>0.25</v>
      </c>
    </row>
    <row r="15470" spans="19:20" x14ac:dyDescent="0.25">
      <c r="S15470" s="78">
        <v>42857</v>
      </c>
      <c r="T15470" s="29">
        <v>0.25</v>
      </c>
    </row>
    <row r="15471" spans="19:20" x14ac:dyDescent="0.25">
      <c r="S15471" s="78">
        <v>42858</v>
      </c>
      <c r="T15471" s="29">
        <v>0.25</v>
      </c>
    </row>
    <row r="15472" spans="19:20" x14ac:dyDescent="0.25">
      <c r="S15472" s="78">
        <v>42859</v>
      </c>
      <c r="T15472" s="29">
        <v>0.25</v>
      </c>
    </row>
    <row r="15473" spans="19:20" x14ac:dyDescent="0.25">
      <c r="S15473" s="78">
        <v>42860</v>
      </c>
      <c r="T15473" s="29">
        <v>0.25</v>
      </c>
    </row>
    <row r="15474" spans="19:20" x14ac:dyDescent="0.25">
      <c r="S15474" s="78">
        <v>42861</v>
      </c>
      <c r="T15474" s="29">
        <v>0.25</v>
      </c>
    </row>
    <row r="15475" spans="19:20" x14ac:dyDescent="0.25">
      <c r="S15475" s="78">
        <v>42862</v>
      </c>
      <c r="T15475" s="29">
        <v>0.25</v>
      </c>
    </row>
    <row r="15476" spans="19:20" x14ac:dyDescent="0.25">
      <c r="S15476" s="78">
        <v>42863</v>
      </c>
      <c r="T15476" s="29">
        <v>0.25</v>
      </c>
    </row>
    <row r="15477" spans="19:20" x14ac:dyDescent="0.25">
      <c r="S15477" s="78">
        <v>42864</v>
      </c>
      <c r="T15477" s="29">
        <v>0.25</v>
      </c>
    </row>
    <row r="15478" spans="19:20" x14ac:dyDescent="0.25">
      <c r="S15478" s="78">
        <v>42865</v>
      </c>
      <c r="T15478" s="29">
        <v>0.25</v>
      </c>
    </row>
    <row r="15479" spans="19:20" x14ac:dyDescent="0.25">
      <c r="S15479" s="78">
        <v>42866</v>
      </c>
      <c r="T15479" s="29">
        <v>0.25</v>
      </c>
    </row>
    <row r="15480" spans="19:20" x14ac:dyDescent="0.25">
      <c r="S15480" s="78">
        <v>42867</v>
      </c>
      <c r="T15480" s="29">
        <v>0.25</v>
      </c>
    </row>
    <row r="15481" spans="19:20" x14ac:dyDescent="0.25">
      <c r="S15481" s="78">
        <v>42868</v>
      </c>
      <c r="T15481" s="29">
        <v>0.25</v>
      </c>
    </row>
    <row r="15482" spans="19:20" x14ac:dyDescent="0.25">
      <c r="S15482" s="78">
        <v>42869</v>
      </c>
      <c r="T15482" s="29">
        <v>0.25</v>
      </c>
    </row>
    <row r="15483" spans="19:20" x14ac:dyDescent="0.25">
      <c r="S15483" s="78">
        <v>42870</v>
      </c>
      <c r="T15483" s="29">
        <v>0.25</v>
      </c>
    </row>
    <row r="15484" spans="19:20" x14ac:dyDescent="0.25">
      <c r="S15484" s="78">
        <v>42871</v>
      </c>
      <c r="T15484" s="29">
        <v>0.25</v>
      </c>
    </row>
    <row r="15485" spans="19:20" x14ac:dyDescent="0.25">
      <c r="S15485" s="78">
        <v>42872</v>
      </c>
      <c r="T15485" s="29">
        <v>0.25</v>
      </c>
    </row>
    <row r="15486" spans="19:20" x14ac:dyDescent="0.25">
      <c r="S15486" s="78">
        <v>42873</v>
      </c>
      <c r="T15486" s="29">
        <v>0.25</v>
      </c>
    </row>
    <row r="15487" spans="19:20" x14ac:dyDescent="0.25">
      <c r="S15487" s="78">
        <v>42874</v>
      </c>
      <c r="T15487" s="29">
        <v>0.25</v>
      </c>
    </row>
    <row r="15488" spans="19:20" x14ac:dyDescent="0.25">
      <c r="S15488" s="78">
        <v>42875</v>
      </c>
      <c r="T15488" s="29">
        <v>0.25</v>
      </c>
    </row>
    <row r="15489" spans="19:20" x14ac:dyDescent="0.25">
      <c r="S15489" s="78">
        <v>42876</v>
      </c>
      <c r="T15489" s="29">
        <v>0.25</v>
      </c>
    </row>
    <row r="15490" spans="19:20" x14ac:dyDescent="0.25">
      <c r="S15490" s="78">
        <v>42877</v>
      </c>
      <c r="T15490" s="29">
        <v>0.25</v>
      </c>
    </row>
    <row r="15491" spans="19:20" x14ac:dyDescent="0.25">
      <c r="S15491" s="78">
        <v>42878</v>
      </c>
      <c r="T15491" s="29">
        <v>0.25</v>
      </c>
    </row>
    <row r="15492" spans="19:20" x14ac:dyDescent="0.25">
      <c r="S15492" s="78">
        <v>42879</v>
      </c>
      <c r="T15492" s="29">
        <v>0.25</v>
      </c>
    </row>
    <row r="15493" spans="19:20" x14ac:dyDescent="0.25">
      <c r="S15493" s="78">
        <v>42880</v>
      </c>
      <c r="T15493" s="29">
        <v>0.25</v>
      </c>
    </row>
    <row r="15494" spans="19:20" x14ac:dyDescent="0.25">
      <c r="S15494" s="78">
        <v>42881</v>
      </c>
      <c r="T15494" s="29">
        <v>0.25</v>
      </c>
    </row>
    <row r="15495" spans="19:20" x14ac:dyDescent="0.25">
      <c r="S15495" s="78">
        <v>42882</v>
      </c>
      <c r="T15495" s="29">
        <v>0.25</v>
      </c>
    </row>
    <row r="15496" spans="19:20" x14ac:dyDescent="0.25">
      <c r="S15496" s="78">
        <v>42883</v>
      </c>
      <c r="T15496" s="29">
        <v>0.25</v>
      </c>
    </row>
    <row r="15497" spans="19:20" x14ac:dyDescent="0.25">
      <c r="S15497" s="78">
        <v>42884</v>
      </c>
      <c r="T15497" s="29">
        <v>0.25</v>
      </c>
    </row>
    <row r="15498" spans="19:20" x14ac:dyDescent="0.25">
      <c r="S15498" s="78">
        <v>42885</v>
      </c>
      <c r="T15498" s="29">
        <v>0.25</v>
      </c>
    </row>
    <row r="15499" spans="19:20" x14ac:dyDescent="0.25">
      <c r="S15499" s="78">
        <v>42886</v>
      </c>
      <c r="T15499" s="29">
        <v>0.25</v>
      </c>
    </row>
    <row r="15500" spans="19:20" x14ac:dyDescent="0.25">
      <c r="S15500" s="78">
        <v>42887</v>
      </c>
      <c r="T15500" s="29">
        <v>0.25</v>
      </c>
    </row>
    <row r="15501" spans="19:20" x14ac:dyDescent="0.25">
      <c r="S15501" s="78">
        <v>42888</v>
      </c>
      <c r="T15501" s="29">
        <v>0.25</v>
      </c>
    </row>
    <row r="15502" spans="19:20" x14ac:dyDescent="0.25">
      <c r="S15502" s="78">
        <v>42889</v>
      </c>
      <c r="T15502" s="29">
        <v>0.25</v>
      </c>
    </row>
    <row r="15503" spans="19:20" x14ac:dyDescent="0.25">
      <c r="S15503" s="78">
        <v>42890</v>
      </c>
      <c r="T15503" s="29">
        <v>0.25</v>
      </c>
    </row>
    <row r="15504" spans="19:20" x14ac:dyDescent="0.25">
      <c r="S15504" s="78">
        <v>42891</v>
      </c>
      <c r="T15504" s="29">
        <v>0.25</v>
      </c>
    </row>
    <row r="15505" spans="19:20" x14ac:dyDescent="0.25">
      <c r="S15505" s="78">
        <v>42892</v>
      </c>
      <c r="T15505" s="29">
        <v>0.25</v>
      </c>
    </row>
    <row r="15506" spans="19:20" x14ac:dyDescent="0.25">
      <c r="S15506" s="78">
        <v>42893</v>
      </c>
      <c r="T15506" s="29">
        <v>0.25</v>
      </c>
    </row>
    <row r="15507" spans="19:20" x14ac:dyDescent="0.25">
      <c r="S15507" s="78">
        <v>42894</v>
      </c>
      <c r="T15507" s="29">
        <v>0.25</v>
      </c>
    </row>
    <row r="15508" spans="19:20" x14ac:dyDescent="0.25">
      <c r="S15508" s="78">
        <v>42895</v>
      </c>
      <c r="T15508" s="29">
        <v>0.25</v>
      </c>
    </row>
    <row r="15509" spans="19:20" x14ac:dyDescent="0.25">
      <c r="S15509" s="78">
        <v>42896</v>
      </c>
      <c r="T15509" s="29">
        <v>0.25</v>
      </c>
    </row>
    <row r="15510" spans="19:20" x14ac:dyDescent="0.25">
      <c r="S15510" s="78">
        <v>42897</v>
      </c>
      <c r="T15510" s="29">
        <v>0.25</v>
      </c>
    </row>
    <row r="15511" spans="19:20" x14ac:dyDescent="0.25">
      <c r="S15511" s="78">
        <v>42898</v>
      </c>
      <c r="T15511" s="29">
        <v>0.25</v>
      </c>
    </row>
    <row r="15512" spans="19:20" x14ac:dyDescent="0.25">
      <c r="S15512" s="78">
        <v>42899</v>
      </c>
      <c r="T15512" s="29">
        <v>0.25</v>
      </c>
    </row>
    <row r="15513" spans="19:20" x14ac:dyDescent="0.25">
      <c r="S15513" s="78">
        <v>42900</v>
      </c>
      <c r="T15513" s="29">
        <v>0.25</v>
      </c>
    </row>
    <row r="15514" spans="19:20" x14ac:dyDescent="0.25">
      <c r="S15514" s="78">
        <v>42901</v>
      </c>
      <c r="T15514" s="29">
        <v>0.25</v>
      </c>
    </row>
    <row r="15515" spans="19:20" x14ac:dyDescent="0.25">
      <c r="S15515" s="78">
        <v>42902</v>
      </c>
      <c r="T15515" s="29">
        <v>0.25</v>
      </c>
    </row>
    <row r="15516" spans="19:20" x14ac:dyDescent="0.25">
      <c r="S15516" s="78">
        <v>42903</v>
      </c>
      <c r="T15516" s="29">
        <v>0.25</v>
      </c>
    </row>
    <row r="15517" spans="19:20" x14ac:dyDescent="0.25">
      <c r="S15517" s="78">
        <v>42904</v>
      </c>
      <c r="T15517" s="29">
        <v>0.25</v>
      </c>
    </row>
    <row r="15518" spans="19:20" x14ac:dyDescent="0.25">
      <c r="S15518" s="78">
        <v>42905</v>
      </c>
      <c r="T15518" s="29">
        <v>0.25</v>
      </c>
    </row>
    <row r="15519" spans="19:20" x14ac:dyDescent="0.25">
      <c r="S15519" s="78">
        <v>42906</v>
      </c>
      <c r="T15519" s="29">
        <v>0.25</v>
      </c>
    </row>
    <row r="15520" spans="19:20" x14ac:dyDescent="0.25">
      <c r="S15520" s="78">
        <v>42907</v>
      </c>
      <c r="T15520" s="29">
        <v>0.25</v>
      </c>
    </row>
    <row r="15521" spans="19:21" x14ac:dyDescent="0.25">
      <c r="S15521" s="78">
        <v>42908</v>
      </c>
      <c r="T15521" s="29">
        <v>0.25</v>
      </c>
    </row>
    <row r="15522" spans="19:21" x14ac:dyDescent="0.25">
      <c r="S15522" s="78">
        <v>42909</v>
      </c>
      <c r="T15522" s="29">
        <v>0.25</v>
      </c>
    </row>
    <row r="15523" spans="19:21" x14ac:dyDescent="0.25">
      <c r="S15523" s="78">
        <v>42910</v>
      </c>
      <c r="T15523" s="29">
        <v>0.25</v>
      </c>
    </row>
    <row r="15524" spans="19:21" x14ac:dyDescent="0.25">
      <c r="S15524" s="78">
        <v>42911</v>
      </c>
      <c r="T15524" s="29">
        <v>0.25</v>
      </c>
    </row>
    <row r="15525" spans="19:21" x14ac:dyDescent="0.25">
      <c r="S15525" s="78">
        <v>42912</v>
      </c>
      <c r="T15525" s="29">
        <v>0.25</v>
      </c>
    </row>
    <row r="15526" spans="19:21" x14ac:dyDescent="0.25">
      <c r="S15526" s="78">
        <v>42913</v>
      </c>
      <c r="T15526" s="29">
        <v>0.25</v>
      </c>
    </row>
    <row r="15527" spans="19:21" x14ac:dyDescent="0.25">
      <c r="S15527" s="78">
        <v>42914</v>
      </c>
      <c r="T15527" s="29">
        <v>0.25</v>
      </c>
    </row>
    <row r="15528" spans="19:21" x14ac:dyDescent="0.25">
      <c r="S15528" s="78">
        <v>42915</v>
      </c>
      <c r="T15528" s="29">
        <v>0.25</v>
      </c>
    </row>
    <row r="15529" spans="19:21" x14ac:dyDescent="0.25">
      <c r="S15529" s="78">
        <v>42916</v>
      </c>
      <c r="T15529" s="29">
        <v>0.25</v>
      </c>
      <c r="U15529" s="40">
        <f>AVERAGE(T15439:T15529)</f>
        <v>0.25</v>
      </c>
    </row>
    <row r="15530" spans="19:21" x14ac:dyDescent="0.25">
      <c r="S15530" s="78">
        <v>42917</v>
      </c>
      <c r="T15530" s="29">
        <v>0.25</v>
      </c>
    </row>
    <row r="15531" spans="19:21" x14ac:dyDescent="0.25">
      <c r="S15531" s="78">
        <v>42918</v>
      </c>
      <c r="T15531" s="29">
        <v>0.25</v>
      </c>
    </row>
    <row r="15532" spans="19:21" x14ac:dyDescent="0.25">
      <c r="S15532" s="78">
        <v>42919</v>
      </c>
      <c r="T15532" s="29">
        <v>0.25</v>
      </c>
    </row>
    <row r="15533" spans="19:21" x14ac:dyDescent="0.25">
      <c r="S15533" s="78">
        <v>42920</v>
      </c>
      <c r="T15533" s="29">
        <v>0.25</v>
      </c>
    </row>
    <row r="15534" spans="19:21" x14ac:dyDescent="0.25">
      <c r="S15534" s="78">
        <v>42921</v>
      </c>
      <c r="T15534" s="29">
        <v>0.25</v>
      </c>
    </row>
    <row r="15535" spans="19:21" x14ac:dyDescent="0.25">
      <c r="S15535" s="78">
        <v>42922</v>
      </c>
      <c r="T15535" s="29">
        <v>0.25</v>
      </c>
    </row>
    <row r="15536" spans="19:21" x14ac:dyDescent="0.25">
      <c r="S15536" s="78">
        <v>42923</v>
      </c>
      <c r="T15536" s="29">
        <v>0.25</v>
      </c>
    </row>
    <row r="15537" spans="19:20" x14ac:dyDescent="0.25">
      <c r="S15537" s="78">
        <v>42924</v>
      </c>
      <c r="T15537" s="29">
        <v>0.25</v>
      </c>
    </row>
    <row r="15538" spans="19:20" x14ac:dyDescent="0.25">
      <c r="S15538" s="78">
        <v>42925</v>
      </c>
      <c r="T15538" s="29">
        <v>0.25</v>
      </c>
    </row>
    <row r="15539" spans="19:20" x14ac:dyDescent="0.25">
      <c r="S15539" s="78">
        <v>42926</v>
      </c>
      <c r="T15539" s="29">
        <v>0.25</v>
      </c>
    </row>
    <row r="15540" spans="19:20" x14ac:dyDescent="0.25">
      <c r="S15540" s="78">
        <v>42927</v>
      </c>
      <c r="T15540" s="29">
        <v>0.25</v>
      </c>
    </row>
    <row r="15541" spans="19:20" x14ac:dyDescent="0.25">
      <c r="S15541" s="78">
        <v>42928</v>
      </c>
      <c r="T15541" s="29">
        <v>0.25</v>
      </c>
    </row>
    <row r="15542" spans="19:20" x14ac:dyDescent="0.25">
      <c r="S15542" s="78">
        <v>42929</v>
      </c>
      <c r="T15542" s="29">
        <v>0.25</v>
      </c>
    </row>
    <row r="15543" spans="19:20" x14ac:dyDescent="0.25">
      <c r="S15543" s="78">
        <v>42930</v>
      </c>
      <c r="T15543" s="29">
        <v>0.25</v>
      </c>
    </row>
    <row r="15544" spans="19:20" x14ac:dyDescent="0.25">
      <c r="S15544" s="78">
        <v>42931</v>
      </c>
      <c r="T15544" s="29">
        <v>0.25</v>
      </c>
    </row>
    <row r="15545" spans="19:20" x14ac:dyDescent="0.25">
      <c r="S15545" s="78">
        <v>42932</v>
      </c>
      <c r="T15545" s="29">
        <v>0.25</v>
      </c>
    </row>
    <row r="15546" spans="19:20" x14ac:dyDescent="0.25">
      <c r="S15546" s="78">
        <v>42933</v>
      </c>
      <c r="T15546" s="29">
        <v>0.25</v>
      </c>
    </row>
    <row r="15547" spans="19:20" x14ac:dyDescent="0.25">
      <c r="S15547" s="78">
        <v>42934</v>
      </c>
      <c r="T15547" s="29">
        <v>0.25</v>
      </c>
    </row>
    <row r="15548" spans="19:20" x14ac:dyDescent="0.25">
      <c r="S15548" s="78">
        <v>42935</v>
      </c>
      <c r="T15548" s="29">
        <v>0.25</v>
      </c>
    </row>
    <row r="15549" spans="19:20" x14ac:dyDescent="0.25">
      <c r="S15549" s="78">
        <v>42936</v>
      </c>
      <c r="T15549" s="29">
        <v>0.25</v>
      </c>
    </row>
    <row r="15550" spans="19:20" x14ac:dyDescent="0.25">
      <c r="S15550" s="78">
        <v>42937</v>
      </c>
      <c r="T15550" s="29">
        <v>0.25</v>
      </c>
    </row>
    <row r="15551" spans="19:20" x14ac:dyDescent="0.25">
      <c r="S15551" s="78">
        <v>42938</v>
      </c>
      <c r="T15551" s="29">
        <v>0.25</v>
      </c>
    </row>
    <row r="15552" spans="19:20" x14ac:dyDescent="0.25">
      <c r="S15552" s="78">
        <v>42939</v>
      </c>
      <c r="T15552" s="29">
        <v>0.25</v>
      </c>
    </row>
    <row r="15553" spans="19:20" x14ac:dyDescent="0.25">
      <c r="S15553" s="78">
        <v>42940</v>
      </c>
      <c r="T15553" s="29">
        <v>0.25</v>
      </c>
    </row>
    <row r="15554" spans="19:20" x14ac:dyDescent="0.25">
      <c r="S15554" s="78">
        <v>42941</v>
      </c>
      <c r="T15554" s="29">
        <v>0.25</v>
      </c>
    </row>
    <row r="15555" spans="19:20" x14ac:dyDescent="0.25">
      <c r="S15555" s="78">
        <v>42942</v>
      </c>
      <c r="T15555" s="29">
        <v>0.25</v>
      </c>
    </row>
    <row r="15556" spans="19:20" x14ac:dyDescent="0.25">
      <c r="S15556" s="78">
        <v>42943</v>
      </c>
      <c r="T15556" s="29">
        <v>0.25</v>
      </c>
    </row>
    <row r="15557" spans="19:20" x14ac:dyDescent="0.25">
      <c r="S15557" s="78">
        <v>42944</v>
      </c>
      <c r="T15557" s="29">
        <v>0.25</v>
      </c>
    </row>
    <row r="15558" spans="19:20" x14ac:dyDescent="0.25">
      <c r="S15558" s="78">
        <v>42945</v>
      </c>
      <c r="T15558" s="29">
        <v>0.25</v>
      </c>
    </row>
    <row r="15559" spans="19:20" x14ac:dyDescent="0.25">
      <c r="S15559" s="78">
        <v>42946</v>
      </c>
      <c r="T15559" s="29">
        <v>0.25</v>
      </c>
    </row>
    <row r="15560" spans="19:20" x14ac:dyDescent="0.25">
      <c r="S15560" s="78">
        <v>42947</v>
      </c>
      <c r="T15560" s="29">
        <v>0.25</v>
      </c>
    </row>
    <row r="15561" spans="19:20" x14ac:dyDescent="0.25">
      <c r="S15561" s="78">
        <v>42948</v>
      </c>
      <c r="T15561" s="29">
        <v>0.25</v>
      </c>
    </row>
    <row r="15562" spans="19:20" x14ac:dyDescent="0.25">
      <c r="S15562" s="78">
        <v>42949</v>
      </c>
      <c r="T15562" s="29">
        <v>0.25</v>
      </c>
    </row>
    <row r="15563" spans="19:20" x14ac:dyDescent="0.25">
      <c r="S15563" s="78">
        <v>42950</v>
      </c>
      <c r="T15563" s="29">
        <v>0.25</v>
      </c>
    </row>
    <row r="15564" spans="19:20" x14ac:dyDescent="0.25">
      <c r="S15564" s="78">
        <v>42951</v>
      </c>
      <c r="T15564" s="29">
        <v>0.25</v>
      </c>
    </row>
    <row r="15565" spans="19:20" x14ac:dyDescent="0.25">
      <c r="S15565" s="78">
        <v>42952</v>
      </c>
      <c r="T15565" s="29">
        <v>0.25</v>
      </c>
    </row>
    <row r="15566" spans="19:20" x14ac:dyDescent="0.25">
      <c r="S15566" s="78">
        <v>42953</v>
      </c>
      <c r="T15566" s="29">
        <v>0.25</v>
      </c>
    </row>
    <row r="15567" spans="19:20" x14ac:dyDescent="0.25">
      <c r="S15567" s="78">
        <v>42954</v>
      </c>
      <c r="T15567" s="29">
        <v>0.25</v>
      </c>
    </row>
    <row r="15568" spans="19:20" x14ac:dyDescent="0.25">
      <c r="S15568" s="78">
        <v>42955</v>
      </c>
      <c r="T15568" s="29">
        <v>0.25</v>
      </c>
    </row>
    <row r="15569" spans="19:20" x14ac:dyDescent="0.25">
      <c r="S15569" s="78">
        <v>42956</v>
      </c>
      <c r="T15569" s="29">
        <v>0.25</v>
      </c>
    </row>
    <row r="15570" spans="19:20" x14ac:dyDescent="0.25">
      <c r="S15570" s="78">
        <v>42957</v>
      </c>
      <c r="T15570" s="29">
        <v>0.25</v>
      </c>
    </row>
    <row r="15571" spans="19:20" x14ac:dyDescent="0.25">
      <c r="S15571" s="78">
        <v>42958</v>
      </c>
      <c r="T15571" s="29">
        <v>0.25</v>
      </c>
    </row>
    <row r="15572" spans="19:20" x14ac:dyDescent="0.25">
      <c r="S15572" s="78">
        <v>42959</v>
      </c>
      <c r="T15572" s="29">
        <v>0.25</v>
      </c>
    </row>
    <row r="15573" spans="19:20" x14ac:dyDescent="0.25">
      <c r="S15573" s="78">
        <v>42960</v>
      </c>
      <c r="T15573" s="29">
        <v>0.25</v>
      </c>
    </row>
    <row r="15574" spans="19:20" x14ac:dyDescent="0.25">
      <c r="S15574" s="78">
        <v>42961</v>
      </c>
      <c r="T15574" s="29">
        <v>0.25</v>
      </c>
    </row>
    <row r="15575" spans="19:20" x14ac:dyDescent="0.25">
      <c r="S15575" s="78">
        <v>42962</v>
      </c>
      <c r="T15575" s="29">
        <v>0.25</v>
      </c>
    </row>
    <row r="15576" spans="19:20" x14ac:dyDescent="0.25">
      <c r="S15576" s="78">
        <v>42963</v>
      </c>
      <c r="T15576" s="29">
        <v>0.25</v>
      </c>
    </row>
    <row r="15577" spans="19:20" x14ac:dyDescent="0.25">
      <c r="S15577" s="78">
        <v>42964</v>
      </c>
      <c r="T15577" s="29">
        <v>0.25</v>
      </c>
    </row>
    <row r="15578" spans="19:20" x14ac:dyDescent="0.25">
      <c r="S15578" s="78">
        <v>42965</v>
      </c>
      <c r="T15578" s="29">
        <v>0.25</v>
      </c>
    </row>
    <row r="15579" spans="19:20" x14ac:dyDescent="0.25">
      <c r="S15579" s="78">
        <v>42966</v>
      </c>
      <c r="T15579" s="29">
        <v>0.25</v>
      </c>
    </row>
    <row r="15580" spans="19:20" x14ac:dyDescent="0.25">
      <c r="S15580" s="78">
        <v>42967</v>
      </c>
      <c r="T15580" s="29">
        <v>0.25</v>
      </c>
    </row>
    <row r="15581" spans="19:20" x14ac:dyDescent="0.25">
      <c r="S15581" s="78">
        <v>42968</v>
      </c>
      <c r="T15581" s="29">
        <v>0.25</v>
      </c>
    </row>
    <row r="15582" spans="19:20" x14ac:dyDescent="0.25">
      <c r="S15582" s="78">
        <v>42969</v>
      </c>
      <c r="T15582" s="29">
        <v>0.25</v>
      </c>
    </row>
    <row r="15583" spans="19:20" x14ac:dyDescent="0.25">
      <c r="S15583" s="78">
        <v>42970</v>
      </c>
      <c r="T15583" s="29">
        <v>0.25</v>
      </c>
    </row>
    <row r="15584" spans="19:20" x14ac:dyDescent="0.25">
      <c r="S15584" s="78">
        <v>42971</v>
      </c>
      <c r="T15584" s="29">
        <v>0.25</v>
      </c>
    </row>
    <row r="15585" spans="19:20" x14ac:dyDescent="0.25">
      <c r="S15585" s="78">
        <v>42972</v>
      </c>
      <c r="T15585" s="29">
        <v>0.25</v>
      </c>
    </row>
    <row r="15586" spans="19:20" x14ac:dyDescent="0.25">
      <c r="S15586" s="78">
        <v>42973</v>
      </c>
      <c r="T15586" s="29">
        <v>0.25</v>
      </c>
    </row>
    <row r="15587" spans="19:20" x14ac:dyDescent="0.25">
      <c r="S15587" s="78">
        <v>42974</v>
      </c>
      <c r="T15587" s="29">
        <v>0.25</v>
      </c>
    </row>
    <row r="15588" spans="19:20" x14ac:dyDescent="0.25">
      <c r="S15588" s="78">
        <v>42975</v>
      </c>
      <c r="T15588" s="29">
        <v>0.25</v>
      </c>
    </row>
    <row r="15589" spans="19:20" x14ac:dyDescent="0.25">
      <c r="S15589" s="78">
        <v>42976</v>
      </c>
      <c r="T15589" s="29">
        <v>0.25</v>
      </c>
    </row>
    <row r="15590" spans="19:20" x14ac:dyDescent="0.25">
      <c r="S15590" s="78">
        <v>42977</v>
      </c>
      <c r="T15590" s="29">
        <v>0.25</v>
      </c>
    </row>
    <row r="15591" spans="19:20" x14ac:dyDescent="0.25">
      <c r="S15591" s="78">
        <v>42978</v>
      </c>
      <c r="T15591" s="29">
        <v>0.25</v>
      </c>
    </row>
    <row r="15592" spans="19:20" x14ac:dyDescent="0.25">
      <c r="S15592" s="78">
        <v>42979</v>
      </c>
      <c r="T15592" s="29">
        <v>0.25</v>
      </c>
    </row>
    <row r="15593" spans="19:20" x14ac:dyDescent="0.25">
      <c r="S15593" s="78">
        <v>42980</v>
      </c>
      <c r="T15593" s="29">
        <v>0.25</v>
      </c>
    </row>
    <row r="15594" spans="19:20" x14ac:dyDescent="0.25">
      <c r="S15594" s="78">
        <v>42981</v>
      </c>
      <c r="T15594" s="29">
        <v>0.25</v>
      </c>
    </row>
    <row r="15595" spans="19:20" x14ac:dyDescent="0.25">
      <c r="S15595" s="78">
        <v>42982</v>
      </c>
      <c r="T15595" s="29">
        <v>0.25</v>
      </c>
    </row>
    <row r="15596" spans="19:20" x14ac:dyDescent="0.25">
      <c r="S15596" s="78">
        <v>42983</v>
      </c>
      <c r="T15596" s="29">
        <v>0.25</v>
      </c>
    </row>
    <row r="15597" spans="19:20" x14ac:dyDescent="0.25">
      <c r="S15597" s="78">
        <v>42984</v>
      </c>
      <c r="T15597" s="29">
        <v>0.25</v>
      </c>
    </row>
    <row r="15598" spans="19:20" x14ac:dyDescent="0.25">
      <c r="S15598" s="78">
        <v>42985</v>
      </c>
      <c r="T15598" s="29">
        <v>0.25</v>
      </c>
    </row>
    <row r="15599" spans="19:20" x14ac:dyDescent="0.25">
      <c r="S15599" s="78">
        <v>42986</v>
      </c>
      <c r="T15599" s="29">
        <v>0.25</v>
      </c>
    </row>
    <row r="15600" spans="19:20" x14ac:dyDescent="0.25">
      <c r="S15600" s="78">
        <v>42987</v>
      </c>
      <c r="T15600" s="29">
        <v>0.25</v>
      </c>
    </row>
    <row r="15601" spans="19:20" x14ac:dyDescent="0.25">
      <c r="S15601" s="78">
        <v>42988</v>
      </c>
      <c r="T15601" s="29">
        <v>0.25</v>
      </c>
    </row>
    <row r="15602" spans="19:20" x14ac:dyDescent="0.25">
      <c r="S15602" s="78">
        <v>42989</v>
      </c>
      <c r="T15602" s="29">
        <v>0.25</v>
      </c>
    </row>
    <row r="15603" spans="19:20" x14ac:dyDescent="0.25">
      <c r="S15603" s="78">
        <v>42990</v>
      </c>
      <c r="T15603" s="29">
        <v>0.25</v>
      </c>
    </row>
    <row r="15604" spans="19:20" x14ac:dyDescent="0.25">
      <c r="S15604" s="78">
        <v>42991</v>
      </c>
      <c r="T15604" s="29">
        <v>0.25</v>
      </c>
    </row>
    <row r="15605" spans="19:20" x14ac:dyDescent="0.25">
      <c r="S15605" s="78">
        <v>42992</v>
      </c>
      <c r="T15605" s="29">
        <v>0.25</v>
      </c>
    </row>
    <row r="15606" spans="19:20" x14ac:dyDescent="0.25">
      <c r="S15606" s="78">
        <v>42993</v>
      </c>
      <c r="T15606" s="29">
        <v>0.25</v>
      </c>
    </row>
    <row r="15607" spans="19:20" x14ac:dyDescent="0.25">
      <c r="S15607" s="78">
        <v>42994</v>
      </c>
      <c r="T15607" s="29">
        <v>0.25</v>
      </c>
    </row>
    <row r="15608" spans="19:20" x14ac:dyDescent="0.25">
      <c r="S15608" s="78">
        <v>42995</v>
      </c>
      <c r="T15608" s="29">
        <v>0.25</v>
      </c>
    </row>
    <row r="15609" spans="19:20" x14ac:dyDescent="0.25">
      <c r="S15609" s="78">
        <v>42996</v>
      </c>
      <c r="T15609" s="29">
        <v>0.25</v>
      </c>
    </row>
    <row r="15610" spans="19:20" x14ac:dyDescent="0.25">
      <c r="S15610" s="78">
        <v>42997</v>
      </c>
      <c r="T15610" s="29">
        <v>0.25</v>
      </c>
    </row>
    <row r="15611" spans="19:20" x14ac:dyDescent="0.25">
      <c r="S15611" s="78">
        <v>42998</v>
      </c>
      <c r="T15611" s="29">
        <v>0.25</v>
      </c>
    </row>
    <row r="15612" spans="19:20" x14ac:dyDescent="0.25">
      <c r="S15612" s="78">
        <v>42999</v>
      </c>
      <c r="T15612" s="29">
        <v>0.25</v>
      </c>
    </row>
    <row r="15613" spans="19:20" x14ac:dyDescent="0.25">
      <c r="S15613" s="78">
        <v>43000</v>
      </c>
      <c r="T15613" s="29">
        <v>0.25</v>
      </c>
    </row>
    <row r="15614" spans="19:20" x14ac:dyDescent="0.25">
      <c r="S15614" s="78">
        <v>43001</v>
      </c>
      <c r="T15614" s="29">
        <v>0.25</v>
      </c>
    </row>
    <row r="15615" spans="19:20" x14ac:dyDescent="0.25">
      <c r="S15615" s="78">
        <v>43002</v>
      </c>
      <c r="T15615" s="29">
        <v>0.25</v>
      </c>
    </row>
    <row r="15616" spans="19:20" x14ac:dyDescent="0.25">
      <c r="S15616" s="78">
        <v>43003</v>
      </c>
      <c r="T15616" s="29">
        <v>0.25</v>
      </c>
    </row>
    <row r="15617" spans="19:21" x14ac:dyDescent="0.25">
      <c r="S15617" s="78">
        <v>43004</v>
      </c>
      <c r="T15617" s="29">
        <v>0.25</v>
      </c>
    </row>
    <row r="15618" spans="19:21" x14ac:dyDescent="0.25">
      <c r="S15618" s="78">
        <v>43005</v>
      </c>
      <c r="T15618" s="29">
        <v>0.25</v>
      </c>
    </row>
    <row r="15619" spans="19:21" x14ac:dyDescent="0.25">
      <c r="S15619" s="78">
        <v>43006</v>
      </c>
      <c r="T15619" s="29">
        <v>0.25</v>
      </c>
    </row>
    <row r="15620" spans="19:21" x14ac:dyDescent="0.25">
      <c r="S15620" s="78">
        <v>43007</v>
      </c>
      <c r="T15620" s="29">
        <v>0.25</v>
      </c>
    </row>
    <row r="15621" spans="19:21" x14ac:dyDescent="0.25">
      <c r="S15621" s="78">
        <v>43008</v>
      </c>
      <c r="T15621" s="29">
        <v>0.25</v>
      </c>
      <c r="U15621" s="40">
        <f>AVERAGE(T15530:T15621)</f>
        <v>0.25</v>
      </c>
    </row>
    <row r="15622" spans="19:21" x14ac:dyDescent="0.25">
      <c r="S15622" s="78">
        <v>43009</v>
      </c>
      <c r="T15622" s="29">
        <v>0.25</v>
      </c>
    </row>
    <row r="15623" spans="19:21" x14ac:dyDescent="0.25">
      <c r="S15623" s="78">
        <v>43010</v>
      </c>
      <c r="T15623" s="29">
        <v>0.25</v>
      </c>
    </row>
    <row r="15624" spans="19:21" x14ac:dyDescent="0.25">
      <c r="S15624" s="78">
        <v>43011</v>
      </c>
      <c r="T15624" s="29">
        <v>0.25</v>
      </c>
    </row>
    <row r="15625" spans="19:21" x14ac:dyDescent="0.25">
      <c r="S15625" s="78">
        <v>43012</v>
      </c>
      <c r="T15625" s="29">
        <v>0.25</v>
      </c>
    </row>
    <row r="15626" spans="19:21" x14ac:dyDescent="0.25">
      <c r="S15626" s="78">
        <v>43013</v>
      </c>
      <c r="T15626" s="29">
        <v>0.25</v>
      </c>
    </row>
    <row r="15627" spans="19:21" x14ac:dyDescent="0.25">
      <c r="S15627" s="78">
        <v>43014</v>
      </c>
      <c r="T15627" s="29">
        <v>0.25</v>
      </c>
    </row>
    <row r="15628" spans="19:21" x14ac:dyDescent="0.25">
      <c r="S15628" s="78">
        <v>43015</v>
      </c>
      <c r="T15628" s="29">
        <v>0.25</v>
      </c>
    </row>
    <row r="15629" spans="19:21" x14ac:dyDescent="0.25">
      <c r="S15629" s="78">
        <v>43016</v>
      </c>
      <c r="T15629" s="29">
        <v>0.25</v>
      </c>
    </row>
    <row r="15630" spans="19:21" x14ac:dyDescent="0.25">
      <c r="S15630" s="78">
        <v>43017</v>
      </c>
      <c r="T15630" s="29">
        <v>0.25</v>
      </c>
    </row>
    <row r="15631" spans="19:21" x14ac:dyDescent="0.25">
      <c r="S15631" s="78">
        <v>43018</v>
      </c>
      <c r="T15631" s="29">
        <v>0.25</v>
      </c>
    </row>
    <row r="15632" spans="19:21" x14ac:dyDescent="0.25">
      <c r="S15632" s="78">
        <v>43019</v>
      </c>
      <c r="T15632" s="29">
        <v>0.25</v>
      </c>
    </row>
    <row r="15633" spans="19:20" x14ac:dyDescent="0.25">
      <c r="S15633" s="78">
        <v>43020</v>
      </c>
      <c r="T15633" s="29">
        <v>0.25</v>
      </c>
    </row>
    <row r="15634" spans="19:20" x14ac:dyDescent="0.25">
      <c r="S15634" s="78">
        <v>43021</v>
      </c>
      <c r="T15634" s="29">
        <v>0.25</v>
      </c>
    </row>
    <row r="15635" spans="19:20" x14ac:dyDescent="0.25">
      <c r="S15635" s="78">
        <v>43022</v>
      </c>
      <c r="T15635" s="29">
        <v>0.25</v>
      </c>
    </row>
    <row r="15636" spans="19:20" x14ac:dyDescent="0.25">
      <c r="S15636" s="78">
        <v>43023</v>
      </c>
      <c r="T15636" s="29">
        <v>0.25</v>
      </c>
    </row>
    <row r="15637" spans="19:20" x14ac:dyDescent="0.25">
      <c r="S15637" s="78">
        <v>43024</v>
      </c>
      <c r="T15637" s="29">
        <v>0.25</v>
      </c>
    </row>
    <row r="15638" spans="19:20" x14ac:dyDescent="0.25">
      <c r="S15638" s="78">
        <v>43025</v>
      </c>
      <c r="T15638" s="29">
        <v>0.25</v>
      </c>
    </row>
    <row r="15639" spans="19:20" x14ac:dyDescent="0.25">
      <c r="S15639" s="78">
        <v>43026</v>
      </c>
      <c r="T15639" s="29">
        <v>0.25</v>
      </c>
    </row>
    <row r="15640" spans="19:20" x14ac:dyDescent="0.25">
      <c r="S15640" s="78">
        <v>43027</v>
      </c>
      <c r="T15640" s="29">
        <v>0.25</v>
      </c>
    </row>
    <row r="15641" spans="19:20" x14ac:dyDescent="0.25">
      <c r="S15641" s="78">
        <v>43028</v>
      </c>
      <c r="T15641" s="29">
        <v>0.25</v>
      </c>
    </row>
    <row r="15642" spans="19:20" x14ac:dyDescent="0.25">
      <c r="S15642" s="78">
        <v>43029</v>
      </c>
      <c r="T15642" s="29">
        <v>0.25</v>
      </c>
    </row>
    <row r="15643" spans="19:20" x14ac:dyDescent="0.25">
      <c r="S15643" s="78">
        <v>43030</v>
      </c>
      <c r="T15643" s="29">
        <v>0.25</v>
      </c>
    </row>
    <row r="15644" spans="19:20" x14ac:dyDescent="0.25">
      <c r="S15644" s="78">
        <v>43031</v>
      </c>
      <c r="T15644" s="29">
        <v>0.25</v>
      </c>
    </row>
    <row r="15645" spans="19:20" x14ac:dyDescent="0.25">
      <c r="S15645" s="78">
        <v>43032</v>
      </c>
      <c r="T15645" s="29">
        <v>0.25</v>
      </c>
    </row>
    <row r="15646" spans="19:20" x14ac:dyDescent="0.25">
      <c r="S15646" s="78">
        <v>43033</v>
      </c>
      <c r="T15646" s="29">
        <v>0.25</v>
      </c>
    </row>
    <row r="15647" spans="19:20" x14ac:dyDescent="0.25">
      <c r="S15647" s="78">
        <v>43034</v>
      </c>
      <c r="T15647" s="29">
        <v>0.25</v>
      </c>
    </row>
    <row r="15648" spans="19:20" x14ac:dyDescent="0.25">
      <c r="S15648" s="78">
        <v>43035</v>
      </c>
      <c r="T15648" s="29">
        <v>0.25</v>
      </c>
    </row>
    <row r="15649" spans="19:20" x14ac:dyDescent="0.25">
      <c r="S15649" s="78">
        <v>43036</v>
      </c>
      <c r="T15649" s="29">
        <v>0.25</v>
      </c>
    </row>
    <row r="15650" spans="19:20" x14ac:dyDescent="0.25">
      <c r="S15650" s="78">
        <v>43037</v>
      </c>
      <c r="T15650" s="29">
        <v>0.25</v>
      </c>
    </row>
    <row r="15651" spans="19:20" x14ac:dyDescent="0.25">
      <c r="S15651" s="78">
        <v>43038</v>
      </c>
      <c r="T15651" s="29">
        <v>0.25</v>
      </c>
    </row>
    <row r="15652" spans="19:20" x14ac:dyDescent="0.25">
      <c r="S15652" s="78">
        <v>43039</v>
      </c>
      <c r="T15652" s="29">
        <v>0.25</v>
      </c>
    </row>
    <row r="15653" spans="19:20" x14ac:dyDescent="0.25">
      <c r="S15653" s="78">
        <v>43040</v>
      </c>
      <c r="T15653" s="29">
        <v>0.25</v>
      </c>
    </row>
    <row r="15654" spans="19:20" x14ac:dyDescent="0.25">
      <c r="S15654" s="78">
        <v>43041</v>
      </c>
      <c r="T15654" s="29">
        <v>0.5</v>
      </c>
    </row>
    <row r="15655" spans="19:20" x14ac:dyDescent="0.25">
      <c r="S15655" s="78">
        <v>43042</v>
      </c>
      <c r="T15655" s="29">
        <v>0.5</v>
      </c>
    </row>
    <row r="15656" spans="19:20" x14ac:dyDescent="0.25">
      <c r="S15656" s="78">
        <v>43043</v>
      </c>
      <c r="T15656" s="29">
        <v>0.5</v>
      </c>
    </row>
    <row r="15657" spans="19:20" x14ac:dyDescent="0.25">
      <c r="S15657" s="78">
        <v>43044</v>
      </c>
      <c r="T15657" s="29">
        <v>0.5</v>
      </c>
    </row>
    <row r="15658" spans="19:20" x14ac:dyDescent="0.25">
      <c r="S15658" s="78">
        <v>43045</v>
      </c>
      <c r="T15658" s="29">
        <v>0.5</v>
      </c>
    </row>
    <row r="15659" spans="19:20" x14ac:dyDescent="0.25">
      <c r="S15659" s="78">
        <v>43046</v>
      </c>
      <c r="T15659" s="29">
        <v>0.5</v>
      </c>
    </row>
    <row r="15660" spans="19:20" x14ac:dyDescent="0.25">
      <c r="S15660" s="78">
        <v>43047</v>
      </c>
      <c r="T15660" s="29">
        <v>0.5</v>
      </c>
    </row>
    <row r="15661" spans="19:20" x14ac:dyDescent="0.25">
      <c r="S15661" s="78">
        <v>43048</v>
      </c>
      <c r="T15661" s="29">
        <v>0.5</v>
      </c>
    </row>
    <row r="15662" spans="19:20" x14ac:dyDescent="0.25">
      <c r="S15662" s="78">
        <v>43049</v>
      </c>
      <c r="T15662" s="29">
        <v>0.5</v>
      </c>
    </row>
    <row r="15663" spans="19:20" x14ac:dyDescent="0.25">
      <c r="S15663" s="78">
        <v>43050</v>
      </c>
      <c r="T15663" s="29">
        <v>0.5</v>
      </c>
    </row>
    <row r="15664" spans="19:20" x14ac:dyDescent="0.25">
      <c r="S15664" s="78">
        <v>43051</v>
      </c>
      <c r="T15664" s="29">
        <v>0.5</v>
      </c>
    </row>
    <row r="15665" spans="19:20" x14ac:dyDescent="0.25">
      <c r="S15665" s="78">
        <v>43052</v>
      </c>
      <c r="T15665" s="29">
        <v>0.5</v>
      </c>
    </row>
    <row r="15666" spans="19:20" x14ac:dyDescent="0.25">
      <c r="S15666" s="78">
        <v>43053</v>
      </c>
      <c r="T15666" s="29">
        <v>0.5</v>
      </c>
    </row>
    <row r="15667" spans="19:20" x14ac:dyDescent="0.25">
      <c r="S15667" s="78">
        <v>43054</v>
      </c>
      <c r="T15667" s="29">
        <v>0.5</v>
      </c>
    </row>
    <row r="15668" spans="19:20" x14ac:dyDescent="0.25">
      <c r="S15668" s="78">
        <v>43055</v>
      </c>
      <c r="T15668" s="29">
        <v>0.5</v>
      </c>
    </row>
    <row r="15669" spans="19:20" x14ac:dyDescent="0.25">
      <c r="S15669" s="78">
        <v>43056</v>
      </c>
      <c r="T15669" s="29">
        <v>0.5</v>
      </c>
    </row>
    <row r="15670" spans="19:20" x14ac:dyDescent="0.25">
      <c r="S15670" s="78">
        <v>43057</v>
      </c>
      <c r="T15670" s="29">
        <v>0.5</v>
      </c>
    </row>
    <row r="15671" spans="19:20" x14ac:dyDescent="0.25">
      <c r="S15671" s="78">
        <v>43058</v>
      </c>
      <c r="T15671" s="29">
        <v>0.5</v>
      </c>
    </row>
    <row r="15672" spans="19:20" x14ac:dyDescent="0.25">
      <c r="S15672" s="78">
        <v>43059</v>
      </c>
      <c r="T15672" s="29">
        <v>0.5</v>
      </c>
    </row>
    <row r="15673" spans="19:20" x14ac:dyDescent="0.25">
      <c r="S15673" s="78">
        <v>43060</v>
      </c>
      <c r="T15673" s="29">
        <v>0.5</v>
      </c>
    </row>
    <row r="15674" spans="19:20" x14ac:dyDescent="0.25">
      <c r="S15674" s="78">
        <v>43061</v>
      </c>
      <c r="T15674" s="29">
        <v>0.5</v>
      </c>
    </row>
    <row r="15675" spans="19:20" x14ac:dyDescent="0.25">
      <c r="S15675" s="78">
        <v>43062</v>
      </c>
      <c r="T15675" s="29">
        <v>0.5</v>
      </c>
    </row>
    <row r="15676" spans="19:20" x14ac:dyDescent="0.25">
      <c r="S15676" s="78">
        <v>43063</v>
      </c>
      <c r="T15676" s="29">
        <v>0.5</v>
      </c>
    </row>
    <row r="15677" spans="19:20" x14ac:dyDescent="0.25">
      <c r="S15677" s="78">
        <v>43064</v>
      </c>
      <c r="T15677" s="29">
        <v>0.5</v>
      </c>
    </row>
    <row r="15678" spans="19:20" x14ac:dyDescent="0.25">
      <c r="S15678" s="78">
        <v>43065</v>
      </c>
      <c r="T15678" s="29">
        <v>0.5</v>
      </c>
    </row>
    <row r="15679" spans="19:20" x14ac:dyDescent="0.25">
      <c r="S15679" s="78">
        <v>43066</v>
      </c>
      <c r="T15679" s="29">
        <v>0.5</v>
      </c>
    </row>
    <row r="15680" spans="19:20" x14ac:dyDescent="0.25">
      <c r="S15680" s="78">
        <v>43067</v>
      </c>
      <c r="T15680" s="29">
        <v>0.5</v>
      </c>
    </row>
    <row r="15681" spans="19:20" x14ac:dyDescent="0.25">
      <c r="S15681" s="78">
        <v>43068</v>
      </c>
      <c r="T15681" s="29">
        <v>0.5</v>
      </c>
    </row>
    <row r="15682" spans="19:20" x14ac:dyDescent="0.25">
      <c r="S15682" s="78">
        <v>43069</v>
      </c>
      <c r="T15682" s="29">
        <v>0.5</v>
      </c>
    </row>
    <row r="15683" spans="19:20" x14ac:dyDescent="0.25">
      <c r="S15683" s="78">
        <v>43070</v>
      </c>
      <c r="T15683" s="29">
        <v>0.5</v>
      </c>
    </row>
    <row r="15684" spans="19:20" x14ac:dyDescent="0.25">
      <c r="S15684" s="78">
        <v>43071</v>
      </c>
      <c r="T15684" s="29">
        <v>0.5</v>
      </c>
    </row>
    <row r="15685" spans="19:20" x14ac:dyDescent="0.25">
      <c r="S15685" s="78">
        <v>43072</v>
      </c>
      <c r="T15685" s="29">
        <v>0.5</v>
      </c>
    </row>
    <row r="15686" spans="19:20" x14ac:dyDescent="0.25">
      <c r="S15686" s="78">
        <v>43073</v>
      </c>
      <c r="T15686" s="29">
        <v>0.5</v>
      </c>
    </row>
    <row r="15687" spans="19:20" x14ac:dyDescent="0.25">
      <c r="S15687" s="78">
        <v>43074</v>
      </c>
      <c r="T15687" s="29">
        <v>0.5</v>
      </c>
    </row>
    <row r="15688" spans="19:20" x14ac:dyDescent="0.25">
      <c r="S15688" s="78">
        <v>43075</v>
      </c>
      <c r="T15688" s="29">
        <v>0.5</v>
      </c>
    </row>
    <row r="15689" spans="19:20" x14ac:dyDescent="0.25">
      <c r="S15689" s="78">
        <v>43076</v>
      </c>
      <c r="T15689" s="29">
        <v>0.5</v>
      </c>
    </row>
    <row r="15690" spans="19:20" x14ac:dyDescent="0.25">
      <c r="S15690" s="78">
        <v>43077</v>
      </c>
      <c r="T15690" s="29">
        <v>0.5</v>
      </c>
    </row>
    <row r="15691" spans="19:20" x14ac:dyDescent="0.25">
      <c r="S15691" s="78">
        <v>43078</v>
      </c>
      <c r="T15691" s="29">
        <v>0.5</v>
      </c>
    </row>
    <row r="15692" spans="19:20" x14ac:dyDescent="0.25">
      <c r="S15692" s="78">
        <v>43079</v>
      </c>
      <c r="T15692" s="29">
        <v>0.5</v>
      </c>
    </row>
    <row r="15693" spans="19:20" x14ac:dyDescent="0.25">
      <c r="S15693" s="78">
        <v>43080</v>
      </c>
      <c r="T15693" s="29">
        <v>0.5</v>
      </c>
    </row>
    <row r="15694" spans="19:20" x14ac:dyDescent="0.25">
      <c r="S15694" s="78">
        <v>43081</v>
      </c>
      <c r="T15694" s="29">
        <v>0.5</v>
      </c>
    </row>
    <row r="15695" spans="19:20" x14ac:dyDescent="0.25">
      <c r="S15695" s="78">
        <v>43082</v>
      </c>
      <c r="T15695" s="29">
        <v>0.5</v>
      </c>
    </row>
    <row r="15696" spans="19:20" x14ac:dyDescent="0.25">
      <c r="S15696" s="78">
        <v>43083</v>
      </c>
      <c r="T15696" s="29">
        <v>0.5</v>
      </c>
    </row>
    <row r="15697" spans="19:20" x14ac:dyDescent="0.25">
      <c r="S15697" s="78">
        <v>43084</v>
      </c>
      <c r="T15697" s="29">
        <v>0.5</v>
      </c>
    </row>
    <row r="15698" spans="19:20" x14ac:dyDescent="0.25">
      <c r="S15698" s="78">
        <v>43085</v>
      </c>
      <c r="T15698" s="29">
        <v>0.5</v>
      </c>
    </row>
    <row r="15699" spans="19:20" x14ac:dyDescent="0.25">
      <c r="S15699" s="78">
        <v>43086</v>
      </c>
      <c r="T15699" s="29">
        <v>0.5</v>
      </c>
    </row>
    <row r="15700" spans="19:20" x14ac:dyDescent="0.25">
      <c r="S15700" s="78">
        <v>43087</v>
      </c>
      <c r="T15700" s="29">
        <v>0.5</v>
      </c>
    </row>
    <row r="15701" spans="19:20" x14ac:dyDescent="0.25">
      <c r="S15701" s="78">
        <v>43088</v>
      </c>
      <c r="T15701" s="29">
        <v>0.5</v>
      </c>
    </row>
    <row r="15702" spans="19:20" x14ac:dyDescent="0.25">
      <c r="S15702" s="78">
        <v>43089</v>
      </c>
      <c r="T15702" s="29">
        <v>0.5</v>
      </c>
    </row>
    <row r="15703" spans="19:20" x14ac:dyDescent="0.25">
      <c r="S15703" s="78">
        <v>43090</v>
      </c>
      <c r="T15703" s="29">
        <v>0.5</v>
      </c>
    </row>
    <row r="15704" spans="19:20" x14ac:dyDescent="0.25">
      <c r="S15704" s="78">
        <v>43091</v>
      </c>
      <c r="T15704" s="29">
        <v>0.5</v>
      </c>
    </row>
    <row r="15705" spans="19:20" x14ac:dyDescent="0.25">
      <c r="S15705" s="78">
        <v>43092</v>
      </c>
      <c r="T15705" s="29">
        <v>0.5</v>
      </c>
    </row>
    <row r="15706" spans="19:20" x14ac:dyDescent="0.25">
      <c r="S15706" s="78">
        <v>43093</v>
      </c>
      <c r="T15706" s="29">
        <v>0.5</v>
      </c>
    </row>
    <row r="15707" spans="19:20" x14ac:dyDescent="0.25">
      <c r="S15707" s="78">
        <v>43094</v>
      </c>
      <c r="T15707" s="29">
        <v>0.5</v>
      </c>
    </row>
    <row r="15708" spans="19:20" x14ac:dyDescent="0.25">
      <c r="S15708" s="78">
        <v>43095</v>
      </c>
      <c r="T15708" s="29">
        <v>0.5</v>
      </c>
    </row>
    <row r="15709" spans="19:20" x14ac:dyDescent="0.25">
      <c r="S15709" s="78">
        <v>43096</v>
      </c>
      <c r="T15709" s="29">
        <v>0.5</v>
      </c>
    </row>
    <row r="15710" spans="19:20" x14ac:dyDescent="0.25">
      <c r="S15710" s="78">
        <v>43097</v>
      </c>
      <c r="T15710" s="29">
        <v>0.5</v>
      </c>
    </row>
    <row r="15711" spans="19:20" x14ac:dyDescent="0.25">
      <c r="S15711" s="78">
        <v>43098</v>
      </c>
      <c r="T15711" s="29">
        <v>0.5</v>
      </c>
    </row>
    <row r="15712" spans="19:20" x14ac:dyDescent="0.25">
      <c r="S15712" s="78">
        <v>43099</v>
      </c>
      <c r="T15712" s="29">
        <v>0.5</v>
      </c>
    </row>
    <row r="15713" spans="19:21" x14ac:dyDescent="0.25">
      <c r="S15713" s="78">
        <v>43100</v>
      </c>
      <c r="T15713" s="29">
        <v>0.5</v>
      </c>
      <c r="U15713" s="40">
        <f>AVERAGE(T15622:T15713)</f>
        <v>0.41304347826086957</v>
      </c>
    </row>
    <row r="15714" spans="19:21" x14ac:dyDescent="0.25">
      <c r="S15714" s="78">
        <v>43101</v>
      </c>
      <c r="T15714" s="29">
        <v>0.5</v>
      </c>
    </row>
    <row r="15715" spans="19:21" x14ac:dyDescent="0.25">
      <c r="S15715" s="78">
        <v>43102</v>
      </c>
      <c r="T15715" s="29">
        <v>0.5</v>
      </c>
    </row>
    <row r="15716" spans="19:21" x14ac:dyDescent="0.25">
      <c r="S15716" s="78">
        <v>43103</v>
      </c>
      <c r="T15716" s="29">
        <v>0.5</v>
      </c>
    </row>
    <row r="15717" spans="19:21" x14ac:dyDescent="0.25">
      <c r="S15717" s="78">
        <v>43104</v>
      </c>
      <c r="T15717" s="29">
        <v>0.5</v>
      </c>
    </row>
    <row r="15718" spans="19:21" x14ac:dyDescent="0.25">
      <c r="S15718" s="78">
        <v>43105</v>
      </c>
      <c r="T15718" s="29">
        <v>0.5</v>
      </c>
    </row>
    <row r="15719" spans="19:21" x14ac:dyDescent="0.25">
      <c r="S15719" s="78">
        <v>43106</v>
      </c>
      <c r="T15719" s="29">
        <v>0.5</v>
      </c>
    </row>
    <row r="15720" spans="19:21" x14ac:dyDescent="0.25">
      <c r="S15720" s="78">
        <v>43107</v>
      </c>
      <c r="T15720" s="29">
        <v>0.5</v>
      </c>
    </row>
    <row r="15721" spans="19:21" x14ac:dyDescent="0.25">
      <c r="S15721" s="78">
        <v>43108</v>
      </c>
      <c r="T15721" s="29">
        <v>0.5</v>
      </c>
    </row>
    <row r="15722" spans="19:21" x14ac:dyDescent="0.25">
      <c r="S15722" s="78">
        <v>43109</v>
      </c>
      <c r="T15722" s="29">
        <v>0.5</v>
      </c>
    </row>
    <row r="15723" spans="19:21" x14ac:dyDescent="0.25">
      <c r="S15723" s="78">
        <v>43110</v>
      </c>
      <c r="T15723" s="29">
        <v>0.5</v>
      </c>
    </row>
    <row r="15724" spans="19:21" x14ac:dyDescent="0.25">
      <c r="S15724" s="78">
        <v>43111</v>
      </c>
      <c r="T15724" s="29">
        <v>0.5</v>
      </c>
    </row>
    <row r="15725" spans="19:21" x14ac:dyDescent="0.25">
      <c r="S15725" s="78">
        <v>43112</v>
      </c>
      <c r="T15725" s="29">
        <v>0.5</v>
      </c>
    </row>
    <row r="15726" spans="19:21" x14ac:dyDescent="0.25">
      <c r="S15726" s="78">
        <v>43113</v>
      </c>
      <c r="T15726" s="29">
        <v>0.5</v>
      </c>
    </row>
    <row r="15727" spans="19:21" x14ac:dyDescent="0.25">
      <c r="S15727" s="78">
        <v>43114</v>
      </c>
      <c r="T15727" s="29">
        <v>0.5</v>
      </c>
    </row>
    <row r="15728" spans="19:21" x14ac:dyDescent="0.25">
      <c r="S15728" s="78">
        <v>43115</v>
      </c>
      <c r="T15728" s="29">
        <v>0.5</v>
      </c>
    </row>
    <row r="15729" spans="19:20" x14ac:dyDescent="0.25">
      <c r="S15729" s="78">
        <v>43116</v>
      </c>
      <c r="T15729" s="29">
        <v>0.5</v>
      </c>
    </row>
    <row r="15730" spans="19:20" x14ac:dyDescent="0.25">
      <c r="S15730" s="78">
        <v>43117</v>
      </c>
      <c r="T15730" s="29">
        <v>0.5</v>
      </c>
    </row>
    <row r="15731" spans="19:20" x14ac:dyDescent="0.25">
      <c r="S15731" s="78">
        <v>43118</v>
      </c>
      <c r="T15731" s="29">
        <v>0.5</v>
      </c>
    </row>
    <row r="15732" spans="19:20" x14ac:dyDescent="0.25">
      <c r="S15732" s="78">
        <v>43119</v>
      </c>
      <c r="T15732" s="29">
        <v>0.5</v>
      </c>
    </row>
    <row r="15733" spans="19:20" x14ac:dyDescent="0.25">
      <c r="S15733" s="78">
        <v>43120</v>
      </c>
      <c r="T15733" s="29">
        <v>0.5</v>
      </c>
    </row>
    <row r="15734" spans="19:20" x14ac:dyDescent="0.25">
      <c r="S15734" s="78">
        <v>43121</v>
      </c>
      <c r="T15734" s="29">
        <v>0.5</v>
      </c>
    </row>
    <row r="15735" spans="19:20" x14ac:dyDescent="0.25">
      <c r="S15735" s="78">
        <v>43122</v>
      </c>
      <c r="T15735" s="29">
        <v>0.5</v>
      </c>
    </row>
    <row r="15736" spans="19:20" x14ac:dyDescent="0.25">
      <c r="S15736" s="78">
        <v>43123</v>
      </c>
      <c r="T15736" s="29">
        <v>0.5</v>
      </c>
    </row>
    <row r="15737" spans="19:20" x14ac:dyDescent="0.25">
      <c r="S15737" s="78">
        <v>43124</v>
      </c>
      <c r="T15737" s="29">
        <v>0.5</v>
      </c>
    </row>
    <row r="15738" spans="19:20" x14ac:dyDescent="0.25">
      <c r="S15738" s="78">
        <v>43125</v>
      </c>
      <c r="T15738" s="29">
        <v>0.5</v>
      </c>
    </row>
    <row r="15739" spans="19:20" x14ac:dyDescent="0.25">
      <c r="S15739" s="78">
        <v>43126</v>
      </c>
      <c r="T15739" s="29">
        <v>0.5</v>
      </c>
    </row>
    <row r="15740" spans="19:20" x14ac:dyDescent="0.25">
      <c r="S15740" s="78">
        <v>43127</v>
      </c>
      <c r="T15740" s="29">
        <v>0.5</v>
      </c>
    </row>
    <row r="15741" spans="19:20" x14ac:dyDescent="0.25">
      <c r="S15741" s="78">
        <v>43128</v>
      </c>
      <c r="T15741" s="29">
        <v>0.5</v>
      </c>
    </row>
    <row r="15742" spans="19:20" x14ac:dyDescent="0.25">
      <c r="S15742" s="78">
        <v>43129</v>
      </c>
      <c r="T15742" s="29">
        <v>0.5</v>
      </c>
    </row>
    <row r="15743" spans="19:20" x14ac:dyDescent="0.25">
      <c r="S15743" s="78">
        <v>43130</v>
      </c>
      <c r="T15743" s="29">
        <v>0.5</v>
      </c>
    </row>
    <row r="15744" spans="19:20" x14ac:dyDescent="0.25">
      <c r="S15744" s="78">
        <v>43131</v>
      </c>
      <c r="T15744" s="29">
        <v>0.5</v>
      </c>
    </row>
    <row r="15745" spans="19:20" x14ac:dyDescent="0.25">
      <c r="S15745" s="78">
        <v>43132</v>
      </c>
      <c r="T15745" s="29">
        <v>0.5</v>
      </c>
    </row>
    <row r="15746" spans="19:20" x14ac:dyDescent="0.25">
      <c r="S15746" s="78">
        <v>43133</v>
      </c>
      <c r="T15746" s="29">
        <v>0.5</v>
      </c>
    </row>
    <row r="15747" spans="19:20" x14ac:dyDescent="0.25">
      <c r="S15747" s="78">
        <v>43134</v>
      </c>
      <c r="T15747" s="29">
        <v>0.5</v>
      </c>
    </row>
    <row r="15748" spans="19:20" x14ac:dyDescent="0.25">
      <c r="S15748" s="78">
        <v>43135</v>
      </c>
      <c r="T15748" s="29">
        <v>0.5</v>
      </c>
    </row>
    <row r="15749" spans="19:20" x14ac:dyDescent="0.25">
      <c r="S15749" s="78">
        <v>43136</v>
      </c>
      <c r="T15749" s="29">
        <v>0.5</v>
      </c>
    </row>
    <row r="15750" spans="19:20" x14ac:dyDescent="0.25">
      <c r="S15750" s="78">
        <v>43137</v>
      </c>
      <c r="T15750" s="29">
        <v>0.5</v>
      </c>
    </row>
    <row r="15751" spans="19:20" x14ac:dyDescent="0.25">
      <c r="S15751" s="78">
        <v>43138</v>
      </c>
      <c r="T15751" s="29">
        <v>0.5</v>
      </c>
    </row>
    <row r="15752" spans="19:20" x14ac:dyDescent="0.25">
      <c r="S15752" s="78">
        <v>43139</v>
      </c>
      <c r="T15752" s="29">
        <v>0.5</v>
      </c>
    </row>
    <row r="15753" spans="19:20" x14ac:dyDescent="0.25">
      <c r="S15753" s="78">
        <v>43140</v>
      </c>
      <c r="T15753" s="29">
        <v>0.5</v>
      </c>
    </row>
    <row r="15754" spans="19:20" x14ac:dyDescent="0.25">
      <c r="S15754" s="78">
        <v>43141</v>
      </c>
      <c r="T15754" s="29">
        <v>0.5</v>
      </c>
    </row>
    <row r="15755" spans="19:20" x14ac:dyDescent="0.25">
      <c r="S15755" s="78">
        <v>43142</v>
      </c>
      <c r="T15755" s="29">
        <v>0.5</v>
      </c>
    </row>
    <row r="15756" spans="19:20" x14ac:dyDescent="0.25">
      <c r="S15756" s="78">
        <v>43143</v>
      </c>
      <c r="T15756" s="29">
        <v>0.5</v>
      </c>
    </row>
    <row r="15757" spans="19:20" x14ac:dyDescent="0.25">
      <c r="S15757" s="78">
        <v>43144</v>
      </c>
      <c r="T15757" s="29">
        <v>0.5</v>
      </c>
    </row>
    <row r="15758" spans="19:20" x14ac:dyDescent="0.25">
      <c r="S15758" s="78">
        <v>43145</v>
      </c>
      <c r="T15758" s="29">
        <v>0.5</v>
      </c>
    </row>
    <row r="15759" spans="19:20" x14ac:dyDescent="0.25">
      <c r="S15759" s="78">
        <v>43146</v>
      </c>
      <c r="T15759" s="29">
        <v>0.5</v>
      </c>
    </row>
    <row r="15760" spans="19:20" x14ac:dyDescent="0.25">
      <c r="S15760" s="78">
        <v>43147</v>
      </c>
      <c r="T15760" s="29">
        <v>0.5</v>
      </c>
    </row>
    <row r="15761" spans="19:20" x14ac:dyDescent="0.25">
      <c r="S15761" s="78">
        <v>43148</v>
      </c>
      <c r="T15761" s="29">
        <v>0.5</v>
      </c>
    </row>
    <row r="15762" spans="19:20" x14ac:dyDescent="0.25">
      <c r="S15762" s="78">
        <v>43149</v>
      </c>
      <c r="T15762" s="29">
        <v>0.5</v>
      </c>
    </row>
    <row r="15763" spans="19:20" x14ac:dyDescent="0.25">
      <c r="S15763" s="78">
        <v>43150</v>
      </c>
      <c r="T15763" s="29">
        <v>0.5</v>
      </c>
    </row>
    <row r="15764" spans="19:20" x14ac:dyDescent="0.25">
      <c r="S15764" s="78">
        <v>43151</v>
      </c>
      <c r="T15764" s="29">
        <v>0.5</v>
      </c>
    </row>
    <row r="15765" spans="19:20" x14ac:dyDescent="0.25">
      <c r="S15765" s="78">
        <v>43152</v>
      </c>
      <c r="T15765" s="29">
        <v>0.5</v>
      </c>
    </row>
    <row r="15766" spans="19:20" x14ac:dyDescent="0.25">
      <c r="S15766" s="78">
        <v>43153</v>
      </c>
      <c r="T15766" s="29">
        <v>0.5</v>
      </c>
    </row>
    <row r="15767" spans="19:20" x14ac:dyDescent="0.25">
      <c r="S15767" s="78">
        <v>43154</v>
      </c>
      <c r="T15767" s="29">
        <v>0.5</v>
      </c>
    </row>
    <row r="15768" spans="19:20" x14ac:dyDescent="0.25">
      <c r="S15768" s="78">
        <v>43155</v>
      </c>
      <c r="T15768" s="29">
        <v>0.5</v>
      </c>
    </row>
    <row r="15769" spans="19:20" x14ac:dyDescent="0.25">
      <c r="S15769" s="78">
        <v>43156</v>
      </c>
      <c r="T15769" s="29">
        <v>0.5</v>
      </c>
    </row>
    <row r="15770" spans="19:20" x14ac:dyDescent="0.25">
      <c r="S15770" s="78">
        <v>43157</v>
      </c>
      <c r="T15770" s="29">
        <v>0.5</v>
      </c>
    </row>
    <row r="15771" spans="19:20" x14ac:dyDescent="0.25">
      <c r="S15771" s="78">
        <v>43158</v>
      </c>
      <c r="T15771" s="29">
        <v>0.5</v>
      </c>
    </row>
    <row r="15772" spans="19:20" x14ac:dyDescent="0.25">
      <c r="S15772" s="78">
        <v>43159</v>
      </c>
      <c r="T15772" s="29">
        <v>0.5</v>
      </c>
    </row>
    <row r="15773" spans="19:20" x14ac:dyDescent="0.25">
      <c r="S15773" s="78">
        <v>43160</v>
      </c>
      <c r="T15773" s="29">
        <v>0.5</v>
      </c>
    </row>
    <row r="15774" spans="19:20" x14ac:dyDescent="0.25">
      <c r="S15774" s="78">
        <v>43161</v>
      </c>
      <c r="T15774" s="29">
        <v>0.5</v>
      </c>
    </row>
    <row r="15775" spans="19:20" x14ac:dyDescent="0.25">
      <c r="S15775" s="78">
        <v>43162</v>
      </c>
      <c r="T15775" s="29">
        <v>0.5</v>
      </c>
    </row>
    <row r="15776" spans="19:20" x14ac:dyDescent="0.25">
      <c r="S15776" s="78">
        <v>43163</v>
      </c>
      <c r="T15776" s="29">
        <v>0.5</v>
      </c>
    </row>
    <row r="15777" spans="19:20" x14ac:dyDescent="0.25">
      <c r="S15777" s="78">
        <v>43164</v>
      </c>
      <c r="T15777" s="29">
        <v>0.5</v>
      </c>
    </row>
    <row r="15778" spans="19:20" x14ac:dyDescent="0.25">
      <c r="S15778" s="78">
        <v>43165</v>
      </c>
      <c r="T15778" s="29">
        <v>0.5</v>
      </c>
    </row>
    <row r="15779" spans="19:20" x14ac:dyDescent="0.25">
      <c r="S15779" s="78">
        <v>43166</v>
      </c>
      <c r="T15779" s="29">
        <v>0.5</v>
      </c>
    </row>
    <row r="15780" spans="19:20" x14ac:dyDescent="0.25">
      <c r="S15780" s="78">
        <v>43167</v>
      </c>
      <c r="T15780" s="29">
        <v>0.5</v>
      </c>
    </row>
    <row r="15781" spans="19:20" x14ac:dyDescent="0.25">
      <c r="S15781" s="78">
        <v>43168</v>
      </c>
      <c r="T15781" s="29">
        <v>0.5</v>
      </c>
    </row>
    <row r="15782" spans="19:20" x14ac:dyDescent="0.25">
      <c r="S15782" s="78">
        <v>43169</v>
      </c>
      <c r="T15782" s="29">
        <v>0.5</v>
      </c>
    </row>
    <row r="15783" spans="19:20" x14ac:dyDescent="0.25">
      <c r="S15783" s="78">
        <v>43170</v>
      </c>
      <c r="T15783" s="29">
        <v>0.5</v>
      </c>
    </row>
    <row r="15784" spans="19:20" x14ac:dyDescent="0.25">
      <c r="S15784" s="78">
        <v>43171</v>
      </c>
      <c r="T15784" s="29">
        <v>0.5</v>
      </c>
    </row>
    <row r="15785" spans="19:20" x14ac:dyDescent="0.25">
      <c r="S15785" s="78">
        <v>43172</v>
      </c>
      <c r="T15785" s="29">
        <v>0.5</v>
      </c>
    </row>
    <row r="15786" spans="19:20" x14ac:dyDescent="0.25">
      <c r="S15786" s="78">
        <v>43173</v>
      </c>
      <c r="T15786" s="29">
        <v>0.5</v>
      </c>
    </row>
    <row r="15787" spans="19:20" x14ac:dyDescent="0.25">
      <c r="S15787" s="78">
        <v>43174</v>
      </c>
      <c r="T15787" s="29">
        <v>0.5</v>
      </c>
    </row>
    <row r="15788" spans="19:20" x14ac:dyDescent="0.25">
      <c r="S15788" s="78">
        <v>43175</v>
      </c>
      <c r="T15788" s="29">
        <v>0.5</v>
      </c>
    </row>
    <row r="15789" spans="19:20" x14ac:dyDescent="0.25">
      <c r="S15789" s="78">
        <v>43176</v>
      </c>
      <c r="T15789" s="29">
        <v>0.5</v>
      </c>
    </row>
    <row r="15790" spans="19:20" x14ac:dyDescent="0.25">
      <c r="S15790" s="78">
        <v>43177</v>
      </c>
      <c r="T15790" s="29">
        <v>0.5</v>
      </c>
    </row>
    <row r="15791" spans="19:20" x14ac:dyDescent="0.25">
      <c r="S15791" s="78">
        <v>43178</v>
      </c>
      <c r="T15791" s="29">
        <v>0.5</v>
      </c>
    </row>
    <row r="15792" spans="19:20" x14ac:dyDescent="0.25">
      <c r="S15792" s="78">
        <v>43179</v>
      </c>
      <c r="T15792" s="29">
        <v>0.5</v>
      </c>
    </row>
    <row r="15793" spans="19:21" x14ac:dyDescent="0.25">
      <c r="S15793" s="78">
        <v>43180</v>
      </c>
      <c r="T15793" s="29">
        <v>0.5</v>
      </c>
    </row>
    <row r="15794" spans="19:21" x14ac:dyDescent="0.25">
      <c r="S15794" s="78">
        <v>43181</v>
      </c>
      <c r="T15794" s="29">
        <v>0.5</v>
      </c>
    </row>
    <row r="15795" spans="19:21" x14ac:dyDescent="0.25">
      <c r="S15795" s="78">
        <v>43182</v>
      </c>
      <c r="T15795" s="29">
        <v>0.5</v>
      </c>
    </row>
    <row r="15796" spans="19:21" x14ac:dyDescent="0.25">
      <c r="S15796" s="78">
        <v>43183</v>
      </c>
      <c r="T15796" s="29">
        <v>0.5</v>
      </c>
    </row>
    <row r="15797" spans="19:21" x14ac:dyDescent="0.25">
      <c r="S15797" s="78">
        <v>43184</v>
      </c>
      <c r="T15797" s="29">
        <v>0.5</v>
      </c>
    </row>
    <row r="15798" spans="19:21" x14ac:dyDescent="0.25">
      <c r="S15798" s="78">
        <v>43185</v>
      </c>
      <c r="T15798" s="29">
        <v>0.5</v>
      </c>
    </row>
    <row r="15799" spans="19:21" x14ac:dyDescent="0.25">
      <c r="S15799" s="78">
        <v>43186</v>
      </c>
      <c r="T15799" s="29">
        <v>0.5</v>
      </c>
    </row>
    <row r="15800" spans="19:21" x14ac:dyDescent="0.25">
      <c r="S15800" s="78">
        <v>43187</v>
      </c>
      <c r="T15800" s="29">
        <v>0.5</v>
      </c>
    </row>
    <row r="15801" spans="19:21" x14ac:dyDescent="0.25">
      <c r="S15801" s="78">
        <v>43188</v>
      </c>
      <c r="T15801" s="29">
        <v>0.5</v>
      </c>
    </row>
    <row r="15802" spans="19:21" x14ac:dyDescent="0.25">
      <c r="S15802" s="78">
        <v>43189</v>
      </c>
      <c r="T15802" s="29">
        <v>0.5</v>
      </c>
    </row>
    <row r="15803" spans="19:21" x14ac:dyDescent="0.25">
      <c r="S15803" s="78">
        <v>43190</v>
      </c>
      <c r="T15803" s="29">
        <v>0.5</v>
      </c>
      <c r="U15803" s="39">
        <f>AVERAGE(T15714:T15803)</f>
        <v>0.5</v>
      </c>
    </row>
    <row r="15804" spans="19:21" x14ac:dyDescent="0.25">
      <c r="S15804" s="78">
        <v>43191</v>
      </c>
      <c r="T15804" s="29">
        <v>0.5</v>
      </c>
    </row>
    <row r="15805" spans="19:21" x14ac:dyDescent="0.25">
      <c r="S15805" s="78">
        <v>43192</v>
      </c>
      <c r="T15805" s="29">
        <v>0.5</v>
      </c>
    </row>
    <row r="15806" spans="19:21" x14ac:dyDescent="0.25">
      <c r="S15806" s="78">
        <v>43193</v>
      </c>
      <c r="T15806" s="29">
        <v>0.5</v>
      </c>
    </row>
    <row r="15807" spans="19:21" x14ac:dyDescent="0.25">
      <c r="S15807" s="78">
        <v>43194</v>
      </c>
      <c r="T15807" s="29">
        <v>0.5</v>
      </c>
    </row>
    <row r="15808" spans="19:21" x14ac:dyDescent="0.25">
      <c r="S15808" s="78">
        <v>43195</v>
      </c>
      <c r="T15808" s="29">
        <v>0.5</v>
      </c>
    </row>
    <row r="15809" spans="19:20" x14ac:dyDescent="0.25">
      <c r="S15809" s="78">
        <v>43196</v>
      </c>
      <c r="T15809" s="29">
        <v>0.5</v>
      </c>
    </row>
    <row r="15810" spans="19:20" x14ac:dyDescent="0.25">
      <c r="S15810" s="78">
        <v>43197</v>
      </c>
      <c r="T15810" s="29">
        <v>0.5</v>
      </c>
    </row>
    <row r="15811" spans="19:20" x14ac:dyDescent="0.25">
      <c r="S15811" s="78">
        <v>43198</v>
      </c>
      <c r="T15811" s="29">
        <v>0.5</v>
      </c>
    </row>
    <row r="15812" spans="19:20" x14ac:dyDescent="0.25">
      <c r="S15812" s="78">
        <v>43199</v>
      </c>
      <c r="T15812" s="29">
        <v>0.5</v>
      </c>
    </row>
    <row r="15813" spans="19:20" x14ac:dyDescent="0.25">
      <c r="S15813" s="78">
        <v>43200</v>
      </c>
      <c r="T15813" s="29">
        <v>0.5</v>
      </c>
    </row>
    <row r="15814" spans="19:20" x14ac:dyDescent="0.25">
      <c r="S15814" s="78">
        <v>43201</v>
      </c>
      <c r="T15814" s="29">
        <v>0.5</v>
      </c>
    </row>
    <row r="15815" spans="19:20" x14ac:dyDescent="0.25">
      <c r="S15815" s="78">
        <v>43202</v>
      </c>
      <c r="T15815" s="29">
        <v>0.5</v>
      </c>
    </row>
    <row r="15816" spans="19:20" x14ac:dyDescent="0.25">
      <c r="S15816" s="78">
        <v>43203</v>
      </c>
      <c r="T15816" s="29">
        <v>0.5</v>
      </c>
    </row>
    <row r="15817" spans="19:20" x14ac:dyDescent="0.25">
      <c r="S15817" s="78">
        <v>43204</v>
      </c>
      <c r="T15817" s="29">
        <v>0.5</v>
      </c>
    </row>
    <row r="15818" spans="19:20" x14ac:dyDescent="0.25">
      <c r="S15818" s="78">
        <v>43205</v>
      </c>
      <c r="T15818" s="29">
        <v>0.5</v>
      </c>
    </row>
    <row r="15819" spans="19:20" x14ac:dyDescent="0.25">
      <c r="S15819" s="78">
        <v>43206</v>
      </c>
      <c r="T15819" s="29">
        <v>0.5</v>
      </c>
    </row>
    <row r="15820" spans="19:20" x14ac:dyDescent="0.25">
      <c r="S15820" s="78">
        <v>43207</v>
      </c>
      <c r="T15820" s="29">
        <v>0.5</v>
      </c>
    </row>
    <row r="15821" spans="19:20" x14ac:dyDescent="0.25">
      <c r="S15821" s="78">
        <v>43208</v>
      </c>
      <c r="T15821" s="29">
        <v>0.5</v>
      </c>
    </row>
    <row r="15822" spans="19:20" x14ac:dyDescent="0.25">
      <c r="S15822" s="78">
        <v>43209</v>
      </c>
      <c r="T15822" s="29">
        <v>0.5</v>
      </c>
    </row>
    <row r="15823" spans="19:20" x14ac:dyDescent="0.25">
      <c r="S15823" s="78">
        <v>43210</v>
      </c>
      <c r="T15823" s="29">
        <v>0.5</v>
      </c>
    </row>
    <row r="15824" spans="19:20" x14ac:dyDescent="0.25">
      <c r="S15824" s="78">
        <v>43211</v>
      </c>
      <c r="T15824" s="29">
        <v>0.5</v>
      </c>
    </row>
    <row r="15825" spans="19:20" x14ac:dyDescent="0.25">
      <c r="S15825" s="78">
        <v>43212</v>
      </c>
      <c r="T15825" s="29">
        <v>0.5</v>
      </c>
    </row>
    <row r="15826" spans="19:20" x14ac:dyDescent="0.25">
      <c r="S15826" s="78">
        <v>43213</v>
      </c>
      <c r="T15826" s="29">
        <v>0.5</v>
      </c>
    </row>
    <row r="15827" spans="19:20" x14ac:dyDescent="0.25">
      <c r="S15827" s="78">
        <v>43214</v>
      </c>
      <c r="T15827" s="29">
        <v>0.5</v>
      </c>
    </row>
    <row r="15828" spans="19:20" x14ac:dyDescent="0.25">
      <c r="S15828" s="78">
        <v>43215</v>
      </c>
      <c r="T15828" s="29">
        <v>0.5</v>
      </c>
    </row>
    <row r="15829" spans="19:20" x14ac:dyDescent="0.25">
      <c r="S15829" s="78">
        <v>43216</v>
      </c>
      <c r="T15829" s="29">
        <v>0.5</v>
      </c>
    </row>
    <row r="15830" spans="19:20" x14ac:dyDescent="0.25">
      <c r="S15830" s="78">
        <v>43217</v>
      </c>
      <c r="T15830" s="29">
        <v>0.5</v>
      </c>
    </row>
    <row r="15831" spans="19:20" x14ac:dyDescent="0.25">
      <c r="S15831" s="78">
        <v>43218</v>
      </c>
      <c r="T15831" s="29">
        <v>0.5</v>
      </c>
    </row>
    <row r="15832" spans="19:20" x14ac:dyDescent="0.25">
      <c r="S15832" s="78">
        <v>43219</v>
      </c>
      <c r="T15832" s="29">
        <v>0.5</v>
      </c>
    </row>
    <row r="15833" spans="19:20" x14ac:dyDescent="0.25">
      <c r="S15833" s="78">
        <v>43220</v>
      </c>
      <c r="T15833" s="29">
        <v>0.5</v>
      </c>
    </row>
    <row r="15834" spans="19:20" x14ac:dyDescent="0.25">
      <c r="S15834" s="78">
        <v>43221</v>
      </c>
      <c r="T15834" s="29">
        <v>0.5</v>
      </c>
    </row>
    <row r="15835" spans="19:20" x14ac:dyDescent="0.25">
      <c r="S15835" s="78">
        <v>43222</v>
      </c>
      <c r="T15835" s="29">
        <v>0.5</v>
      </c>
    </row>
    <row r="15836" spans="19:20" x14ac:dyDescent="0.25">
      <c r="S15836" s="78">
        <v>43223</v>
      </c>
      <c r="T15836" s="29">
        <v>0.5</v>
      </c>
    </row>
    <row r="15837" spans="19:20" x14ac:dyDescent="0.25">
      <c r="S15837" s="78">
        <v>43224</v>
      </c>
      <c r="T15837" s="29">
        <v>0.5</v>
      </c>
    </row>
    <row r="15838" spans="19:20" x14ac:dyDescent="0.25">
      <c r="S15838" s="78">
        <v>43225</v>
      </c>
      <c r="T15838" s="29">
        <v>0.5</v>
      </c>
    </row>
    <row r="15839" spans="19:20" x14ac:dyDescent="0.25">
      <c r="S15839" s="78">
        <v>43226</v>
      </c>
      <c r="T15839" s="29">
        <v>0.5</v>
      </c>
    </row>
    <row r="15840" spans="19:20" x14ac:dyDescent="0.25">
      <c r="S15840" s="78">
        <v>43227</v>
      </c>
      <c r="T15840" s="29">
        <v>0.5</v>
      </c>
    </row>
    <row r="15841" spans="19:20" x14ac:dyDescent="0.25">
      <c r="S15841" s="78">
        <v>43228</v>
      </c>
      <c r="T15841" s="29">
        <v>0.5</v>
      </c>
    </row>
    <row r="15842" spans="19:20" x14ac:dyDescent="0.25">
      <c r="S15842" s="78">
        <v>43229</v>
      </c>
      <c r="T15842" s="29">
        <v>0.5</v>
      </c>
    </row>
    <row r="15843" spans="19:20" x14ac:dyDescent="0.25">
      <c r="S15843" s="78">
        <v>43230</v>
      </c>
      <c r="T15843" s="29">
        <v>0.5</v>
      </c>
    </row>
    <row r="15844" spans="19:20" x14ac:dyDescent="0.25">
      <c r="S15844" s="78">
        <v>43231</v>
      </c>
      <c r="T15844" s="29">
        <v>0.5</v>
      </c>
    </row>
    <row r="15845" spans="19:20" x14ac:dyDescent="0.25">
      <c r="S15845" s="78">
        <v>43232</v>
      </c>
      <c r="T15845" s="29">
        <v>0.5</v>
      </c>
    </row>
    <row r="15846" spans="19:20" x14ac:dyDescent="0.25">
      <c r="S15846" s="78">
        <v>43233</v>
      </c>
      <c r="T15846" s="29">
        <v>0.5</v>
      </c>
    </row>
    <row r="15847" spans="19:20" x14ac:dyDescent="0.25">
      <c r="S15847" s="78">
        <v>43234</v>
      </c>
      <c r="T15847" s="29">
        <v>0.5</v>
      </c>
    </row>
    <row r="15848" spans="19:20" x14ac:dyDescent="0.25">
      <c r="S15848" s="78">
        <v>43235</v>
      </c>
      <c r="T15848" s="29">
        <v>0.5</v>
      </c>
    </row>
    <row r="15849" spans="19:20" x14ac:dyDescent="0.25">
      <c r="S15849" s="78">
        <v>43236</v>
      </c>
      <c r="T15849" s="29">
        <v>0.5</v>
      </c>
    </row>
    <row r="15850" spans="19:20" x14ac:dyDescent="0.25">
      <c r="S15850" s="78">
        <v>43237</v>
      </c>
      <c r="T15850" s="29">
        <v>0.5</v>
      </c>
    </row>
    <row r="15851" spans="19:20" x14ac:dyDescent="0.25">
      <c r="S15851" s="78">
        <v>43238</v>
      </c>
      <c r="T15851" s="29">
        <v>0.5</v>
      </c>
    </row>
    <row r="15852" spans="19:20" x14ac:dyDescent="0.25">
      <c r="S15852" s="78">
        <v>43239</v>
      </c>
      <c r="T15852" s="29">
        <v>0.5</v>
      </c>
    </row>
    <row r="15853" spans="19:20" x14ac:dyDescent="0.25">
      <c r="S15853" s="78">
        <v>43240</v>
      </c>
      <c r="T15853" s="29">
        <v>0.5</v>
      </c>
    </row>
    <row r="15854" spans="19:20" x14ac:dyDescent="0.25">
      <c r="S15854" s="78">
        <v>43241</v>
      </c>
      <c r="T15854" s="29">
        <v>0.5</v>
      </c>
    </row>
    <row r="15855" spans="19:20" x14ac:dyDescent="0.25">
      <c r="S15855" s="78">
        <v>43242</v>
      </c>
      <c r="T15855" s="29">
        <v>0.5</v>
      </c>
    </row>
    <row r="15856" spans="19:20" x14ac:dyDescent="0.25">
      <c r="S15856" s="78">
        <v>43243</v>
      </c>
      <c r="T15856" s="29">
        <v>0.5</v>
      </c>
    </row>
    <row r="15857" spans="19:20" x14ac:dyDescent="0.25">
      <c r="S15857" s="78">
        <v>43244</v>
      </c>
      <c r="T15857" s="29">
        <v>0.5</v>
      </c>
    </row>
    <row r="15858" spans="19:20" x14ac:dyDescent="0.25">
      <c r="S15858" s="78">
        <v>43245</v>
      </c>
      <c r="T15858" s="29">
        <v>0.5</v>
      </c>
    </row>
    <row r="15859" spans="19:20" x14ac:dyDescent="0.25">
      <c r="S15859" s="78">
        <v>43246</v>
      </c>
      <c r="T15859" s="29">
        <v>0.5</v>
      </c>
    </row>
    <row r="15860" spans="19:20" x14ac:dyDescent="0.25">
      <c r="S15860" s="78">
        <v>43247</v>
      </c>
      <c r="T15860" s="29">
        <v>0.5</v>
      </c>
    </row>
    <row r="15861" spans="19:20" x14ac:dyDescent="0.25">
      <c r="S15861" s="78">
        <v>43248</v>
      </c>
      <c r="T15861" s="29">
        <v>0.5</v>
      </c>
    </row>
    <row r="15862" spans="19:20" x14ac:dyDescent="0.25">
      <c r="S15862" s="78">
        <v>43249</v>
      </c>
      <c r="T15862" s="29">
        <v>0.5</v>
      </c>
    </row>
    <row r="15863" spans="19:20" x14ac:dyDescent="0.25">
      <c r="S15863" s="78">
        <v>43250</v>
      </c>
      <c r="T15863" s="29">
        <v>0.5</v>
      </c>
    </row>
    <row r="15864" spans="19:20" x14ac:dyDescent="0.25">
      <c r="S15864" s="78">
        <v>43251</v>
      </c>
      <c r="T15864" s="29">
        <v>0.5</v>
      </c>
    </row>
    <row r="15865" spans="19:20" x14ac:dyDescent="0.25">
      <c r="S15865" s="78">
        <v>43252</v>
      </c>
      <c r="T15865" s="29">
        <v>0.5</v>
      </c>
    </row>
    <row r="15866" spans="19:20" x14ac:dyDescent="0.25">
      <c r="S15866" s="78">
        <v>43253</v>
      </c>
      <c r="T15866" s="29">
        <v>0.5</v>
      </c>
    </row>
    <row r="15867" spans="19:20" x14ac:dyDescent="0.25">
      <c r="S15867" s="78">
        <v>43254</v>
      </c>
      <c r="T15867" s="29">
        <v>0.5</v>
      </c>
    </row>
    <row r="15868" spans="19:20" x14ac:dyDescent="0.25">
      <c r="S15868" s="78">
        <v>43255</v>
      </c>
      <c r="T15868" s="29">
        <v>0.5</v>
      </c>
    </row>
    <row r="15869" spans="19:20" x14ac:dyDescent="0.25">
      <c r="S15869" s="78">
        <v>43256</v>
      </c>
      <c r="T15869" s="29">
        <v>0.5</v>
      </c>
    </row>
    <row r="15870" spans="19:20" x14ac:dyDescent="0.25">
      <c r="S15870" s="78">
        <v>43257</v>
      </c>
      <c r="T15870" s="29">
        <v>0.5</v>
      </c>
    </row>
    <row r="15871" spans="19:20" x14ac:dyDescent="0.25">
      <c r="S15871" s="78">
        <v>43258</v>
      </c>
      <c r="T15871" s="29">
        <v>0.5</v>
      </c>
    </row>
    <row r="15872" spans="19:20" x14ac:dyDescent="0.25">
      <c r="S15872" s="78">
        <v>43259</v>
      </c>
      <c r="T15872" s="29">
        <v>0.5</v>
      </c>
    </row>
    <row r="15873" spans="19:20" x14ac:dyDescent="0.25">
      <c r="S15873" s="78">
        <v>43260</v>
      </c>
      <c r="T15873" s="29">
        <v>0.5</v>
      </c>
    </row>
    <row r="15874" spans="19:20" x14ac:dyDescent="0.25">
      <c r="S15874" s="78">
        <v>43261</v>
      </c>
      <c r="T15874" s="29">
        <v>0.5</v>
      </c>
    </row>
    <row r="15875" spans="19:20" x14ac:dyDescent="0.25">
      <c r="S15875" s="78">
        <v>43262</v>
      </c>
      <c r="T15875" s="29">
        <v>0.5</v>
      </c>
    </row>
    <row r="15876" spans="19:20" x14ac:dyDescent="0.25">
      <c r="S15876" s="78">
        <v>43263</v>
      </c>
      <c r="T15876" s="29">
        <v>0.5</v>
      </c>
    </row>
    <row r="15877" spans="19:20" x14ac:dyDescent="0.25">
      <c r="S15877" s="78">
        <v>43264</v>
      </c>
      <c r="T15877" s="29">
        <v>0.5</v>
      </c>
    </row>
    <row r="15878" spans="19:20" x14ac:dyDescent="0.25">
      <c r="S15878" s="78">
        <v>43265</v>
      </c>
      <c r="T15878" s="29">
        <v>0.5</v>
      </c>
    </row>
    <row r="15879" spans="19:20" x14ac:dyDescent="0.25">
      <c r="S15879" s="78">
        <v>43266</v>
      </c>
      <c r="T15879" s="29">
        <v>0.5</v>
      </c>
    </row>
    <row r="15880" spans="19:20" x14ac:dyDescent="0.25">
      <c r="S15880" s="78">
        <v>43267</v>
      </c>
      <c r="T15880" s="29">
        <v>0.5</v>
      </c>
    </row>
    <row r="15881" spans="19:20" x14ac:dyDescent="0.25">
      <c r="S15881" s="78">
        <v>43268</v>
      </c>
      <c r="T15881" s="29">
        <v>0.5</v>
      </c>
    </row>
    <row r="15882" spans="19:20" x14ac:dyDescent="0.25">
      <c r="S15882" s="78">
        <v>43269</v>
      </c>
      <c r="T15882" s="29">
        <v>0.5</v>
      </c>
    </row>
    <row r="15883" spans="19:20" x14ac:dyDescent="0.25">
      <c r="S15883" s="78">
        <v>43270</v>
      </c>
      <c r="T15883" s="29">
        <v>0.5</v>
      </c>
    </row>
    <row r="15884" spans="19:20" x14ac:dyDescent="0.25">
      <c r="S15884" s="78">
        <v>43271</v>
      </c>
      <c r="T15884" s="29">
        <v>0.5</v>
      </c>
    </row>
    <row r="15885" spans="19:20" x14ac:dyDescent="0.25">
      <c r="S15885" s="78">
        <v>43272</v>
      </c>
      <c r="T15885" s="29">
        <v>0.5</v>
      </c>
    </row>
    <row r="15886" spans="19:20" x14ac:dyDescent="0.25">
      <c r="S15886" s="78">
        <v>43273</v>
      </c>
      <c r="T15886" s="29">
        <v>0.5</v>
      </c>
    </row>
    <row r="15887" spans="19:20" x14ac:dyDescent="0.25">
      <c r="S15887" s="78">
        <v>43274</v>
      </c>
      <c r="T15887" s="29">
        <v>0.5</v>
      </c>
    </row>
    <row r="15888" spans="19:20" x14ac:dyDescent="0.25">
      <c r="S15888" s="78">
        <v>43275</v>
      </c>
      <c r="T15888" s="29">
        <v>0.5</v>
      </c>
    </row>
    <row r="15889" spans="19:21" x14ac:dyDescent="0.25">
      <c r="S15889" s="78">
        <v>43276</v>
      </c>
      <c r="T15889" s="29">
        <v>0.5</v>
      </c>
    </row>
    <row r="15890" spans="19:21" x14ac:dyDescent="0.25">
      <c r="S15890" s="78">
        <v>43277</v>
      </c>
      <c r="T15890" s="29">
        <v>0.5</v>
      </c>
    </row>
    <row r="15891" spans="19:21" x14ac:dyDescent="0.25">
      <c r="S15891" s="78">
        <v>43278</v>
      </c>
      <c r="T15891" s="29">
        <v>0.5</v>
      </c>
    </row>
    <row r="15892" spans="19:21" x14ac:dyDescent="0.25">
      <c r="S15892" s="78">
        <v>43279</v>
      </c>
      <c r="T15892" s="29">
        <v>0.5</v>
      </c>
    </row>
    <row r="15893" spans="19:21" x14ac:dyDescent="0.25">
      <c r="S15893" s="78">
        <v>43280</v>
      </c>
      <c r="T15893" s="29">
        <v>0.5</v>
      </c>
    </row>
    <row r="15894" spans="19:21" x14ac:dyDescent="0.25">
      <c r="S15894" s="78">
        <v>43281</v>
      </c>
      <c r="T15894" s="29">
        <v>0.5</v>
      </c>
      <c r="U15894" s="40">
        <f>AVERAGE(T15804:T15894)</f>
        <v>0.5</v>
      </c>
    </row>
    <row r="15895" spans="19:21" x14ac:dyDescent="0.25">
      <c r="S15895" s="78">
        <v>43282</v>
      </c>
      <c r="T15895" s="29">
        <v>0.5</v>
      </c>
    </row>
    <row r="15896" spans="19:21" x14ac:dyDescent="0.25">
      <c r="S15896" s="78">
        <v>43283</v>
      </c>
      <c r="T15896" s="29">
        <v>0.5</v>
      </c>
    </row>
    <row r="15897" spans="19:21" x14ac:dyDescent="0.25">
      <c r="S15897" s="78">
        <v>43284</v>
      </c>
      <c r="T15897" s="29">
        <v>0.5</v>
      </c>
    </row>
    <row r="15898" spans="19:21" x14ac:dyDescent="0.25">
      <c r="S15898" s="78">
        <v>43285</v>
      </c>
      <c r="T15898" s="29">
        <v>0.5</v>
      </c>
    </row>
    <row r="15899" spans="19:21" x14ac:dyDescent="0.25">
      <c r="S15899" s="78">
        <v>43286</v>
      </c>
      <c r="T15899" s="29">
        <v>0.5</v>
      </c>
    </row>
    <row r="15900" spans="19:21" x14ac:dyDescent="0.25">
      <c r="S15900" s="78">
        <v>43287</v>
      </c>
      <c r="T15900" s="29">
        <v>0.5</v>
      </c>
    </row>
    <row r="15901" spans="19:21" x14ac:dyDescent="0.25">
      <c r="S15901" s="78">
        <v>43288</v>
      </c>
      <c r="T15901" s="29">
        <v>0.5</v>
      </c>
    </row>
    <row r="15902" spans="19:21" x14ac:dyDescent="0.25">
      <c r="S15902" s="78">
        <v>43289</v>
      </c>
      <c r="T15902" s="29">
        <v>0.5</v>
      </c>
    </row>
    <row r="15903" spans="19:21" x14ac:dyDescent="0.25">
      <c r="S15903" s="78">
        <v>43290</v>
      </c>
      <c r="T15903" s="29">
        <v>0.5</v>
      </c>
    </row>
    <row r="15904" spans="19:21" x14ac:dyDescent="0.25">
      <c r="S15904" s="78">
        <v>43291</v>
      </c>
      <c r="T15904" s="29">
        <v>0.5</v>
      </c>
    </row>
    <row r="15905" spans="19:20" x14ac:dyDescent="0.25">
      <c r="S15905" s="78">
        <v>43292</v>
      </c>
      <c r="T15905" s="29">
        <v>0.5</v>
      </c>
    </row>
    <row r="15906" spans="19:20" x14ac:dyDescent="0.25">
      <c r="S15906" s="78">
        <v>43293</v>
      </c>
      <c r="T15906" s="29">
        <v>0.5</v>
      </c>
    </row>
    <row r="15907" spans="19:20" x14ac:dyDescent="0.25">
      <c r="S15907" s="78">
        <v>43294</v>
      </c>
      <c r="T15907" s="29">
        <v>0.5</v>
      </c>
    </row>
    <row r="15908" spans="19:20" x14ac:dyDescent="0.25">
      <c r="S15908" s="78">
        <v>43295</v>
      </c>
      <c r="T15908" s="29">
        <v>0.5</v>
      </c>
    </row>
    <row r="15909" spans="19:20" x14ac:dyDescent="0.25">
      <c r="S15909" s="78">
        <v>43296</v>
      </c>
      <c r="T15909" s="29">
        <v>0.5</v>
      </c>
    </row>
    <row r="15910" spans="19:20" x14ac:dyDescent="0.25">
      <c r="S15910" s="78">
        <v>43297</v>
      </c>
      <c r="T15910" s="29">
        <v>0.5</v>
      </c>
    </row>
    <row r="15911" spans="19:20" x14ac:dyDescent="0.25">
      <c r="S15911" s="78">
        <v>43298</v>
      </c>
      <c r="T15911" s="29">
        <v>0.5</v>
      </c>
    </row>
    <row r="15912" spans="19:20" x14ac:dyDescent="0.25">
      <c r="S15912" s="78">
        <v>43299</v>
      </c>
      <c r="T15912" s="29">
        <v>0.5</v>
      </c>
    </row>
    <row r="15913" spans="19:20" x14ac:dyDescent="0.25">
      <c r="S15913" s="78">
        <v>43300</v>
      </c>
      <c r="T15913" s="29">
        <v>0.5</v>
      </c>
    </row>
    <row r="15914" spans="19:20" x14ac:dyDescent="0.25">
      <c r="S15914" s="78">
        <v>43301</v>
      </c>
      <c r="T15914" s="29">
        <v>0.5</v>
      </c>
    </row>
    <row r="15915" spans="19:20" x14ac:dyDescent="0.25">
      <c r="S15915" s="78">
        <v>43302</v>
      </c>
      <c r="T15915" s="29">
        <v>0.5</v>
      </c>
    </row>
    <row r="15916" spans="19:20" x14ac:dyDescent="0.25">
      <c r="S15916" s="78">
        <v>43303</v>
      </c>
      <c r="T15916" s="29">
        <v>0.5</v>
      </c>
    </row>
    <row r="15917" spans="19:20" x14ac:dyDescent="0.25">
      <c r="S15917" s="78">
        <v>43304</v>
      </c>
      <c r="T15917" s="29">
        <v>0.5</v>
      </c>
    </row>
    <row r="15918" spans="19:20" x14ac:dyDescent="0.25">
      <c r="S15918" s="78">
        <v>43305</v>
      </c>
      <c r="T15918" s="29">
        <v>0.5</v>
      </c>
    </row>
    <row r="15919" spans="19:20" x14ac:dyDescent="0.25">
      <c r="S15919" s="78">
        <v>43306</v>
      </c>
      <c r="T15919" s="29">
        <v>0.5</v>
      </c>
    </row>
    <row r="15920" spans="19:20" x14ac:dyDescent="0.25">
      <c r="S15920" s="78">
        <v>43307</v>
      </c>
      <c r="T15920" s="29">
        <v>0.5</v>
      </c>
    </row>
    <row r="15921" spans="19:20" x14ac:dyDescent="0.25">
      <c r="S15921" s="78">
        <v>43308</v>
      </c>
      <c r="T15921" s="29">
        <v>0.5</v>
      </c>
    </row>
    <row r="15922" spans="19:20" x14ac:dyDescent="0.25">
      <c r="S15922" s="78">
        <v>43309</v>
      </c>
      <c r="T15922" s="29">
        <v>0.5</v>
      </c>
    </row>
    <row r="15923" spans="19:20" x14ac:dyDescent="0.25">
      <c r="S15923" s="78">
        <v>43310</v>
      </c>
      <c r="T15923" s="29">
        <v>0.5</v>
      </c>
    </row>
    <row r="15924" spans="19:20" x14ac:dyDescent="0.25">
      <c r="S15924" s="78">
        <v>43311</v>
      </c>
      <c r="T15924" s="29">
        <v>0.5</v>
      </c>
    </row>
    <row r="15925" spans="19:20" x14ac:dyDescent="0.25">
      <c r="S15925" s="78">
        <v>43312</v>
      </c>
      <c r="T15925" s="29">
        <v>0.5</v>
      </c>
    </row>
    <row r="15926" spans="19:20" x14ac:dyDescent="0.25">
      <c r="S15926" s="78">
        <v>43313</v>
      </c>
      <c r="T15926" s="29">
        <v>0.5</v>
      </c>
    </row>
    <row r="15927" spans="19:20" x14ac:dyDescent="0.25">
      <c r="S15927" s="78">
        <v>43314</v>
      </c>
      <c r="T15927" s="29">
        <v>0.75</v>
      </c>
    </row>
    <row r="15928" spans="19:20" x14ac:dyDescent="0.25">
      <c r="S15928" s="78">
        <v>43315</v>
      </c>
      <c r="T15928" s="29">
        <v>0.75</v>
      </c>
    </row>
    <row r="15929" spans="19:20" x14ac:dyDescent="0.25">
      <c r="S15929" s="78">
        <v>43316</v>
      </c>
      <c r="T15929" s="29">
        <v>0.75</v>
      </c>
    </row>
    <row r="15930" spans="19:20" x14ac:dyDescent="0.25">
      <c r="S15930" s="78">
        <v>43317</v>
      </c>
      <c r="T15930" s="29">
        <v>0.75</v>
      </c>
    </row>
    <row r="15931" spans="19:20" x14ac:dyDescent="0.25">
      <c r="S15931" s="78">
        <v>43318</v>
      </c>
      <c r="T15931" s="29">
        <v>0.75</v>
      </c>
    </row>
    <row r="15932" spans="19:20" x14ac:dyDescent="0.25">
      <c r="S15932" s="78">
        <v>43319</v>
      </c>
      <c r="T15932" s="29">
        <v>0.75</v>
      </c>
    </row>
    <row r="15933" spans="19:20" x14ac:dyDescent="0.25">
      <c r="S15933" s="78">
        <v>43320</v>
      </c>
      <c r="T15933" s="29">
        <v>0.75</v>
      </c>
    </row>
    <row r="15934" spans="19:20" x14ac:dyDescent="0.25">
      <c r="S15934" s="78">
        <v>43321</v>
      </c>
      <c r="T15934" s="29">
        <v>0.75</v>
      </c>
    </row>
    <row r="15935" spans="19:20" x14ac:dyDescent="0.25">
      <c r="S15935" s="78">
        <v>43322</v>
      </c>
      <c r="T15935" s="29">
        <v>0.75</v>
      </c>
    </row>
    <row r="15936" spans="19:20" x14ac:dyDescent="0.25">
      <c r="S15936" s="78">
        <v>43323</v>
      </c>
      <c r="T15936" s="29">
        <v>0.75</v>
      </c>
    </row>
    <row r="15937" spans="19:20" x14ac:dyDescent="0.25">
      <c r="S15937" s="78">
        <v>43324</v>
      </c>
      <c r="T15937" s="29">
        <v>0.75</v>
      </c>
    </row>
    <row r="15938" spans="19:20" x14ac:dyDescent="0.25">
      <c r="S15938" s="78">
        <v>43325</v>
      </c>
      <c r="T15938" s="29">
        <v>0.75</v>
      </c>
    </row>
    <row r="15939" spans="19:20" x14ac:dyDescent="0.25">
      <c r="S15939" s="78">
        <v>43326</v>
      </c>
      <c r="T15939" s="29">
        <v>0.75</v>
      </c>
    </row>
    <row r="15940" spans="19:20" x14ac:dyDescent="0.25">
      <c r="S15940" s="78">
        <v>43327</v>
      </c>
      <c r="T15940" s="29">
        <v>0.75</v>
      </c>
    </row>
    <row r="15941" spans="19:20" x14ac:dyDescent="0.25">
      <c r="S15941" s="78">
        <v>43328</v>
      </c>
      <c r="T15941" s="29">
        <v>0.75</v>
      </c>
    </row>
    <row r="15942" spans="19:20" x14ac:dyDescent="0.25">
      <c r="S15942" s="78">
        <v>43329</v>
      </c>
      <c r="T15942" s="29">
        <v>0.75</v>
      </c>
    </row>
    <row r="15943" spans="19:20" x14ac:dyDescent="0.25">
      <c r="S15943" s="78">
        <v>43330</v>
      </c>
      <c r="T15943" s="29">
        <v>0.75</v>
      </c>
    </row>
    <row r="15944" spans="19:20" x14ac:dyDescent="0.25">
      <c r="S15944" s="78">
        <v>43331</v>
      </c>
      <c r="T15944" s="29">
        <v>0.75</v>
      </c>
    </row>
    <row r="15945" spans="19:20" x14ac:dyDescent="0.25">
      <c r="S15945" s="78">
        <v>43332</v>
      </c>
      <c r="T15945" s="29">
        <v>0.75</v>
      </c>
    </row>
    <row r="15946" spans="19:20" x14ac:dyDescent="0.25">
      <c r="S15946" s="78">
        <v>43333</v>
      </c>
      <c r="T15946" s="29">
        <v>0.75</v>
      </c>
    </row>
    <row r="15947" spans="19:20" x14ac:dyDescent="0.25">
      <c r="S15947" s="78">
        <v>43334</v>
      </c>
      <c r="T15947" s="29">
        <v>0.75</v>
      </c>
    </row>
    <row r="15948" spans="19:20" x14ac:dyDescent="0.25">
      <c r="S15948" s="78">
        <v>43335</v>
      </c>
      <c r="T15948" s="29">
        <v>0.75</v>
      </c>
    </row>
    <row r="15949" spans="19:20" x14ac:dyDescent="0.25">
      <c r="S15949" s="78">
        <v>43336</v>
      </c>
      <c r="T15949" s="29">
        <v>0.75</v>
      </c>
    </row>
    <row r="15950" spans="19:20" x14ac:dyDescent="0.25">
      <c r="S15950" s="78">
        <v>43337</v>
      </c>
      <c r="T15950" s="29">
        <v>0.75</v>
      </c>
    </row>
    <row r="15951" spans="19:20" x14ac:dyDescent="0.25">
      <c r="S15951" s="78">
        <v>43338</v>
      </c>
      <c r="T15951" s="29">
        <v>0.75</v>
      </c>
    </row>
    <row r="15952" spans="19:20" x14ac:dyDescent="0.25">
      <c r="S15952" s="78">
        <v>43339</v>
      </c>
      <c r="T15952" s="29">
        <v>0.75</v>
      </c>
    </row>
    <row r="15953" spans="19:20" x14ac:dyDescent="0.25">
      <c r="S15953" s="78">
        <v>43340</v>
      </c>
      <c r="T15953" s="29">
        <v>0.75</v>
      </c>
    </row>
    <row r="15954" spans="19:20" x14ac:dyDescent="0.25">
      <c r="S15954" s="78">
        <v>43341</v>
      </c>
      <c r="T15954" s="29">
        <v>0.75</v>
      </c>
    </row>
    <row r="15955" spans="19:20" x14ac:dyDescent="0.25">
      <c r="S15955" s="78">
        <v>43342</v>
      </c>
      <c r="T15955" s="29">
        <v>0.75</v>
      </c>
    </row>
    <row r="15956" spans="19:20" x14ac:dyDescent="0.25">
      <c r="S15956" s="78">
        <v>43343</v>
      </c>
      <c r="T15956" s="29">
        <v>0.75</v>
      </c>
    </row>
    <row r="15957" spans="19:20" x14ac:dyDescent="0.25">
      <c r="S15957" s="78">
        <v>43344</v>
      </c>
      <c r="T15957" s="29">
        <v>0.75</v>
      </c>
    </row>
    <row r="15958" spans="19:20" x14ac:dyDescent="0.25">
      <c r="S15958" s="78">
        <v>43345</v>
      </c>
      <c r="T15958" s="29">
        <v>0.75</v>
      </c>
    </row>
    <row r="15959" spans="19:20" x14ac:dyDescent="0.25">
      <c r="S15959" s="78">
        <v>43346</v>
      </c>
      <c r="T15959" s="29">
        <v>0.75</v>
      </c>
    </row>
    <row r="15960" spans="19:20" x14ac:dyDescent="0.25">
      <c r="S15960" s="78">
        <v>43347</v>
      </c>
      <c r="T15960" s="29">
        <v>0.75</v>
      </c>
    </row>
    <row r="15961" spans="19:20" x14ac:dyDescent="0.25">
      <c r="S15961" s="78">
        <v>43348</v>
      </c>
      <c r="T15961" s="29">
        <v>0.75</v>
      </c>
    </row>
    <row r="15962" spans="19:20" x14ac:dyDescent="0.25">
      <c r="S15962" s="78">
        <v>43349</v>
      </c>
      <c r="T15962" s="29">
        <v>0.75</v>
      </c>
    </row>
    <row r="15963" spans="19:20" x14ac:dyDescent="0.25">
      <c r="S15963" s="78">
        <v>43350</v>
      </c>
      <c r="T15963" s="29">
        <v>0.75</v>
      </c>
    </row>
    <row r="15964" spans="19:20" x14ac:dyDescent="0.25">
      <c r="S15964" s="78">
        <v>43351</v>
      </c>
      <c r="T15964" s="29">
        <v>0.75</v>
      </c>
    </row>
    <row r="15965" spans="19:20" x14ac:dyDescent="0.25">
      <c r="S15965" s="78">
        <v>43352</v>
      </c>
      <c r="T15965" s="29">
        <v>0.75</v>
      </c>
    </row>
    <row r="15966" spans="19:20" x14ac:dyDescent="0.25">
      <c r="S15966" s="78">
        <v>43353</v>
      </c>
      <c r="T15966" s="29">
        <v>0.75</v>
      </c>
    </row>
    <row r="15967" spans="19:20" x14ac:dyDescent="0.25">
      <c r="S15967" s="78">
        <v>43354</v>
      </c>
      <c r="T15967" s="29">
        <v>0.75</v>
      </c>
    </row>
    <row r="15968" spans="19:20" x14ac:dyDescent="0.25">
      <c r="S15968" s="78">
        <v>43355</v>
      </c>
      <c r="T15968" s="29">
        <v>0.75</v>
      </c>
    </row>
    <row r="15969" spans="19:20" x14ac:dyDescent="0.25">
      <c r="S15969" s="78">
        <v>43356</v>
      </c>
      <c r="T15969" s="29">
        <v>0.75</v>
      </c>
    </row>
    <row r="15970" spans="19:20" x14ac:dyDescent="0.25">
      <c r="S15970" s="78">
        <v>43357</v>
      </c>
      <c r="T15970" s="29">
        <v>0.75</v>
      </c>
    </row>
    <row r="15971" spans="19:20" x14ac:dyDescent="0.25">
      <c r="S15971" s="78">
        <v>43358</v>
      </c>
      <c r="T15971" s="29">
        <v>0.75</v>
      </c>
    </row>
    <row r="15972" spans="19:20" x14ac:dyDescent="0.25">
      <c r="S15972" s="78">
        <v>43359</v>
      </c>
      <c r="T15972" s="29">
        <v>0.75</v>
      </c>
    </row>
    <row r="15973" spans="19:20" x14ac:dyDescent="0.25">
      <c r="S15973" s="78">
        <v>43360</v>
      </c>
      <c r="T15973" s="29">
        <v>0.75</v>
      </c>
    </row>
    <row r="15974" spans="19:20" x14ac:dyDescent="0.25">
      <c r="S15974" s="78">
        <v>43361</v>
      </c>
      <c r="T15974" s="29">
        <v>0.75</v>
      </c>
    </row>
    <row r="15975" spans="19:20" x14ac:dyDescent="0.25">
      <c r="S15975" s="78">
        <v>43362</v>
      </c>
      <c r="T15975" s="29">
        <v>0.75</v>
      </c>
    </row>
    <row r="15976" spans="19:20" x14ac:dyDescent="0.25">
      <c r="S15976" s="78">
        <v>43363</v>
      </c>
      <c r="T15976" s="29">
        <v>0.75</v>
      </c>
    </row>
    <row r="15977" spans="19:20" x14ac:dyDescent="0.25">
      <c r="S15977" s="78">
        <v>43364</v>
      </c>
      <c r="T15977" s="29">
        <v>0.75</v>
      </c>
    </row>
    <row r="15978" spans="19:20" x14ac:dyDescent="0.25">
      <c r="S15978" s="78">
        <v>43365</v>
      </c>
      <c r="T15978" s="29">
        <v>0.75</v>
      </c>
    </row>
    <row r="15979" spans="19:20" x14ac:dyDescent="0.25">
      <c r="S15979" s="78">
        <v>43366</v>
      </c>
      <c r="T15979" s="29">
        <v>0.75</v>
      </c>
    </row>
    <row r="15980" spans="19:20" x14ac:dyDescent="0.25">
      <c r="S15980" s="78">
        <v>43367</v>
      </c>
      <c r="T15980" s="29">
        <v>0.75</v>
      </c>
    </row>
    <row r="15981" spans="19:20" x14ac:dyDescent="0.25">
      <c r="S15981" s="78">
        <v>43368</v>
      </c>
      <c r="T15981" s="29">
        <v>0.75</v>
      </c>
    </row>
    <row r="15982" spans="19:20" x14ac:dyDescent="0.25">
      <c r="S15982" s="78">
        <v>43369</v>
      </c>
      <c r="T15982" s="29">
        <v>0.75</v>
      </c>
    </row>
    <row r="15983" spans="19:20" x14ac:dyDescent="0.25">
      <c r="S15983" s="78">
        <v>43370</v>
      </c>
      <c r="T15983" s="29">
        <v>0.75</v>
      </c>
    </row>
    <row r="15984" spans="19:20" x14ac:dyDescent="0.25">
      <c r="S15984" s="78">
        <v>43371</v>
      </c>
      <c r="T15984" s="29">
        <v>0.75</v>
      </c>
    </row>
    <row r="15985" spans="19:21" x14ac:dyDescent="0.25">
      <c r="S15985" s="78">
        <v>43372</v>
      </c>
      <c r="T15985" s="29">
        <v>0.75</v>
      </c>
    </row>
    <row r="15986" spans="19:21" x14ac:dyDescent="0.25">
      <c r="S15986" s="78">
        <v>43373</v>
      </c>
      <c r="T15986" s="29">
        <v>0.75</v>
      </c>
      <c r="U15986" s="40">
        <f>AVERAGE(T15895:T15986)</f>
        <v>0.66304347826086951</v>
      </c>
    </row>
    <row r="15987" spans="19:21" x14ac:dyDescent="0.25">
      <c r="S15987" s="78">
        <v>43374</v>
      </c>
      <c r="T15987" s="29">
        <v>0.75</v>
      </c>
    </row>
    <row r="15988" spans="19:21" x14ac:dyDescent="0.25">
      <c r="S15988" s="78">
        <v>43375</v>
      </c>
      <c r="T15988" s="29">
        <v>0.75</v>
      </c>
    </row>
    <row r="15989" spans="19:21" x14ac:dyDescent="0.25">
      <c r="S15989" s="78">
        <v>43376</v>
      </c>
      <c r="T15989" s="29">
        <v>0.75</v>
      </c>
    </row>
    <row r="15990" spans="19:21" x14ac:dyDescent="0.25">
      <c r="S15990" s="78">
        <v>43377</v>
      </c>
      <c r="T15990" s="29">
        <v>0.75</v>
      </c>
    </row>
    <row r="15991" spans="19:21" x14ac:dyDescent="0.25">
      <c r="S15991" s="78">
        <v>43378</v>
      </c>
      <c r="T15991" s="29">
        <v>0.75</v>
      </c>
    </row>
    <row r="15992" spans="19:21" x14ac:dyDescent="0.25">
      <c r="S15992" s="78">
        <v>43379</v>
      </c>
      <c r="T15992" s="29">
        <v>0.75</v>
      </c>
    </row>
    <row r="15993" spans="19:21" x14ac:dyDescent="0.25">
      <c r="S15993" s="78">
        <v>43380</v>
      </c>
      <c r="T15993" s="29">
        <v>0.75</v>
      </c>
    </row>
    <row r="15994" spans="19:21" x14ac:dyDescent="0.25">
      <c r="S15994" s="78">
        <v>43381</v>
      </c>
      <c r="T15994" s="29">
        <v>0.75</v>
      </c>
    </row>
    <row r="15995" spans="19:21" x14ac:dyDescent="0.25">
      <c r="S15995" s="78">
        <v>43382</v>
      </c>
      <c r="T15995" s="29">
        <v>0.75</v>
      </c>
    </row>
    <row r="15996" spans="19:21" x14ac:dyDescent="0.25">
      <c r="S15996" s="78">
        <v>43383</v>
      </c>
      <c r="T15996" s="29">
        <v>0.75</v>
      </c>
    </row>
    <row r="15997" spans="19:21" x14ac:dyDescent="0.25">
      <c r="S15997" s="78">
        <v>43384</v>
      </c>
      <c r="T15997" s="29">
        <v>0.75</v>
      </c>
    </row>
    <row r="15998" spans="19:21" x14ac:dyDescent="0.25">
      <c r="S15998" s="78">
        <v>43385</v>
      </c>
      <c r="T15998" s="29">
        <v>0.75</v>
      </c>
    </row>
    <row r="15999" spans="19:21" x14ac:dyDescent="0.25">
      <c r="S15999" s="78">
        <v>43386</v>
      </c>
      <c r="T15999" s="29">
        <v>0.75</v>
      </c>
    </row>
    <row r="16000" spans="19:21" x14ac:dyDescent="0.25">
      <c r="S16000" s="78">
        <v>43387</v>
      </c>
      <c r="T16000" s="29">
        <v>0.75</v>
      </c>
    </row>
    <row r="16001" spans="19:20" x14ac:dyDescent="0.25">
      <c r="S16001" s="78">
        <v>43388</v>
      </c>
      <c r="T16001" s="29">
        <v>0.75</v>
      </c>
    </row>
    <row r="16002" spans="19:20" x14ac:dyDescent="0.25">
      <c r="S16002" s="78">
        <v>43389</v>
      </c>
      <c r="T16002" s="29">
        <v>0.75</v>
      </c>
    </row>
    <row r="16003" spans="19:20" x14ac:dyDescent="0.25">
      <c r="S16003" s="78">
        <v>43390</v>
      </c>
      <c r="T16003" s="29">
        <v>0.75</v>
      </c>
    </row>
    <row r="16004" spans="19:20" x14ac:dyDescent="0.25">
      <c r="S16004" s="78">
        <v>43391</v>
      </c>
      <c r="T16004" s="29">
        <v>0.75</v>
      </c>
    </row>
    <row r="16005" spans="19:20" x14ac:dyDescent="0.25">
      <c r="S16005" s="78">
        <v>43392</v>
      </c>
      <c r="T16005" s="29">
        <v>0.75</v>
      </c>
    </row>
    <row r="16006" spans="19:20" x14ac:dyDescent="0.25">
      <c r="S16006" s="78">
        <v>43393</v>
      </c>
      <c r="T16006" s="29">
        <v>0.75</v>
      </c>
    </row>
    <row r="16007" spans="19:20" x14ac:dyDescent="0.25">
      <c r="S16007" s="78">
        <v>43394</v>
      </c>
      <c r="T16007" s="29">
        <v>0.75</v>
      </c>
    </row>
    <row r="16008" spans="19:20" x14ac:dyDescent="0.25">
      <c r="S16008" s="78">
        <v>43395</v>
      </c>
      <c r="T16008" s="29">
        <v>0.75</v>
      </c>
    </row>
    <row r="16009" spans="19:20" x14ac:dyDescent="0.25">
      <c r="S16009" s="78">
        <v>43396</v>
      </c>
      <c r="T16009" s="29">
        <v>0.75</v>
      </c>
    </row>
    <row r="16010" spans="19:20" x14ac:dyDescent="0.25">
      <c r="S16010" s="78">
        <v>43397</v>
      </c>
      <c r="T16010" s="29">
        <v>0.75</v>
      </c>
    </row>
    <row r="16011" spans="19:20" x14ac:dyDescent="0.25">
      <c r="S16011" s="78">
        <v>43398</v>
      </c>
      <c r="T16011" s="29">
        <v>0.75</v>
      </c>
    </row>
    <row r="16012" spans="19:20" x14ac:dyDescent="0.25">
      <c r="S16012" s="78">
        <v>43399</v>
      </c>
      <c r="T16012" s="29">
        <v>0.75</v>
      </c>
    </row>
    <row r="16013" spans="19:20" x14ac:dyDescent="0.25">
      <c r="S16013" s="78">
        <v>43400</v>
      </c>
      <c r="T16013" s="29">
        <v>0.75</v>
      </c>
    </row>
    <row r="16014" spans="19:20" x14ac:dyDescent="0.25">
      <c r="S16014" s="78">
        <v>43401</v>
      </c>
      <c r="T16014" s="29">
        <v>0.75</v>
      </c>
    </row>
    <row r="16015" spans="19:20" x14ac:dyDescent="0.25">
      <c r="S16015" s="78">
        <v>43402</v>
      </c>
      <c r="T16015" s="29">
        <v>0.75</v>
      </c>
    </row>
    <row r="16016" spans="19:20" x14ac:dyDescent="0.25">
      <c r="S16016" s="78">
        <v>43403</v>
      </c>
      <c r="T16016" s="29">
        <v>0.75</v>
      </c>
    </row>
    <row r="16017" spans="19:20" x14ac:dyDescent="0.25">
      <c r="S16017" s="78">
        <v>43404</v>
      </c>
      <c r="T16017" s="29">
        <v>0.75</v>
      </c>
    </row>
    <row r="16018" spans="19:20" x14ac:dyDescent="0.25">
      <c r="S16018" s="78">
        <v>43405</v>
      </c>
      <c r="T16018" s="29">
        <v>0.75</v>
      </c>
    </row>
    <row r="16019" spans="19:20" x14ac:dyDescent="0.25">
      <c r="S16019" s="78">
        <v>43406</v>
      </c>
      <c r="T16019" s="29">
        <v>0.75</v>
      </c>
    </row>
    <row r="16020" spans="19:20" x14ac:dyDescent="0.25">
      <c r="S16020" s="78">
        <v>43407</v>
      </c>
      <c r="T16020" s="29">
        <v>0.75</v>
      </c>
    </row>
    <row r="16021" spans="19:20" x14ac:dyDescent="0.25">
      <c r="S16021" s="78">
        <v>43408</v>
      </c>
      <c r="T16021" s="29">
        <v>0.75</v>
      </c>
    </row>
    <row r="16022" spans="19:20" x14ac:dyDescent="0.25">
      <c r="S16022" s="78">
        <v>43409</v>
      </c>
      <c r="T16022" s="29">
        <v>0.75</v>
      </c>
    </row>
    <row r="16023" spans="19:20" x14ac:dyDescent="0.25">
      <c r="S16023" s="78">
        <v>43410</v>
      </c>
      <c r="T16023" s="29">
        <v>0.75</v>
      </c>
    </row>
    <row r="16024" spans="19:20" x14ac:dyDescent="0.25">
      <c r="S16024" s="78">
        <v>43411</v>
      </c>
      <c r="T16024" s="29">
        <v>0.75</v>
      </c>
    </row>
    <row r="16025" spans="19:20" x14ac:dyDescent="0.25">
      <c r="S16025" s="78">
        <v>43412</v>
      </c>
      <c r="T16025" s="29">
        <v>0.75</v>
      </c>
    </row>
    <row r="16026" spans="19:20" x14ac:dyDescent="0.25">
      <c r="S16026" s="78">
        <v>43413</v>
      </c>
      <c r="T16026" s="29">
        <v>0.75</v>
      </c>
    </row>
    <row r="16027" spans="19:20" x14ac:dyDescent="0.25">
      <c r="S16027" s="78">
        <v>43414</v>
      </c>
      <c r="T16027" s="29">
        <v>0.75</v>
      </c>
    </row>
    <row r="16028" spans="19:20" x14ac:dyDescent="0.25">
      <c r="S16028" s="78">
        <v>43415</v>
      </c>
      <c r="T16028" s="29">
        <v>0.75</v>
      </c>
    </row>
    <row r="16029" spans="19:20" x14ac:dyDescent="0.25">
      <c r="S16029" s="78">
        <v>43416</v>
      </c>
      <c r="T16029" s="29">
        <v>0.75</v>
      </c>
    </row>
    <row r="16030" spans="19:20" x14ac:dyDescent="0.25">
      <c r="S16030" s="78">
        <v>43417</v>
      </c>
      <c r="T16030" s="29">
        <v>0.75</v>
      </c>
    </row>
    <row r="16031" spans="19:20" x14ac:dyDescent="0.25">
      <c r="S16031" s="78">
        <v>43418</v>
      </c>
      <c r="T16031" s="29">
        <v>0.75</v>
      </c>
    </row>
    <row r="16032" spans="19:20" x14ac:dyDescent="0.25">
      <c r="S16032" s="78">
        <v>43419</v>
      </c>
      <c r="T16032" s="29">
        <v>0.75</v>
      </c>
    </row>
    <row r="16033" spans="19:20" x14ac:dyDescent="0.25">
      <c r="S16033" s="78">
        <v>43420</v>
      </c>
      <c r="T16033" s="29">
        <v>0.75</v>
      </c>
    </row>
    <row r="16034" spans="19:20" x14ac:dyDescent="0.25">
      <c r="S16034" s="78">
        <v>43421</v>
      </c>
      <c r="T16034" s="29">
        <v>0.75</v>
      </c>
    </row>
    <row r="16035" spans="19:20" x14ac:dyDescent="0.25">
      <c r="S16035" s="78">
        <v>43422</v>
      </c>
      <c r="T16035" s="29">
        <v>0.75</v>
      </c>
    </row>
    <row r="16036" spans="19:20" x14ac:dyDescent="0.25">
      <c r="S16036" s="78">
        <v>43423</v>
      </c>
      <c r="T16036" s="29">
        <v>0.75</v>
      </c>
    </row>
    <row r="16037" spans="19:20" x14ac:dyDescent="0.25">
      <c r="S16037" s="78">
        <v>43424</v>
      </c>
      <c r="T16037" s="29">
        <v>0.75</v>
      </c>
    </row>
    <row r="16038" spans="19:20" x14ac:dyDescent="0.25">
      <c r="S16038" s="78">
        <v>43425</v>
      </c>
      <c r="T16038" s="29">
        <v>0.75</v>
      </c>
    </row>
    <row r="16039" spans="19:20" x14ac:dyDescent="0.25">
      <c r="S16039" s="78">
        <v>43426</v>
      </c>
      <c r="T16039" s="29">
        <v>0.75</v>
      </c>
    </row>
    <row r="16040" spans="19:20" x14ac:dyDescent="0.25">
      <c r="S16040" s="78">
        <v>43427</v>
      </c>
      <c r="T16040" s="29">
        <v>0.75</v>
      </c>
    </row>
    <row r="16041" spans="19:20" x14ac:dyDescent="0.25">
      <c r="S16041" s="78">
        <v>43428</v>
      </c>
      <c r="T16041" s="29">
        <v>0.75</v>
      </c>
    </row>
    <row r="16042" spans="19:20" x14ac:dyDescent="0.25">
      <c r="S16042" s="78">
        <v>43429</v>
      </c>
      <c r="T16042" s="29">
        <v>0.75</v>
      </c>
    </row>
    <row r="16043" spans="19:20" x14ac:dyDescent="0.25">
      <c r="S16043" s="78">
        <v>43430</v>
      </c>
      <c r="T16043" s="29">
        <v>0.75</v>
      </c>
    </row>
    <row r="16044" spans="19:20" x14ac:dyDescent="0.25">
      <c r="S16044" s="78">
        <v>43431</v>
      </c>
      <c r="T16044" s="29">
        <v>0.75</v>
      </c>
    </row>
    <row r="16045" spans="19:20" x14ac:dyDescent="0.25">
      <c r="S16045" s="78">
        <v>43432</v>
      </c>
      <c r="T16045" s="29">
        <v>0.75</v>
      </c>
    </row>
    <row r="16046" spans="19:20" x14ac:dyDescent="0.25">
      <c r="S16046" s="78">
        <v>43433</v>
      </c>
      <c r="T16046" s="29">
        <v>0.75</v>
      </c>
    </row>
    <row r="16047" spans="19:20" x14ac:dyDescent="0.25">
      <c r="S16047" s="78">
        <v>43434</v>
      </c>
      <c r="T16047" s="29">
        <v>0.75</v>
      </c>
    </row>
    <row r="16048" spans="19:20" x14ac:dyDescent="0.25">
      <c r="S16048" s="78">
        <v>43435</v>
      </c>
      <c r="T16048" s="29">
        <v>0.75</v>
      </c>
    </row>
    <row r="16049" spans="19:20" x14ac:dyDescent="0.25">
      <c r="S16049" s="78">
        <v>43436</v>
      </c>
      <c r="T16049" s="29">
        <v>0.75</v>
      </c>
    </row>
    <row r="16050" spans="19:20" x14ac:dyDescent="0.25">
      <c r="S16050" s="78">
        <v>43437</v>
      </c>
      <c r="T16050" s="29">
        <v>0.75</v>
      </c>
    </row>
    <row r="16051" spans="19:20" x14ac:dyDescent="0.25">
      <c r="S16051" s="78">
        <v>43438</v>
      </c>
      <c r="T16051" s="29">
        <v>0.75</v>
      </c>
    </row>
    <row r="16052" spans="19:20" x14ac:dyDescent="0.25">
      <c r="S16052" s="78">
        <v>43439</v>
      </c>
      <c r="T16052" s="29">
        <v>0.75</v>
      </c>
    </row>
    <row r="16053" spans="19:20" x14ac:dyDescent="0.25">
      <c r="S16053" s="78">
        <v>43440</v>
      </c>
      <c r="T16053" s="29">
        <v>0.75</v>
      </c>
    </row>
    <row r="16054" spans="19:20" x14ac:dyDescent="0.25">
      <c r="S16054" s="78">
        <v>43441</v>
      </c>
      <c r="T16054" s="29">
        <v>0.75</v>
      </c>
    </row>
    <row r="16055" spans="19:20" x14ac:dyDescent="0.25">
      <c r="S16055" s="78">
        <v>43442</v>
      </c>
      <c r="T16055" s="29">
        <v>0.75</v>
      </c>
    </row>
    <row r="16056" spans="19:20" x14ac:dyDescent="0.25">
      <c r="S16056" s="78">
        <v>43443</v>
      </c>
      <c r="T16056" s="29">
        <v>0.75</v>
      </c>
    </row>
    <row r="16057" spans="19:20" x14ac:dyDescent="0.25">
      <c r="S16057" s="78">
        <v>43444</v>
      </c>
      <c r="T16057" s="29">
        <v>0.75</v>
      </c>
    </row>
    <row r="16058" spans="19:20" x14ac:dyDescent="0.25">
      <c r="S16058" s="78">
        <v>43445</v>
      </c>
      <c r="T16058" s="29">
        <v>0.75</v>
      </c>
    </row>
    <row r="16059" spans="19:20" x14ac:dyDescent="0.25">
      <c r="S16059" s="78">
        <v>43446</v>
      </c>
      <c r="T16059" s="29">
        <v>0.75</v>
      </c>
    </row>
    <row r="16060" spans="19:20" x14ac:dyDescent="0.25">
      <c r="S16060" s="78">
        <v>43447</v>
      </c>
      <c r="T16060" s="29">
        <v>0.75</v>
      </c>
    </row>
    <row r="16061" spans="19:20" x14ac:dyDescent="0.25">
      <c r="S16061" s="78">
        <v>43448</v>
      </c>
      <c r="T16061" s="29">
        <v>0.75</v>
      </c>
    </row>
    <row r="16062" spans="19:20" x14ac:dyDescent="0.25">
      <c r="S16062" s="78">
        <v>43449</v>
      </c>
      <c r="T16062" s="29">
        <v>0.75</v>
      </c>
    </row>
    <row r="16063" spans="19:20" x14ac:dyDescent="0.25">
      <c r="S16063" s="78">
        <v>43450</v>
      </c>
      <c r="T16063" s="29">
        <v>0.75</v>
      </c>
    </row>
    <row r="16064" spans="19:20" x14ac:dyDescent="0.25">
      <c r="S16064" s="78">
        <v>43451</v>
      </c>
      <c r="T16064" s="29">
        <v>0.75</v>
      </c>
    </row>
    <row r="16065" spans="19:21" x14ac:dyDescent="0.25">
      <c r="S16065" s="78">
        <v>43452</v>
      </c>
      <c r="T16065" s="29">
        <v>0.75</v>
      </c>
    </row>
    <row r="16066" spans="19:21" x14ac:dyDescent="0.25">
      <c r="S16066" s="78">
        <v>43453</v>
      </c>
      <c r="T16066" s="29">
        <v>0.75</v>
      </c>
    </row>
    <row r="16067" spans="19:21" x14ac:dyDescent="0.25">
      <c r="S16067" s="78">
        <v>43454</v>
      </c>
      <c r="T16067" s="29">
        <v>0.75</v>
      </c>
    </row>
    <row r="16068" spans="19:21" x14ac:dyDescent="0.25">
      <c r="S16068" s="78">
        <v>43455</v>
      </c>
      <c r="T16068" s="29">
        <v>0.75</v>
      </c>
    </row>
    <row r="16069" spans="19:21" x14ac:dyDescent="0.25">
      <c r="S16069" s="78">
        <v>43456</v>
      </c>
      <c r="T16069" s="29">
        <v>0.75</v>
      </c>
    </row>
    <row r="16070" spans="19:21" x14ac:dyDescent="0.25">
      <c r="S16070" s="78">
        <v>43457</v>
      </c>
      <c r="T16070" s="29">
        <v>0.75</v>
      </c>
    </row>
    <row r="16071" spans="19:21" x14ac:dyDescent="0.25">
      <c r="S16071" s="78">
        <v>43458</v>
      </c>
      <c r="T16071" s="29">
        <v>0.75</v>
      </c>
    </row>
    <row r="16072" spans="19:21" x14ac:dyDescent="0.25">
      <c r="S16072" s="78">
        <v>43459</v>
      </c>
      <c r="T16072" s="29">
        <v>0.75</v>
      </c>
    </row>
    <row r="16073" spans="19:21" x14ac:dyDescent="0.25">
      <c r="S16073" s="78">
        <v>43460</v>
      </c>
      <c r="T16073" s="29">
        <v>0.75</v>
      </c>
    </row>
    <row r="16074" spans="19:21" x14ac:dyDescent="0.25">
      <c r="S16074" s="78">
        <v>43461</v>
      </c>
      <c r="T16074" s="29">
        <v>0.75</v>
      </c>
    </row>
    <row r="16075" spans="19:21" x14ac:dyDescent="0.25">
      <c r="S16075" s="78">
        <v>43462</v>
      </c>
      <c r="T16075" s="29">
        <v>0.75</v>
      </c>
    </row>
    <row r="16076" spans="19:21" x14ac:dyDescent="0.25">
      <c r="S16076" s="78">
        <v>43463</v>
      </c>
      <c r="T16076" s="29">
        <v>0.75</v>
      </c>
    </row>
    <row r="16077" spans="19:21" x14ac:dyDescent="0.25">
      <c r="S16077" s="78">
        <v>43464</v>
      </c>
      <c r="T16077" s="29">
        <v>0.75</v>
      </c>
    </row>
    <row r="16078" spans="19:21" x14ac:dyDescent="0.25">
      <c r="S16078" s="78">
        <v>43465</v>
      </c>
      <c r="T16078" s="29">
        <v>0.75</v>
      </c>
      <c r="U16078" s="29">
        <f>AVERAGE(T15987:T16078)</f>
        <v>0.75</v>
      </c>
    </row>
    <row r="16079" spans="19:21" x14ac:dyDescent="0.25">
      <c r="S16079" s="78">
        <v>43466</v>
      </c>
      <c r="T16079" s="29">
        <v>0.75</v>
      </c>
    </row>
    <row r="16080" spans="19:21" x14ac:dyDescent="0.25">
      <c r="S16080" s="78">
        <v>43467</v>
      </c>
      <c r="T16080" s="29">
        <v>0.75</v>
      </c>
    </row>
    <row r="16081" spans="19:20" x14ac:dyDescent="0.25">
      <c r="S16081" s="78">
        <v>43468</v>
      </c>
      <c r="T16081" s="29">
        <v>0.75</v>
      </c>
    </row>
    <row r="16082" spans="19:20" x14ac:dyDescent="0.25">
      <c r="S16082" s="78">
        <v>43469</v>
      </c>
      <c r="T16082" s="29">
        <v>0.75</v>
      </c>
    </row>
    <row r="16083" spans="19:20" x14ac:dyDescent="0.25">
      <c r="S16083" s="78">
        <v>43470</v>
      </c>
      <c r="T16083" s="29">
        <v>0.75</v>
      </c>
    </row>
    <row r="16084" spans="19:20" x14ac:dyDescent="0.25">
      <c r="S16084" s="78">
        <v>43471</v>
      </c>
      <c r="T16084" s="29">
        <v>0.75</v>
      </c>
    </row>
    <row r="16085" spans="19:20" x14ac:dyDescent="0.25">
      <c r="S16085" s="78">
        <v>43472</v>
      </c>
      <c r="T16085" s="29">
        <v>0.75</v>
      </c>
    </row>
    <row r="16086" spans="19:20" x14ac:dyDescent="0.25">
      <c r="S16086" s="78">
        <v>43473</v>
      </c>
      <c r="T16086" s="29">
        <v>0.75</v>
      </c>
    </row>
    <row r="16087" spans="19:20" x14ac:dyDescent="0.25">
      <c r="S16087" s="78">
        <v>43474</v>
      </c>
      <c r="T16087" s="29">
        <v>0.75</v>
      </c>
    </row>
    <row r="16088" spans="19:20" x14ac:dyDescent="0.25">
      <c r="S16088" s="78">
        <v>43475</v>
      </c>
      <c r="T16088" s="29">
        <v>0.75</v>
      </c>
    </row>
    <row r="16089" spans="19:20" x14ac:dyDescent="0.25">
      <c r="S16089" s="78">
        <v>43476</v>
      </c>
      <c r="T16089" s="29">
        <v>0.75</v>
      </c>
    </row>
    <row r="16090" spans="19:20" x14ac:dyDescent="0.25">
      <c r="S16090" s="78">
        <v>43477</v>
      </c>
      <c r="T16090" s="29">
        <v>0.75</v>
      </c>
    </row>
    <row r="16091" spans="19:20" x14ac:dyDescent="0.25">
      <c r="S16091" s="78">
        <v>43478</v>
      </c>
      <c r="T16091" s="29">
        <v>0.75</v>
      </c>
    </row>
    <row r="16092" spans="19:20" x14ac:dyDescent="0.25">
      <c r="S16092" s="78">
        <v>43479</v>
      </c>
      <c r="T16092" s="29">
        <v>0.75</v>
      </c>
    </row>
    <row r="16093" spans="19:20" x14ac:dyDescent="0.25">
      <c r="S16093" s="78">
        <v>43480</v>
      </c>
      <c r="T16093" s="29">
        <v>0.75</v>
      </c>
    </row>
    <row r="16094" spans="19:20" x14ac:dyDescent="0.25">
      <c r="S16094" s="78">
        <v>43481</v>
      </c>
      <c r="T16094" s="29">
        <v>0.75</v>
      </c>
    </row>
    <row r="16095" spans="19:20" x14ac:dyDescent="0.25">
      <c r="S16095" s="78">
        <v>43482</v>
      </c>
      <c r="T16095" s="29">
        <v>0.75</v>
      </c>
    </row>
    <row r="16096" spans="19:20" x14ac:dyDescent="0.25">
      <c r="S16096" s="78">
        <v>43483</v>
      </c>
      <c r="T16096" s="29">
        <v>0.75</v>
      </c>
    </row>
    <row r="16097" spans="19:20" x14ac:dyDescent="0.25">
      <c r="S16097" s="78">
        <v>43484</v>
      </c>
      <c r="T16097" s="29">
        <v>0.75</v>
      </c>
    </row>
    <row r="16098" spans="19:20" x14ac:dyDescent="0.25">
      <c r="S16098" s="78">
        <v>43485</v>
      </c>
      <c r="T16098" s="29">
        <v>0.75</v>
      </c>
    </row>
    <row r="16099" spans="19:20" x14ac:dyDescent="0.25">
      <c r="S16099" s="78">
        <v>43486</v>
      </c>
      <c r="T16099" s="29">
        <v>0.75</v>
      </c>
    </row>
    <row r="16100" spans="19:20" x14ac:dyDescent="0.25">
      <c r="S16100" s="78">
        <v>43487</v>
      </c>
      <c r="T16100" s="29">
        <v>0.75</v>
      </c>
    </row>
    <row r="16101" spans="19:20" x14ac:dyDescent="0.25">
      <c r="S16101" s="78">
        <v>43488</v>
      </c>
      <c r="T16101" s="29">
        <v>0.75</v>
      </c>
    </row>
    <row r="16102" spans="19:20" x14ac:dyDescent="0.25">
      <c r="S16102" s="78">
        <v>43489</v>
      </c>
      <c r="T16102" s="29">
        <v>0.75</v>
      </c>
    </row>
    <row r="16103" spans="19:20" x14ac:dyDescent="0.25">
      <c r="S16103" s="78">
        <v>43490</v>
      </c>
      <c r="T16103" s="29">
        <v>0.75</v>
      </c>
    </row>
    <row r="16104" spans="19:20" x14ac:dyDescent="0.25">
      <c r="S16104" s="78">
        <v>43491</v>
      </c>
      <c r="T16104" s="29">
        <v>0.75</v>
      </c>
    </row>
    <row r="16105" spans="19:20" x14ac:dyDescent="0.25">
      <c r="S16105" s="78">
        <v>43492</v>
      </c>
      <c r="T16105" s="29">
        <v>0.75</v>
      </c>
    </row>
    <row r="16106" spans="19:20" x14ac:dyDescent="0.25">
      <c r="S16106" s="78">
        <v>43493</v>
      </c>
      <c r="T16106" s="29">
        <v>0.75</v>
      </c>
    </row>
    <row r="16107" spans="19:20" x14ac:dyDescent="0.25">
      <c r="S16107" s="78">
        <v>43494</v>
      </c>
      <c r="T16107" s="29">
        <v>0.75</v>
      </c>
    </row>
    <row r="16108" spans="19:20" x14ac:dyDescent="0.25">
      <c r="S16108" s="78">
        <v>43495</v>
      </c>
      <c r="T16108" s="29">
        <v>0.75</v>
      </c>
    </row>
    <row r="16109" spans="19:20" x14ac:dyDescent="0.25">
      <c r="S16109" s="78">
        <v>43496</v>
      </c>
      <c r="T16109" s="29">
        <v>0.75</v>
      </c>
    </row>
    <row r="16110" spans="19:20" x14ac:dyDescent="0.25">
      <c r="S16110" s="78">
        <v>43497</v>
      </c>
      <c r="T16110" s="29">
        <v>0.75</v>
      </c>
    </row>
    <row r="16111" spans="19:20" x14ac:dyDescent="0.25">
      <c r="S16111" s="78">
        <v>43498</v>
      </c>
      <c r="T16111" s="29">
        <v>0.75</v>
      </c>
    </row>
    <row r="16112" spans="19:20" x14ac:dyDescent="0.25">
      <c r="S16112" s="78">
        <v>43499</v>
      </c>
      <c r="T16112" s="29">
        <v>0.75</v>
      </c>
    </row>
    <row r="16113" spans="19:20" x14ac:dyDescent="0.25">
      <c r="S16113" s="78">
        <v>43500</v>
      </c>
      <c r="T16113" s="29">
        <v>0.75</v>
      </c>
    </row>
    <row r="16114" spans="19:20" x14ac:dyDescent="0.25">
      <c r="S16114" s="78">
        <v>43501</v>
      </c>
      <c r="T16114" s="29">
        <v>0.75</v>
      </c>
    </row>
    <row r="16115" spans="19:20" x14ac:dyDescent="0.25">
      <c r="S16115" s="78">
        <v>43502</v>
      </c>
      <c r="T16115" s="29">
        <v>0.75</v>
      </c>
    </row>
    <row r="16116" spans="19:20" x14ac:dyDescent="0.25">
      <c r="S16116" s="78">
        <v>43503</v>
      </c>
      <c r="T16116" s="29">
        <v>0.75</v>
      </c>
    </row>
    <row r="16117" spans="19:20" x14ac:dyDescent="0.25">
      <c r="S16117" s="78">
        <v>43504</v>
      </c>
      <c r="T16117" s="29">
        <v>0.75</v>
      </c>
    </row>
    <row r="16118" spans="19:20" x14ac:dyDescent="0.25">
      <c r="S16118" s="78">
        <v>43505</v>
      </c>
      <c r="T16118" s="29">
        <v>0.75</v>
      </c>
    </row>
    <row r="16119" spans="19:20" x14ac:dyDescent="0.25">
      <c r="S16119" s="78">
        <v>43506</v>
      </c>
      <c r="T16119" s="29">
        <v>0.75</v>
      </c>
    </row>
    <row r="16120" spans="19:20" x14ac:dyDescent="0.25">
      <c r="S16120" s="78">
        <v>43507</v>
      </c>
      <c r="T16120" s="29">
        <v>0.75</v>
      </c>
    </row>
    <row r="16121" spans="19:20" x14ac:dyDescent="0.25">
      <c r="S16121" s="78">
        <v>43508</v>
      </c>
      <c r="T16121" s="29">
        <v>0.75</v>
      </c>
    </row>
    <row r="16122" spans="19:20" x14ac:dyDescent="0.25">
      <c r="S16122" s="78">
        <v>43509</v>
      </c>
      <c r="T16122" s="29">
        <v>0.75</v>
      </c>
    </row>
    <row r="16123" spans="19:20" x14ac:dyDescent="0.25">
      <c r="S16123" s="78">
        <v>43510</v>
      </c>
      <c r="T16123" s="29">
        <v>0.75</v>
      </c>
    </row>
    <row r="16124" spans="19:20" x14ac:dyDescent="0.25">
      <c r="S16124" s="78">
        <v>43511</v>
      </c>
      <c r="T16124" s="29">
        <v>0.75</v>
      </c>
    </row>
    <row r="16125" spans="19:20" x14ac:dyDescent="0.25">
      <c r="S16125" s="78">
        <v>43512</v>
      </c>
      <c r="T16125" s="29">
        <v>0.75</v>
      </c>
    </row>
    <row r="16126" spans="19:20" x14ac:dyDescent="0.25">
      <c r="S16126" s="78">
        <v>43513</v>
      </c>
      <c r="T16126" s="29">
        <v>0.75</v>
      </c>
    </row>
    <row r="16127" spans="19:20" x14ac:dyDescent="0.25">
      <c r="S16127" s="78">
        <v>43514</v>
      </c>
      <c r="T16127" s="29">
        <v>0.75</v>
      </c>
    </row>
    <row r="16128" spans="19:20" x14ac:dyDescent="0.25">
      <c r="S16128" s="78">
        <v>43515</v>
      </c>
      <c r="T16128" s="29">
        <v>0.75</v>
      </c>
    </row>
    <row r="16129" spans="19:20" x14ac:dyDescent="0.25">
      <c r="S16129" s="78">
        <v>43516</v>
      </c>
      <c r="T16129" s="29">
        <v>0.75</v>
      </c>
    </row>
    <row r="16130" spans="19:20" x14ac:dyDescent="0.25">
      <c r="S16130" s="78">
        <v>43517</v>
      </c>
      <c r="T16130" s="29">
        <v>0.75</v>
      </c>
    </row>
    <row r="16131" spans="19:20" x14ac:dyDescent="0.25">
      <c r="S16131" s="78">
        <v>43518</v>
      </c>
      <c r="T16131" s="29">
        <v>0.75</v>
      </c>
    </row>
    <row r="16132" spans="19:20" x14ac:dyDescent="0.25">
      <c r="S16132" s="78">
        <v>43519</v>
      </c>
      <c r="T16132" s="29">
        <v>0.75</v>
      </c>
    </row>
    <row r="16133" spans="19:20" x14ac:dyDescent="0.25">
      <c r="S16133" s="78">
        <v>43520</v>
      </c>
      <c r="T16133" s="29">
        <v>0.75</v>
      </c>
    </row>
    <row r="16134" spans="19:20" x14ac:dyDescent="0.25">
      <c r="S16134" s="78">
        <v>43521</v>
      </c>
      <c r="T16134" s="29">
        <v>0.75</v>
      </c>
    </row>
    <row r="16135" spans="19:20" x14ac:dyDescent="0.25">
      <c r="S16135" s="78">
        <v>43522</v>
      </c>
      <c r="T16135" s="29">
        <v>0.75</v>
      </c>
    </row>
    <row r="16136" spans="19:20" x14ac:dyDescent="0.25">
      <c r="S16136" s="78">
        <v>43523</v>
      </c>
      <c r="T16136" s="29">
        <v>0.75</v>
      </c>
    </row>
    <row r="16137" spans="19:20" x14ac:dyDescent="0.25">
      <c r="S16137" s="78">
        <v>43524</v>
      </c>
      <c r="T16137" s="29">
        <v>0.75</v>
      </c>
    </row>
    <row r="16138" spans="19:20" x14ac:dyDescent="0.25">
      <c r="S16138" s="78">
        <v>43525</v>
      </c>
      <c r="T16138" s="29">
        <v>0.75</v>
      </c>
    </row>
    <row r="16139" spans="19:20" x14ac:dyDescent="0.25">
      <c r="S16139" s="78">
        <v>43526</v>
      </c>
      <c r="T16139" s="29">
        <v>0.75</v>
      </c>
    </row>
    <row r="16140" spans="19:20" x14ac:dyDescent="0.25">
      <c r="S16140" s="78">
        <v>43527</v>
      </c>
      <c r="T16140" s="29">
        <v>0.75</v>
      </c>
    </row>
    <row r="16141" spans="19:20" x14ac:dyDescent="0.25">
      <c r="S16141" s="78">
        <v>43528</v>
      </c>
      <c r="T16141" s="29">
        <v>0.75</v>
      </c>
    </row>
    <row r="16142" spans="19:20" x14ac:dyDescent="0.25">
      <c r="S16142" s="78">
        <v>43529</v>
      </c>
      <c r="T16142" s="29">
        <v>0.75</v>
      </c>
    </row>
    <row r="16143" spans="19:20" x14ac:dyDescent="0.25">
      <c r="S16143" s="78">
        <v>43530</v>
      </c>
      <c r="T16143" s="29">
        <v>0.75</v>
      </c>
    </row>
    <row r="16144" spans="19:20" x14ac:dyDescent="0.25">
      <c r="S16144" s="78">
        <v>43531</v>
      </c>
      <c r="T16144" s="29">
        <v>0.75</v>
      </c>
    </row>
    <row r="16145" spans="19:20" x14ac:dyDescent="0.25">
      <c r="S16145" s="78">
        <v>43532</v>
      </c>
      <c r="T16145" s="29">
        <v>0.75</v>
      </c>
    </row>
    <row r="16146" spans="19:20" x14ac:dyDescent="0.25">
      <c r="S16146" s="78">
        <v>43533</v>
      </c>
      <c r="T16146" s="29">
        <v>0.75</v>
      </c>
    </row>
    <row r="16147" spans="19:20" x14ac:dyDescent="0.25">
      <c r="S16147" s="78">
        <v>43534</v>
      </c>
      <c r="T16147" s="29">
        <v>0.75</v>
      </c>
    </row>
    <row r="16148" spans="19:20" x14ac:dyDescent="0.25">
      <c r="S16148" s="78">
        <v>43535</v>
      </c>
      <c r="T16148" s="29">
        <v>0.75</v>
      </c>
    </row>
    <row r="16149" spans="19:20" x14ac:dyDescent="0.25">
      <c r="S16149" s="78">
        <v>43536</v>
      </c>
      <c r="T16149" s="29">
        <v>0.75</v>
      </c>
    </row>
    <row r="16150" spans="19:20" x14ac:dyDescent="0.25">
      <c r="S16150" s="78">
        <v>43537</v>
      </c>
      <c r="T16150" s="29">
        <v>0.75</v>
      </c>
    </row>
    <row r="16151" spans="19:20" x14ac:dyDescent="0.25">
      <c r="S16151" s="78">
        <v>43538</v>
      </c>
      <c r="T16151" s="29">
        <v>0.75</v>
      </c>
    </row>
    <row r="16152" spans="19:20" x14ac:dyDescent="0.25">
      <c r="S16152" s="78">
        <v>43539</v>
      </c>
      <c r="T16152" s="29">
        <v>0.75</v>
      </c>
    </row>
    <row r="16153" spans="19:20" x14ac:dyDescent="0.25">
      <c r="S16153" s="78">
        <v>43540</v>
      </c>
      <c r="T16153" s="29">
        <v>0.75</v>
      </c>
    </row>
    <row r="16154" spans="19:20" x14ac:dyDescent="0.25">
      <c r="S16154" s="78">
        <v>43541</v>
      </c>
      <c r="T16154" s="29">
        <v>0.75</v>
      </c>
    </row>
    <row r="16155" spans="19:20" x14ac:dyDescent="0.25">
      <c r="S16155" s="78">
        <v>43542</v>
      </c>
      <c r="T16155" s="29">
        <v>0.75</v>
      </c>
    </row>
    <row r="16156" spans="19:20" x14ac:dyDescent="0.25">
      <c r="S16156" s="78">
        <v>43543</v>
      </c>
      <c r="T16156" s="29">
        <v>0.75</v>
      </c>
    </row>
    <row r="16157" spans="19:20" x14ac:dyDescent="0.25">
      <c r="S16157" s="78">
        <v>43544</v>
      </c>
      <c r="T16157" s="29">
        <v>0.75</v>
      </c>
    </row>
    <row r="16158" spans="19:20" x14ac:dyDescent="0.25">
      <c r="S16158" s="78">
        <v>43545</v>
      </c>
      <c r="T16158" s="29">
        <v>0.75</v>
      </c>
    </row>
    <row r="16159" spans="19:20" x14ac:dyDescent="0.25">
      <c r="S16159" s="78">
        <v>43546</v>
      </c>
      <c r="T16159" s="29">
        <v>0.75</v>
      </c>
    </row>
    <row r="16160" spans="19:20" x14ac:dyDescent="0.25">
      <c r="S16160" s="78">
        <v>43547</v>
      </c>
      <c r="T16160" s="29">
        <v>0.75</v>
      </c>
    </row>
    <row r="16161" spans="19:21" x14ac:dyDescent="0.25">
      <c r="S16161" s="78">
        <v>43548</v>
      </c>
      <c r="T16161" s="29">
        <v>0.75</v>
      </c>
    </row>
    <row r="16162" spans="19:21" x14ac:dyDescent="0.25">
      <c r="S16162" s="78">
        <v>43549</v>
      </c>
      <c r="T16162" s="29">
        <v>0.75</v>
      </c>
    </row>
    <row r="16163" spans="19:21" x14ac:dyDescent="0.25">
      <c r="S16163" s="78">
        <v>43550</v>
      </c>
      <c r="T16163" s="29">
        <v>0.75</v>
      </c>
    </row>
    <row r="16164" spans="19:21" x14ac:dyDescent="0.25">
      <c r="S16164" s="78">
        <v>43551</v>
      </c>
      <c r="T16164" s="29">
        <v>0.75</v>
      </c>
    </row>
    <row r="16165" spans="19:21" x14ac:dyDescent="0.25">
      <c r="S16165" s="78">
        <v>43552</v>
      </c>
      <c r="T16165" s="29">
        <v>0.75</v>
      </c>
    </row>
    <row r="16166" spans="19:21" x14ac:dyDescent="0.25">
      <c r="S16166" s="78">
        <v>43553</v>
      </c>
      <c r="T16166" s="29">
        <v>0.75</v>
      </c>
    </row>
    <row r="16167" spans="19:21" x14ac:dyDescent="0.25">
      <c r="S16167" s="78">
        <v>43554</v>
      </c>
      <c r="T16167" s="29">
        <v>0.75</v>
      </c>
    </row>
    <row r="16168" spans="19:21" x14ac:dyDescent="0.25">
      <c r="S16168" s="78">
        <v>43555</v>
      </c>
      <c r="T16168" s="29">
        <v>0.75</v>
      </c>
      <c r="U16168" s="29">
        <f>AVERAGE(T16079:T16168)</f>
        <v>0.75</v>
      </c>
    </row>
    <row r="16169" spans="19:21" x14ac:dyDescent="0.25">
      <c r="S16169" s="78">
        <v>43556</v>
      </c>
      <c r="T16169" s="29">
        <v>0.75</v>
      </c>
    </row>
    <row r="16170" spans="19:21" x14ac:dyDescent="0.25">
      <c r="S16170" s="78">
        <v>43557</v>
      </c>
      <c r="T16170" s="29">
        <v>0.75</v>
      </c>
    </row>
    <row r="16171" spans="19:21" x14ac:dyDescent="0.25">
      <c r="S16171" s="78">
        <v>43558</v>
      </c>
      <c r="T16171" s="29">
        <v>0.75</v>
      </c>
    </row>
    <row r="16172" spans="19:21" x14ac:dyDescent="0.25">
      <c r="S16172" s="78">
        <v>43559</v>
      </c>
      <c r="T16172" s="29">
        <v>0.75</v>
      </c>
    </row>
    <row r="16173" spans="19:21" x14ac:dyDescent="0.25">
      <c r="S16173" s="78">
        <v>43560</v>
      </c>
      <c r="T16173" s="29">
        <v>0.75</v>
      </c>
    </row>
    <row r="16174" spans="19:21" x14ac:dyDescent="0.25">
      <c r="S16174" s="78">
        <v>43561</v>
      </c>
      <c r="T16174" s="29">
        <v>0.75</v>
      </c>
    </row>
    <row r="16175" spans="19:21" x14ac:dyDescent="0.25">
      <c r="S16175" s="78">
        <v>43562</v>
      </c>
      <c r="T16175" s="29">
        <v>0.75</v>
      </c>
    </row>
    <row r="16176" spans="19:21" x14ac:dyDescent="0.25">
      <c r="S16176" s="78">
        <v>43563</v>
      </c>
      <c r="T16176" s="29">
        <v>0.75</v>
      </c>
    </row>
    <row r="16177" spans="19:20" x14ac:dyDescent="0.25">
      <c r="S16177" s="78">
        <v>43564</v>
      </c>
      <c r="T16177" s="29">
        <v>0.75</v>
      </c>
    </row>
    <row r="16178" spans="19:20" x14ac:dyDescent="0.25">
      <c r="S16178" s="78">
        <v>43565</v>
      </c>
      <c r="T16178" s="29">
        <v>0.75</v>
      </c>
    </row>
    <row r="16179" spans="19:20" x14ac:dyDescent="0.25">
      <c r="S16179" s="78">
        <v>43566</v>
      </c>
      <c r="T16179" s="29">
        <v>0.75</v>
      </c>
    </row>
    <row r="16180" spans="19:20" x14ac:dyDescent="0.25">
      <c r="S16180" s="78">
        <v>43567</v>
      </c>
      <c r="T16180" s="29">
        <v>0.75</v>
      </c>
    </row>
    <row r="16181" spans="19:20" x14ac:dyDescent="0.25">
      <c r="S16181" s="78">
        <v>43568</v>
      </c>
      <c r="T16181" s="29">
        <v>0.75</v>
      </c>
    </row>
    <row r="16182" spans="19:20" x14ac:dyDescent="0.25">
      <c r="S16182" s="78">
        <v>43569</v>
      </c>
      <c r="T16182" s="29">
        <v>0.75</v>
      </c>
    </row>
    <row r="16183" spans="19:20" x14ac:dyDescent="0.25">
      <c r="S16183" s="78">
        <v>43570</v>
      </c>
      <c r="T16183" s="29">
        <v>0.75</v>
      </c>
    </row>
    <row r="16184" spans="19:20" x14ac:dyDescent="0.25">
      <c r="S16184" s="78">
        <v>43571</v>
      </c>
      <c r="T16184" s="29">
        <v>0.75</v>
      </c>
    </row>
    <row r="16185" spans="19:20" x14ac:dyDescent="0.25">
      <c r="S16185" s="78">
        <v>43572</v>
      </c>
      <c r="T16185" s="29">
        <v>0.75</v>
      </c>
    </row>
    <row r="16186" spans="19:20" x14ac:dyDescent="0.25">
      <c r="S16186" s="78">
        <v>43573</v>
      </c>
      <c r="T16186" s="29">
        <v>0.75</v>
      </c>
    </row>
    <row r="16187" spans="19:20" x14ac:dyDescent="0.25">
      <c r="S16187" s="78">
        <v>43574</v>
      </c>
      <c r="T16187" s="29">
        <v>0.75</v>
      </c>
    </row>
    <row r="16188" spans="19:20" x14ac:dyDescent="0.25">
      <c r="S16188" s="78">
        <v>43575</v>
      </c>
      <c r="T16188" s="29">
        <v>0.75</v>
      </c>
    </row>
    <row r="16189" spans="19:20" x14ac:dyDescent="0.25">
      <c r="S16189" s="78">
        <v>43576</v>
      </c>
      <c r="T16189" s="29">
        <v>0.75</v>
      </c>
    </row>
    <row r="16190" spans="19:20" x14ac:dyDescent="0.25">
      <c r="S16190" s="78">
        <v>43577</v>
      </c>
      <c r="T16190" s="29">
        <v>0.75</v>
      </c>
    </row>
    <row r="16191" spans="19:20" x14ac:dyDescent="0.25">
      <c r="S16191" s="78">
        <v>43578</v>
      </c>
      <c r="T16191" s="29">
        <v>0.75</v>
      </c>
    </row>
    <row r="16192" spans="19:20" x14ac:dyDescent="0.25">
      <c r="S16192" s="78">
        <v>43579</v>
      </c>
      <c r="T16192" s="29">
        <v>0.75</v>
      </c>
    </row>
    <row r="16193" spans="19:20" x14ac:dyDescent="0.25">
      <c r="S16193" s="78">
        <v>43580</v>
      </c>
      <c r="T16193" s="29">
        <v>0.75</v>
      </c>
    </row>
    <row r="16194" spans="19:20" x14ac:dyDescent="0.25">
      <c r="S16194" s="78">
        <v>43581</v>
      </c>
      <c r="T16194" s="29">
        <v>0.75</v>
      </c>
    </row>
    <row r="16195" spans="19:20" x14ac:dyDescent="0.25">
      <c r="S16195" s="78">
        <v>43582</v>
      </c>
      <c r="T16195" s="29">
        <v>0.75</v>
      </c>
    </row>
    <row r="16196" spans="19:20" x14ac:dyDescent="0.25">
      <c r="S16196" s="78">
        <v>43583</v>
      </c>
      <c r="T16196" s="29">
        <v>0.75</v>
      </c>
    </row>
    <row r="16197" spans="19:20" x14ac:dyDescent="0.25">
      <c r="S16197" s="78">
        <v>43584</v>
      </c>
      <c r="T16197" s="29">
        <v>0.75</v>
      </c>
    </row>
    <row r="16198" spans="19:20" x14ac:dyDescent="0.25">
      <c r="S16198" s="78">
        <v>43585</v>
      </c>
      <c r="T16198" s="29">
        <v>0.75</v>
      </c>
    </row>
    <row r="16199" spans="19:20" x14ac:dyDescent="0.25">
      <c r="S16199" s="78">
        <v>43586</v>
      </c>
      <c r="T16199" s="29">
        <v>0.75</v>
      </c>
    </row>
    <row r="16200" spans="19:20" x14ac:dyDescent="0.25">
      <c r="S16200" s="78">
        <v>43587</v>
      </c>
      <c r="T16200" s="29">
        <v>0.75</v>
      </c>
    </row>
    <row r="16201" spans="19:20" x14ac:dyDescent="0.25">
      <c r="S16201" s="78">
        <v>43588</v>
      </c>
      <c r="T16201" s="29">
        <v>0.75</v>
      </c>
    </row>
    <row r="16202" spans="19:20" x14ac:dyDescent="0.25">
      <c r="S16202" s="78">
        <v>43589</v>
      </c>
      <c r="T16202" s="29">
        <v>0.75</v>
      </c>
    </row>
    <row r="16203" spans="19:20" x14ac:dyDescent="0.25">
      <c r="S16203" s="78">
        <v>43590</v>
      </c>
      <c r="T16203" s="29">
        <v>0.75</v>
      </c>
    </row>
    <row r="16204" spans="19:20" x14ac:dyDescent="0.25">
      <c r="S16204" s="78">
        <v>43591</v>
      </c>
      <c r="T16204" s="29">
        <v>0.75</v>
      </c>
    </row>
    <row r="16205" spans="19:20" x14ac:dyDescent="0.25">
      <c r="S16205" s="78">
        <v>43592</v>
      </c>
      <c r="T16205" s="29">
        <v>0.75</v>
      </c>
    </row>
    <row r="16206" spans="19:20" x14ac:dyDescent="0.25">
      <c r="S16206" s="78">
        <v>43593</v>
      </c>
      <c r="T16206" s="29">
        <v>0.75</v>
      </c>
    </row>
    <row r="16207" spans="19:20" x14ac:dyDescent="0.25">
      <c r="S16207" s="78">
        <v>43594</v>
      </c>
      <c r="T16207" s="29">
        <v>0.75</v>
      </c>
    </row>
    <row r="16208" spans="19:20" x14ac:dyDescent="0.25">
      <c r="S16208" s="78">
        <v>43595</v>
      </c>
      <c r="T16208" s="29">
        <v>0.75</v>
      </c>
    </row>
    <row r="16209" spans="19:20" x14ac:dyDescent="0.25">
      <c r="S16209" s="78">
        <v>43596</v>
      </c>
      <c r="T16209" s="29">
        <v>0.75</v>
      </c>
    </row>
    <row r="16210" spans="19:20" x14ac:dyDescent="0.25">
      <c r="S16210" s="78">
        <v>43597</v>
      </c>
      <c r="T16210" s="29">
        <v>0.75</v>
      </c>
    </row>
    <row r="16211" spans="19:20" x14ac:dyDescent="0.25">
      <c r="S16211" s="78">
        <v>43598</v>
      </c>
      <c r="T16211" s="29">
        <v>0.75</v>
      </c>
    </row>
    <row r="16212" spans="19:20" x14ac:dyDescent="0.25">
      <c r="S16212" s="78">
        <v>43599</v>
      </c>
      <c r="T16212" s="29">
        <v>0.75</v>
      </c>
    </row>
    <row r="16213" spans="19:20" x14ac:dyDescent="0.25">
      <c r="S16213" s="78">
        <v>43600</v>
      </c>
      <c r="T16213" s="29">
        <v>0.75</v>
      </c>
    </row>
    <row r="16214" spans="19:20" x14ac:dyDescent="0.25">
      <c r="S16214" s="78">
        <v>43601</v>
      </c>
      <c r="T16214" s="29">
        <v>0.75</v>
      </c>
    </row>
    <row r="16215" spans="19:20" x14ac:dyDescent="0.25">
      <c r="S16215" s="78">
        <v>43602</v>
      </c>
      <c r="T16215" s="29">
        <v>0.75</v>
      </c>
    </row>
    <row r="16216" spans="19:20" x14ac:dyDescent="0.25">
      <c r="S16216" s="78">
        <v>43603</v>
      </c>
      <c r="T16216" s="29">
        <v>0.75</v>
      </c>
    </row>
    <row r="16217" spans="19:20" x14ac:dyDescent="0.25">
      <c r="S16217" s="78">
        <v>43604</v>
      </c>
      <c r="T16217" s="29">
        <v>0.75</v>
      </c>
    </row>
    <row r="16218" spans="19:20" x14ac:dyDescent="0.25">
      <c r="S16218" s="78">
        <v>43605</v>
      </c>
      <c r="T16218" s="29">
        <v>0.75</v>
      </c>
    </row>
    <row r="16219" spans="19:20" x14ac:dyDescent="0.25">
      <c r="S16219" s="78">
        <v>43606</v>
      </c>
      <c r="T16219" s="29">
        <v>0.75</v>
      </c>
    </row>
    <row r="16220" spans="19:20" x14ac:dyDescent="0.25">
      <c r="S16220" s="78">
        <v>43607</v>
      </c>
      <c r="T16220" s="29">
        <v>0.75</v>
      </c>
    </row>
    <row r="16221" spans="19:20" x14ac:dyDescent="0.25">
      <c r="S16221" s="78">
        <v>43608</v>
      </c>
      <c r="T16221" s="29">
        <v>0.75</v>
      </c>
    </row>
    <row r="16222" spans="19:20" x14ac:dyDescent="0.25">
      <c r="S16222" s="78">
        <v>43609</v>
      </c>
      <c r="T16222" s="29">
        <v>0.75</v>
      </c>
    </row>
    <row r="16223" spans="19:20" x14ac:dyDescent="0.25">
      <c r="S16223" s="78">
        <v>43610</v>
      </c>
      <c r="T16223" s="29">
        <v>0.75</v>
      </c>
    </row>
    <row r="16224" spans="19:20" x14ac:dyDescent="0.25">
      <c r="S16224" s="78">
        <v>43611</v>
      </c>
      <c r="T16224" s="29">
        <v>0.75</v>
      </c>
    </row>
    <row r="16225" spans="19:20" x14ac:dyDescent="0.25">
      <c r="S16225" s="78">
        <v>43612</v>
      </c>
      <c r="T16225" s="29">
        <v>0.75</v>
      </c>
    </row>
    <row r="16226" spans="19:20" x14ac:dyDescent="0.25">
      <c r="S16226" s="78">
        <v>43613</v>
      </c>
      <c r="T16226" s="29">
        <v>0.75</v>
      </c>
    </row>
    <row r="16227" spans="19:20" x14ac:dyDescent="0.25">
      <c r="S16227" s="78">
        <v>43614</v>
      </c>
      <c r="T16227" s="29">
        <v>0.75</v>
      </c>
    </row>
    <row r="16228" spans="19:20" x14ac:dyDescent="0.25">
      <c r="S16228" s="78">
        <v>43615</v>
      </c>
      <c r="T16228" s="29">
        <v>0.75</v>
      </c>
    </row>
    <row r="16229" spans="19:20" x14ac:dyDescent="0.25">
      <c r="S16229" s="78">
        <v>43616</v>
      </c>
      <c r="T16229" s="29">
        <v>0.75</v>
      </c>
    </row>
    <row r="16230" spans="19:20" x14ac:dyDescent="0.25">
      <c r="S16230" s="78">
        <v>43617</v>
      </c>
      <c r="T16230" s="29">
        <v>0.75</v>
      </c>
    </row>
    <row r="16231" spans="19:20" x14ac:dyDescent="0.25">
      <c r="S16231" s="78">
        <v>43618</v>
      </c>
      <c r="T16231" s="29">
        <v>0.75</v>
      </c>
    </row>
    <row r="16232" spans="19:20" x14ac:dyDescent="0.25">
      <c r="S16232" s="78">
        <v>43619</v>
      </c>
      <c r="T16232" s="29">
        <v>0.75</v>
      </c>
    </row>
    <row r="16233" spans="19:20" x14ac:dyDescent="0.25">
      <c r="S16233" s="78">
        <v>43620</v>
      </c>
      <c r="T16233" s="29">
        <v>0.75</v>
      </c>
    </row>
    <row r="16234" spans="19:20" x14ac:dyDescent="0.25">
      <c r="S16234" s="78">
        <v>43621</v>
      </c>
      <c r="T16234" s="29">
        <v>0.75</v>
      </c>
    </row>
    <row r="16235" spans="19:20" x14ac:dyDescent="0.25">
      <c r="S16235" s="78">
        <v>43622</v>
      </c>
      <c r="T16235" s="29">
        <v>0.75</v>
      </c>
    </row>
    <row r="16236" spans="19:20" x14ac:dyDescent="0.25">
      <c r="S16236" s="78">
        <v>43623</v>
      </c>
      <c r="T16236" s="29">
        <v>0.75</v>
      </c>
    </row>
    <row r="16237" spans="19:20" x14ac:dyDescent="0.25">
      <c r="S16237" s="78">
        <v>43624</v>
      </c>
      <c r="T16237" s="29">
        <v>0.75</v>
      </c>
    </row>
    <row r="16238" spans="19:20" x14ac:dyDescent="0.25">
      <c r="S16238" s="78">
        <v>43625</v>
      </c>
      <c r="T16238" s="29">
        <v>0.75</v>
      </c>
    </row>
    <row r="16239" spans="19:20" x14ac:dyDescent="0.25">
      <c r="S16239" s="78">
        <v>43626</v>
      </c>
      <c r="T16239" s="29">
        <v>0.75</v>
      </c>
    </row>
    <row r="16240" spans="19:20" x14ac:dyDescent="0.25">
      <c r="S16240" s="78">
        <v>43627</v>
      </c>
      <c r="T16240" s="29">
        <v>0.75</v>
      </c>
    </row>
    <row r="16241" spans="19:20" x14ac:dyDescent="0.25">
      <c r="S16241" s="78">
        <v>43628</v>
      </c>
      <c r="T16241" s="29">
        <v>0.75</v>
      </c>
    </row>
    <row r="16242" spans="19:20" x14ac:dyDescent="0.25">
      <c r="S16242" s="78">
        <v>43629</v>
      </c>
      <c r="T16242" s="29">
        <v>0.75</v>
      </c>
    </row>
    <row r="16243" spans="19:20" x14ac:dyDescent="0.25">
      <c r="S16243" s="78">
        <v>43630</v>
      </c>
      <c r="T16243" s="29">
        <v>0.75</v>
      </c>
    </row>
    <row r="16244" spans="19:20" x14ac:dyDescent="0.25">
      <c r="S16244" s="78">
        <v>43631</v>
      </c>
      <c r="T16244" s="29">
        <v>0.75</v>
      </c>
    </row>
    <row r="16245" spans="19:20" x14ac:dyDescent="0.25">
      <c r="S16245" s="78">
        <v>43632</v>
      </c>
      <c r="T16245" s="29">
        <v>0.75</v>
      </c>
    </row>
    <row r="16246" spans="19:20" x14ac:dyDescent="0.25">
      <c r="S16246" s="78">
        <v>43633</v>
      </c>
      <c r="T16246" s="29">
        <v>0.75</v>
      </c>
    </row>
    <row r="16247" spans="19:20" x14ac:dyDescent="0.25">
      <c r="S16247" s="78">
        <v>43634</v>
      </c>
      <c r="T16247" s="29">
        <v>0.75</v>
      </c>
    </row>
    <row r="16248" spans="19:20" x14ac:dyDescent="0.25">
      <c r="S16248" s="78">
        <v>43635</v>
      </c>
      <c r="T16248" s="29">
        <v>0.75</v>
      </c>
    </row>
    <row r="16249" spans="19:20" x14ac:dyDescent="0.25">
      <c r="S16249" s="78">
        <v>43636</v>
      </c>
      <c r="T16249" s="29">
        <v>0.75</v>
      </c>
    </row>
    <row r="16250" spans="19:20" x14ac:dyDescent="0.25">
      <c r="S16250" s="78">
        <v>43637</v>
      </c>
      <c r="T16250" s="29">
        <v>0.75</v>
      </c>
    </row>
    <row r="16251" spans="19:20" x14ac:dyDescent="0.25">
      <c r="S16251" s="78">
        <v>43638</v>
      </c>
      <c r="T16251" s="29">
        <v>0.75</v>
      </c>
    </row>
    <row r="16252" spans="19:20" x14ac:dyDescent="0.25">
      <c r="S16252" s="78">
        <v>43639</v>
      </c>
      <c r="T16252" s="29">
        <v>0.75</v>
      </c>
    </row>
    <row r="16253" spans="19:20" x14ac:dyDescent="0.25">
      <c r="S16253" s="78">
        <v>43640</v>
      </c>
      <c r="T16253" s="29">
        <v>0.75</v>
      </c>
    </row>
    <row r="16254" spans="19:20" x14ac:dyDescent="0.25">
      <c r="S16254" s="78">
        <v>43641</v>
      </c>
      <c r="T16254" s="29">
        <v>0.75</v>
      </c>
    </row>
    <row r="16255" spans="19:20" x14ac:dyDescent="0.25">
      <c r="S16255" s="78">
        <v>43642</v>
      </c>
      <c r="T16255" s="29">
        <v>0.75</v>
      </c>
    </row>
    <row r="16256" spans="19:20" x14ac:dyDescent="0.25">
      <c r="S16256" s="78">
        <v>43643</v>
      </c>
      <c r="T16256" s="29">
        <v>0.75</v>
      </c>
    </row>
    <row r="16257" spans="19:21" x14ac:dyDescent="0.25">
      <c r="S16257" s="78">
        <v>43644</v>
      </c>
      <c r="T16257" s="29">
        <v>0.75</v>
      </c>
    </row>
    <row r="16258" spans="19:21" x14ac:dyDescent="0.25">
      <c r="S16258" s="78">
        <v>43645</v>
      </c>
      <c r="T16258" s="29">
        <v>0.75</v>
      </c>
    </row>
    <row r="16259" spans="19:21" x14ac:dyDescent="0.25">
      <c r="S16259" s="78">
        <v>43646</v>
      </c>
      <c r="T16259" s="29">
        <v>0.75</v>
      </c>
      <c r="U16259" s="29">
        <f>AVERAGE(T16169:T16259)</f>
        <v>0.75</v>
      </c>
    </row>
    <row r="16260" spans="19:21" x14ac:dyDescent="0.25">
      <c r="S16260" s="78">
        <v>43647</v>
      </c>
      <c r="T16260" s="29">
        <v>0.75</v>
      </c>
    </row>
    <row r="16261" spans="19:21" x14ac:dyDescent="0.25">
      <c r="S16261" s="78">
        <v>43648</v>
      </c>
      <c r="T16261" s="29">
        <v>0.75</v>
      </c>
    </row>
    <row r="16262" spans="19:21" x14ac:dyDescent="0.25">
      <c r="S16262" s="78">
        <v>43649</v>
      </c>
      <c r="T16262" s="29">
        <v>0.75</v>
      </c>
    </row>
    <row r="16263" spans="19:21" x14ac:dyDescent="0.25">
      <c r="S16263" s="78">
        <v>43650</v>
      </c>
      <c r="T16263" s="29">
        <v>0.75</v>
      </c>
    </row>
    <row r="16264" spans="19:21" x14ac:dyDescent="0.25">
      <c r="S16264" s="78">
        <v>43651</v>
      </c>
      <c r="T16264" s="29">
        <v>0.75</v>
      </c>
    </row>
    <row r="16265" spans="19:21" x14ac:dyDescent="0.25">
      <c r="S16265" s="78">
        <v>43652</v>
      </c>
      <c r="T16265" s="29">
        <v>0.75</v>
      </c>
    </row>
    <row r="16266" spans="19:21" x14ac:dyDescent="0.25">
      <c r="S16266" s="78">
        <v>43653</v>
      </c>
      <c r="T16266" s="29">
        <v>0.75</v>
      </c>
    </row>
    <row r="16267" spans="19:21" x14ac:dyDescent="0.25">
      <c r="S16267" s="78">
        <v>43654</v>
      </c>
      <c r="T16267" s="29">
        <v>0.75</v>
      </c>
    </row>
    <row r="16268" spans="19:21" x14ac:dyDescent="0.25">
      <c r="S16268" s="78">
        <v>43655</v>
      </c>
      <c r="T16268" s="29">
        <v>0.75</v>
      </c>
    </row>
    <row r="16269" spans="19:21" x14ac:dyDescent="0.25">
      <c r="S16269" s="78">
        <v>43656</v>
      </c>
      <c r="T16269" s="29">
        <v>0.75</v>
      </c>
    </row>
    <row r="16270" spans="19:21" x14ac:dyDescent="0.25">
      <c r="S16270" s="78">
        <v>43657</v>
      </c>
      <c r="T16270" s="29">
        <v>0.75</v>
      </c>
    </row>
    <row r="16271" spans="19:21" x14ac:dyDescent="0.25">
      <c r="S16271" s="78">
        <v>43658</v>
      </c>
      <c r="T16271" s="29">
        <v>0.75</v>
      </c>
    </row>
    <row r="16272" spans="19:21" x14ac:dyDescent="0.25">
      <c r="S16272" s="78">
        <v>43659</v>
      </c>
      <c r="T16272" s="29">
        <v>0.75</v>
      </c>
    </row>
    <row r="16273" spans="19:20" x14ac:dyDescent="0.25">
      <c r="S16273" s="78">
        <v>43660</v>
      </c>
      <c r="T16273" s="29">
        <v>0.75</v>
      </c>
    </row>
    <row r="16274" spans="19:20" x14ac:dyDescent="0.25">
      <c r="S16274" s="78">
        <v>43661</v>
      </c>
      <c r="T16274" s="29">
        <v>0.75</v>
      </c>
    </row>
    <row r="16275" spans="19:20" x14ac:dyDescent="0.25">
      <c r="S16275" s="78">
        <v>43662</v>
      </c>
      <c r="T16275" s="29">
        <v>0.75</v>
      </c>
    </row>
    <row r="16276" spans="19:20" x14ac:dyDescent="0.25">
      <c r="S16276" s="78">
        <v>43663</v>
      </c>
      <c r="T16276" s="29">
        <v>0.75</v>
      </c>
    </row>
    <row r="16277" spans="19:20" x14ac:dyDescent="0.25">
      <c r="S16277" s="78">
        <v>43664</v>
      </c>
      <c r="T16277" s="29">
        <v>0.75</v>
      </c>
    </row>
    <row r="16278" spans="19:20" x14ac:dyDescent="0.25">
      <c r="S16278" s="78">
        <v>43665</v>
      </c>
      <c r="T16278" s="29">
        <v>0.75</v>
      </c>
    </row>
    <row r="16279" spans="19:20" x14ac:dyDescent="0.25">
      <c r="S16279" s="78">
        <v>43666</v>
      </c>
      <c r="T16279" s="29">
        <v>0.75</v>
      </c>
    </row>
    <row r="16280" spans="19:20" x14ac:dyDescent="0.25">
      <c r="S16280" s="78">
        <v>43667</v>
      </c>
      <c r="T16280" s="29">
        <v>0.75</v>
      </c>
    </row>
    <row r="16281" spans="19:20" x14ac:dyDescent="0.25">
      <c r="S16281" s="78">
        <v>43668</v>
      </c>
      <c r="T16281" s="29">
        <v>0.75</v>
      </c>
    </row>
    <row r="16282" spans="19:20" x14ac:dyDescent="0.25">
      <c r="S16282" s="78">
        <v>43669</v>
      </c>
      <c r="T16282" s="29">
        <v>0.75</v>
      </c>
    </row>
    <row r="16283" spans="19:20" x14ac:dyDescent="0.25">
      <c r="S16283" s="78">
        <v>43670</v>
      </c>
      <c r="T16283" s="29">
        <v>0.75</v>
      </c>
    </row>
    <row r="16284" spans="19:20" x14ac:dyDescent="0.25">
      <c r="S16284" s="78">
        <v>43671</v>
      </c>
      <c r="T16284" s="29">
        <v>0.75</v>
      </c>
    </row>
    <row r="16285" spans="19:20" x14ac:dyDescent="0.25">
      <c r="S16285" s="78">
        <v>43672</v>
      </c>
      <c r="T16285" s="29">
        <v>0.75</v>
      </c>
    </row>
    <row r="16286" spans="19:20" x14ac:dyDescent="0.25">
      <c r="S16286" s="78">
        <v>43673</v>
      </c>
      <c r="T16286" s="29">
        <v>0.75</v>
      </c>
    </row>
    <row r="16287" spans="19:20" x14ac:dyDescent="0.25">
      <c r="S16287" s="78">
        <v>43674</v>
      </c>
      <c r="T16287" s="29">
        <v>0.75</v>
      </c>
    </row>
    <row r="16288" spans="19:20" x14ac:dyDescent="0.25">
      <c r="S16288" s="78">
        <v>43675</v>
      </c>
      <c r="T16288" s="29">
        <v>0.75</v>
      </c>
    </row>
    <row r="16289" spans="19:20" x14ac:dyDescent="0.25">
      <c r="S16289" s="78">
        <v>43676</v>
      </c>
      <c r="T16289" s="29">
        <v>0.75</v>
      </c>
    </row>
    <row r="16290" spans="19:20" x14ac:dyDescent="0.25">
      <c r="S16290" s="78">
        <v>43677</v>
      </c>
      <c r="T16290" s="29">
        <v>0.75</v>
      </c>
    </row>
    <row r="16291" spans="19:20" x14ac:dyDescent="0.25">
      <c r="S16291" s="78">
        <v>43678</v>
      </c>
      <c r="T16291" s="29">
        <v>0.75</v>
      </c>
    </row>
    <row r="16292" spans="19:20" x14ac:dyDescent="0.25">
      <c r="S16292" s="78">
        <v>43679</v>
      </c>
      <c r="T16292" s="29">
        <v>0.75</v>
      </c>
    </row>
    <row r="16293" spans="19:20" x14ac:dyDescent="0.25">
      <c r="S16293" s="78">
        <v>43680</v>
      </c>
      <c r="T16293" s="29">
        <v>0.75</v>
      </c>
    </row>
    <row r="16294" spans="19:20" x14ac:dyDescent="0.25">
      <c r="S16294" s="78">
        <v>43681</v>
      </c>
      <c r="T16294" s="29">
        <v>0.75</v>
      </c>
    </row>
    <row r="16295" spans="19:20" x14ac:dyDescent="0.25">
      <c r="S16295" s="78">
        <v>43682</v>
      </c>
      <c r="T16295" s="29">
        <v>0.75</v>
      </c>
    </row>
    <row r="16296" spans="19:20" x14ac:dyDescent="0.25">
      <c r="S16296" s="78">
        <v>43683</v>
      </c>
      <c r="T16296" s="29">
        <v>0.75</v>
      </c>
    </row>
    <row r="16297" spans="19:20" x14ac:dyDescent="0.25">
      <c r="S16297" s="78">
        <v>43684</v>
      </c>
      <c r="T16297" s="29">
        <v>0.75</v>
      </c>
    </row>
    <row r="16298" spans="19:20" x14ac:dyDescent="0.25">
      <c r="S16298" s="78">
        <v>43685</v>
      </c>
      <c r="T16298" s="29">
        <v>0.75</v>
      </c>
    </row>
    <row r="16299" spans="19:20" x14ac:dyDescent="0.25">
      <c r="S16299" s="78">
        <v>43686</v>
      </c>
      <c r="T16299" s="29">
        <v>0.75</v>
      </c>
    </row>
    <row r="16300" spans="19:20" x14ac:dyDescent="0.25">
      <c r="S16300" s="78">
        <v>43687</v>
      </c>
      <c r="T16300" s="29">
        <v>0.75</v>
      </c>
    </row>
    <row r="16301" spans="19:20" x14ac:dyDescent="0.25">
      <c r="S16301" s="78">
        <v>43688</v>
      </c>
      <c r="T16301" s="29">
        <v>0.75</v>
      </c>
    </row>
    <row r="16302" spans="19:20" x14ac:dyDescent="0.25">
      <c r="S16302" s="78">
        <v>43689</v>
      </c>
      <c r="T16302" s="29">
        <v>0.75</v>
      </c>
    </row>
    <row r="16303" spans="19:20" x14ac:dyDescent="0.25">
      <c r="S16303" s="78">
        <v>43690</v>
      </c>
      <c r="T16303" s="29">
        <v>0.75</v>
      </c>
    </row>
    <row r="16304" spans="19:20" x14ac:dyDescent="0.25">
      <c r="S16304" s="78">
        <v>43691</v>
      </c>
      <c r="T16304" s="29">
        <v>0.75</v>
      </c>
    </row>
    <row r="16305" spans="19:20" x14ac:dyDescent="0.25">
      <c r="S16305" s="78">
        <v>43692</v>
      </c>
      <c r="T16305" s="29">
        <v>0.75</v>
      </c>
    </row>
    <row r="16306" spans="19:20" x14ac:dyDescent="0.25">
      <c r="S16306" s="78">
        <v>43693</v>
      </c>
      <c r="T16306" s="29">
        <v>0.75</v>
      </c>
    </row>
    <row r="16307" spans="19:20" x14ac:dyDescent="0.25">
      <c r="S16307" s="78">
        <v>43694</v>
      </c>
      <c r="T16307" s="29">
        <v>0.75</v>
      </c>
    </row>
    <row r="16308" spans="19:20" x14ac:dyDescent="0.25">
      <c r="S16308" s="78">
        <v>43695</v>
      </c>
      <c r="T16308" s="29">
        <v>0.75</v>
      </c>
    </row>
    <row r="16309" spans="19:20" x14ac:dyDescent="0.25">
      <c r="S16309" s="78">
        <v>43696</v>
      </c>
      <c r="T16309" s="29">
        <v>0.75</v>
      </c>
    </row>
    <row r="16310" spans="19:20" x14ac:dyDescent="0.25">
      <c r="S16310" s="78">
        <v>43697</v>
      </c>
      <c r="T16310" s="29">
        <v>0.75</v>
      </c>
    </row>
    <row r="16311" spans="19:20" x14ac:dyDescent="0.25">
      <c r="S16311" s="78">
        <v>43698</v>
      </c>
      <c r="T16311" s="29">
        <v>0.75</v>
      </c>
    </row>
    <row r="16312" spans="19:20" x14ac:dyDescent="0.25">
      <c r="S16312" s="78">
        <v>43699</v>
      </c>
      <c r="T16312" s="29">
        <v>0.75</v>
      </c>
    </row>
    <row r="16313" spans="19:20" x14ac:dyDescent="0.25">
      <c r="S16313" s="78">
        <v>43700</v>
      </c>
      <c r="T16313" s="29">
        <v>0.75</v>
      </c>
    </row>
    <row r="16314" spans="19:20" x14ac:dyDescent="0.25">
      <c r="S16314" s="78">
        <v>43701</v>
      </c>
      <c r="T16314" s="29">
        <v>0.75</v>
      </c>
    </row>
    <row r="16315" spans="19:20" x14ac:dyDescent="0.25">
      <c r="S16315" s="78">
        <v>43702</v>
      </c>
      <c r="T16315" s="29">
        <v>0.75</v>
      </c>
    </row>
    <row r="16316" spans="19:20" x14ac:dyDescent="0.25">
      <c r="S16316" s="78">
        <v>43703</v>
      </c>
      <c r="T16316" s="29">
        <v>0.75</v>
      </c>
    </row>
    <row r="16317" spans="19:20" x14ac:dyDescent="0.25">
      <c r="S16317" s="78">
        <v>43704</v>
      </c>
      <c r="T16317" s="29">
        <v>0.75</v>
      </c>
    </row>
    <row r="16318" spans="19:20" x14ac:dyDescent="0.25">
      <c r="S16318" s="78">
        <v>43705</v>
      </c>
      <c r="T16318" s="29">
        <v>0.75</v>
      </c>
    </row>
    <row r="16319" spans="19:20" x14ac:dyDescent="0.25">
      <c r="S16319" s="78">
        <v>43706</v>
      </c>
      <c r="T16319" s="29">
        <v>0.75</v>
      </c>
    </row>
    <row r="16320" spans="19:20" x14ac:dyDescent="0.25">
      <c r="S16320" s="78">
        <v>43707</v>
      </c>
      <c r="T16320" s="29">
        <v>0.75</v>
      </c>
    </row>
    <row r="16321" spans="19:20" x14ac:dyDescent="0.25">
      <c r="S16321" s="78">
        <v>43708</v>
      </c>
      <c r="T16321" s="29">
        <v>0.75</v>
      </c>
    </row>
    <row r="16322" spans="19:20" x14ac:dyDescent="0.25">
      <c r="S16322" s="78">
        <v>43709</v>
      </c>
      <c r="T16322" s="29">
        <v>0.75</v>
      </c>
    </row>
    <row r="16323" spans="19:20" x14ac:dyDescent="0.25">
      <c r="S16323" s="78">
        <v>43710</v>
      </c>
      <c r="T16323" s="29">
        <v>0.75</v>
      </c>
    </row>
    <row r="16324" spans="19:20" x14ac:dyDescent="0.25">
      <c r="S16324" s="78">
        <v>43711</v>
      </c>
      <c r="T16324" s="29">
        <v>0.75</v>
      </c>
    </row>
    <row r="16325" spans="19:20" x14ac:dyDescent="0.25">
      <c r="S16325" s="78">
        <v>43712</v>
      </c>
      <c r="T16325" s="29">
        <v>0.75</v>
      </c>
    </row>
    <row r="16326" spans="19:20" x14ac:dyDescent="0.25">
      <c r="S16326" s="78">
        <v>43713</v>
      </c>
      <c r="T16326" s="29">
        <v>0.75</v>
      </c>
    </row>
    <row r="16327" spans="19:20" x14ac:dyDescent="0.25">
      <c r="S16327" s="78">
        <v>43714</v>
      </c>
      <c r="T16327" s="29">
        <v>0.75</v>
      </c>
    </row>
    <row r="16328" spans="19:20" x14ac:dyDescent="0.25">
      <c r="S16328" s="78">
        <v>43715</v>
      </c>
      <c r="T16328" s="29">
        <v>0.75</v>
      </c>
    </row>
    <row r="16329" spans="19:20" x14ac:dyDescent="0.25">
      <c r="S16329" s="78">
        <v>43716</v>
      </c>
      <c r="T16329" s="29">
        <v>0.75</v>
      </c>
    </row>
    <row r="16330" spans="19:20" x14ac:dyDescent="0.25">
      <c r="S16330" s="78">
        <v>43717</v>
      </c>
      <c r="T16330" s="29">
        <v>0.75</v>
      </c>
    </row>
    <row r="16331" spans="19:20" x14ac:dyDescent="0.25">
      <c r="S16331" s="78">
        <v>43718</v>
      </c>
      <c r="T16331" s="29">
        <v>0.75</v>
      </c>
    </row>
    <row r="16332" spans="19:20" x14ac:dyDescent="0.25">
      <c r="S16332" s="78">
        <v>43719</v>
      </c>
      <c r="T16332" s="29">
        <v>0.75</v>
      </c>
    </row>
    <row r="16333" spans="19:20" x14ac:dyDescent="0.25">
      <c r="S16333" s="78">
        <v>43720</v>
      </c>
      <c r="T16333" s="29">
        <v>0.75</v>
      </c>
    </row>
    <row r="16334" spans="19:20" x14ac:dyDescent="0.25">
      <c r="S16334" s="78">
        <v>43721</v>
      </c>
      <c r="T16334" s="29">
        <v>0.75</v>
      </c>
    </row>
    <row r="16335" spans="19:20" x14ac:dyDescent="0.25">
      <c r="S16335" s="78">
        <v>43722</v>
      </c>
      <c r="T16335" s="29">
        <v>0.75</v>
      </c>
    </row>
    <row r="16336" spans="19:20" x14ac:dyDescent="0.25">
      <c r="S16336" s="78">
        <v>43723</v>
      </c>
      <c r="T16336" s="29">
        <v>0.75</v>
      </c>
    </row>
    <row r="16337" spans="19:21" x14ac:dyDescent="0.25">
      <c r="S16337" s="78">
        <v>43724</v>
      </c>
      <c r="T16337" s="29">
        <v>0.75</v>
      </c>
    </row>
    <row r="16338" spans="19:21" x14ac:dyDescent="0.25">
      <c r="S16338" s="78">
        <v>43725</v>
      </c>
      <c r="T16338" s="29">
        <v>0.75</v>
      </c>
    </row>
    <row r="16339" spans="19:21" x14ac:dyDescent="0.25">
      <c r="S16339" s="78">
        <v>43726</v>
      </c>
      <c r="T16339" s="29">
        <v>0.75</v>
      </c>
    </row>
    <row r="16340" spans="19:21" x14ac:dyDescent="0.25">
      <c r="S16340" s="78">
        <v>43727</v>
      </c>
      <c r="T16340" s="29">
        <v>0.75</v>
      </c>
    </row>
    <row r="16341" spans="19:21" x14ac:dyDescent="0.25">
      <c r="S16341" s="78">
        <v>43728</v>
      </c>
      <c r="T16341" s="29">
        <v>0.75</v>
      </c>
    </row>
    <row r="16342" spans="19:21" x14ac:dyDescent="0.25">
      <c r="S16342" s="78">
        <v>43729</v>
      </c>
      <c r="T16342" s="29">
        <v>0.75</v>
      </c>
    </row>
    <row r="16343" spans="19:21" x14ac:dyDescent="0.25">
      <c r="S16343" s="78">
        <v>43730</v>
      </c>
      <c r="T16343" s="29">
        <v>0.75</v>
      </c>
    </row>
    <row r="16344" spans="19:21" x14ac:dyDescent="0.25">
      <c r="S16344" s="78">
        <v>43731</v>
      </c>
      <c r="T16344" s="29">
        <v>0.75</v>
      </c>
    </row>
    <row r="16345" spans="19:21" x14ac:dyDescent="0.25">
      <c r="S16345" s="78">
        <v>43732</v>
      </c>
      <c r="T16345" s="29">
        <v>0.75</v>
      </c>
    </row>
    <row r="16346" spans="19:21" x14ac:dyDescent="0.25">
      <c r="S16346" s="78">
        <v>43733</v>
      </c>
      <c r="T16346" s="29">
        <v>0.75</v>
      </c>
    </row>
    <row r="16347" spans="19:21" x14ac:dyDescent="0.25">
      <c r="S16347" s="78">
        <v>43734</v>
      </c>
      <c r="T16347" s="29">
        <v>0.75</v>
      </c>
    </row>
    <row r="16348" spans="19:21" x14ac:dyDescent="0.25">
      <c r="S16348" s="78">
        <v>43735</v>
      </c>
      <c r="T16348" s="29">
        <v>0.75</v>
      </c>
    </row>
    <row r="16349" spans="19:21" x14ac:dyDescent="0.25">
      <c r="S16349" s="78">
        <v>43736</v>
      </c>
      <c r="T16349" s="29">
        <v>0.75</v>
      </c>
    </row>
    <row r="16350" spans="19:21" x14ac:dyDescent="0.25">
      <c r="S16350" s="78">
        <v>43737</v>
      </c>
      <c r="T16350" s="29">
        <v>0.75</v>
      </c>
    </row>
    <row r="16351" spans="19:21" x14ac:dyDescent="0.25">
      <c r="S16351" s="78">
        <v>43738</v>
      </c>
      <c r="T16351" s="29">
        <v>0.75</v>
      </c>
      <c r="U16351" s="29">
        <f>AVERAGE(T16260:T16351)</f>
        <v>0.75</v>
      </c>
    </row>
    <row r="16352" spans="19:21" x14ac:dyDescent="0.25">
      <c r="S16352" s="78">
        <v>43739</v>
      </c>
      <c r="T16352" s="29">
        <v>0.75</v>
      </c>
    </row>
    <row r="16353" spans="19:20" x14ac:dyDescent="0.25">
      <c r="S16353" s="78">
        <v>43740</v>
      </c>
      <c r="T16353" s="29">
        <v>0.75</v>
      </c>
    </row>
    <row r="16354" spans="19:20" x14ac:dyDescent="0.25">
      <c r="S16354" s="78">
        <v>43741</v>
      </c>
      <c r="T16354" s="29">
        <v>0.75</v>
      </c>
    </row>
    <row r="16355" spans="19:20" x14ac:dyDescent="0.25">
      <c r="S16355" s="78">
        <v>43742</v>
      </c>
      <c r="T16355" s="29">
        <v>0.75</v>
      </c>
    </row>
    <row r="16356" spans="19:20" x14ac:dyDescent="0.25">
      <c r="S16356" s="78">
        <v>43743</v>
      </c>
      <c r="T16356" s="29">
        <v>0.75</v>
      </c>
    </row>
    <row r="16357" spans="19:20" x14ac:dyDescent="0.25">
      <c r="S16357" s="78">
        <v>43744</v>
      </c>
      <c r="T16357" s="29">
        <v>0.75</v>
      </c>
    </row>
    <row r="16358" spans="19:20" x14ac:dyDescent="0.25">
      <c r="S16358" s="78">
        <v>43745</v>
      </c>
      <c r="T16358" s="29">
        <v>0.75</v>
      </c>
    </row>
    <row r="16359" spans="19:20" x14ac:dyDescent="0.25">
      <c r="S16359" s="78">
        <v>43746</v>
      </c>
      <c r="T16359" s="29">
        <v>0.75</v>
      </c>
    </row>
    <row r="16360" spans="19:20" x14ac:dyDescent="0.25">
      <c r="S16360" s="78">
        <v>43747</v>
      </c>
      <c r="T16360" s="29">
        <v>0.75</v>
      </c>
    </row>
    <row r="16361" spans="19:20" x14ac:dyDescent="0.25">
      <c r="S16361" s="78">
        <v>43748</v>
      </c>
      <c r="T16361" s="29">
        <v>0.75</v>
      </c>
    </row>
    <row r="16362" spans="19:20" x14ac:dyDescent="0.25">
      <c r="S16362" s="78">
        <v>43749</v>
      </c>
      <c r="T16362" s="29">
        <v>0.75</v>
      </c>
    </row>
    <row r="16363" spans="19:20" x14ac:dyDescent="0.25">
      <c r="S16363" s="78">
        <v>43750</v>
      </c>
      <c r="T16363" s="29">
        <v>0.75</v>
      </c>
    </row>
    <row r="16364" spans="19:20" x14ac:dyDescent="0.25">
      <c r="S16364" s="78">
        <v>43751</v>
      </c>
      <c r="T16364" s="29">
        <v>0.75</v>
      </c>
    </row>
    <row r="16365" spans="19:20" x14ac:dyDescent="0.25">
      <c r="S16365" s="78">
        <v>43752</v>
      </c>
      <c r="T16365" s="29">
        <v>0.75</v>
      </c>
    </row>
    <row r="16366" spans="19:20" x14ac:dyDescent="0.25">
      <c r="S16366" s="78">
        <v>43753</v>
      </c>
      <c r="T16366" s="29">
        <v>0.75</v>
      </c>
    </row>
    <row r="16367" spans="19:20" x14ac:dyDescent="0.25">
      <c r="S16367" s="78">
        <v>43754</v>
      </c>
      <c r="T16367" s="29">
        <v>0.75</v>
      </c>
    </row>
    <row r="16368" spans="19:20" x14ac:dyDescent="0.25">
      <c r="S16368" s="78">
        <v>43755</v>
      </c>
      <c r="T16368" s="29">
        <v>0.75</v>
      </c>
    </row>
    <row r="16369" spans="19:20" x14ac:dyDescent="0.25">
      <c r="S16369" s="78">
        <v>43756</v>
      </c>
      <c r="T16369" s="29">
        <v>0.75</v>
      </c>
    </row>
    <row r="16370" spans="19:20" x14ac:dyDescent="0.25">
      <c r="S16370" s="78">
        <v>43757</v>
      </c>
      <c r="T16370" s="29">
        <v>0.75</v>
      </c>
    </row>
    <row r="16371" spans="19:20" x14ac:dyDescent="0.25">
      <c r="S16371" s="78">
        <v>43758</v>
      </c>
      <c r="T16371" s="29">
        <v>0.75</v>
      </c>
    </row>
    <row r="16372" spans="19:20" x14ac:dyDescent="0.25">
      <c r="S16372" s="78">
        <v>43759</v>
      </c>
      <c r="T16372" s="29">
        <v>0.75</v>
      </c>
    </row>
    <row r="16373" spans="19:20" x14ac:dyDescent="0.25">
      <c r="S16373" s="78">
        <v>43760</v>
      </c>
      <c r="T16373" s="29">
        <v>0.75</v>
      </c>
    </row>
    <row r="16374" spans="19:20" x14ac:dyDescent="0.25">
      <c r="S16374" s="78">
        <v>43761</v>
      </c>
      <c r="T16374" s="29">
        <v>0.75</v>
      </c>
    </row>
    <row r="16375" spans="19:20" x14ac:dyDescent="0.25">
      <c r="S16375" s="78">
        <v>43762</v>
      </c>
      <c r="T16375" s="29">
        <v>0.75</v>
      </c>
    </row>
    <row r="16376" spans="19:20" x14ac:dyDescent="0.25">
      <c r="S16376" s="78">
        <v>43763</v>
      </c>
      <c r="T16376" s="29">
        <v>0.75</v>
      </c>
    </row>
    <row r="16377" spans="19:20" x14ac:dyDescent="0.25">
      <c r="S16377" s="78">
        <v>43764</v>
      </c>
      <c r="T16377" s="29">
        <v>0.75</v>
      </c>
    </row>
    <row r="16378" spans="19:20" x14ac:dyDescent="0.25">
      <c r="S16378" s="78">
        <v>43765</v>
      </c>
      <c r="T16378" s="29">
        <v>0.75</v>
      </c>
    </row>
    <row r="16379" spans="19:20" x14ac:dyDescent="0.25">
      <c r="S16379" s="78">
        <v>43766</v>
      </c>
      <c r="T16379" s="29">
        <v>0.75</v>
      </c>
    </row>
    <row r="16380" spans="19:20" x14ac:dyDescent="0.25">
      <c r="S16380" s="78">
        <v>43767</v>
      </c>
      <c r="T16380" s="29">
        <v>0.75</v>
      </c>
    </row>
    <row r="16381" spans="19:20" x14ac:dyDescent="0.25">
      <c r="S16381" s="78">
        <v>43768</v>
      </c>
      <c r="T16381" s="29">
        <v>0.75</v>
      </c>
    </row>
    <row r="16382" spans="19:20" x14ac:dyDescent="0.25">
      <c r="S16382" s="78">
        <v>43769</v>
      </c>
      <c r="T16382" s="29">
        <v>0.75</v>
      </c>
    </row>
    <row r="16383" spans="19:20" x14ac:dyDescent="0.25">
      <c r="S16383" s="78">
        <v>43770</v>
      </c>
      <c r="T16383" s="29">
        <v>0.75</v>
      </c>
    </row>
    <row r="16384" spans="19:20" x14ac:dyDescent="0.25">
      <c r="S16384" s="78">
        <v>43771</v>
      </c>
      <c r="T16384" s="29">
        <v>0.75</v>
      </c>
    </row>
    <row r="16385" spans="19:20" x14ac:dyDescent="0.25">
      <c r="S16385" s="78">
        <v>43772</v>
      </c>
      <c r="T16385" s="29">
        <v>0.75</v>
      </c>
    </row>
    <row r="16386" spans="19:20" x14ac:dyDescent="0.25">
      <c r="S16386" s="78">
        <v>43773</v>
      </c>
      <c r="T16386" s="29">
        <v>0.75</v>
      </c>
    </row>
    <row r="16387" spans="19:20" x14ac:dyDescent="0.25">
      <c r="S16387" s="78">
        <v>43774</v>
      </c>
      <c r="T16387" s="29">
        <v>0.75</v>
      </c>
    </row>
    <row r="16388" spans="19:20" x14ac:dyDescent="0.25">
      <c r="S16388" s="78">
        <v>43775</v>
      </c>
      <c r="T16388" s="29">
        <v>0.75</v>
      </c>
    </row>
    <row r="16389" spans="19:20" x14ac:dyDescent="0.25">
      <c r="S16389" s="78">
        <v>43776</v>
      </c>
      <c r="T16389" s="29">
        <v>0.75</v>
      </c>
    </row>
    <row r="16390" spans="19:20" x14ac:dyDescent="0.25">
      <c r="S16390" s="78">
        <v>43777</v>
      </c>
      <c r="T16390" s="29">
        <v>0.75</v>
      </c>
    </row>
    <row r="16391" spans="19:20" x14ac:dyDescent="0.25">
      <c r="S16391" s="78">
        <v>43778</v>
      </c>
      <c r="T16391" s="29">
        <v>0.75</v>
      </c>
    </row>
    <row r="16392" spans="19:20" x14ac:dyDescent="0.25">
      <c r="S16392" s="78">
        <v>43779</v>
      </c>
      <c r="T16392" s="29">
        <v>0.75</v>
      </c>
    </row>
    <row r="16393" spans="19:20" x14ac:dyDescent="0.25">
      <c r="S16393" s="78">
        <v>43780</v>
      </c>
      <c r="T16393" s="29">
        <v>0.75</v>
      </c>
    </row>
    <row r="16394" spans="19:20" x14ac:dyDescent="0.25">
      <c r="S16394" s="78">
        <v>43781</v>
      </c>
      <c r="T16394" s="29">
        <v>0.75</v>
      </c>
    </row>
    <row r="16395" spans="19:20" x14ac:dyDescent="0.25">
      <c r="S16395" s="78">
        <v>43782</v>
      </c>
      <c r="T16395" s="29">
        <v>0.75</v>
      </c>
    </row>
    <row r="16396" spans="19:20" x14ac:dyDescent="0.25">
      <c r="S16396" s="78">
        <v>43783</v>
      </c>
      <c r="T16396" s="29">
        <v>0.75</v>
      </c>
    </row>
    <row r="16397" spans="19:20" x14ac:dyDescent="0.25">
      <c r="S16397" s="78">
        <v>43784</v>
      </c>
      <c r="T16397" s="29">
        <v>0.75</v>
      </c>
    </row>
    <row r="16398" spans="19:20" x14ac:dyDescent="0.25">
      <c r="S16398" s="78">
        <v>43785</v>
      </c>
      <c r="T16398" s="29">
        <v>0.75</v>
      </c>
    </row>
    <row r="16399" spans="19:20" x14ac:dyDescent="0.25">
      <c r="S16399" s="78">
        <v>43786</v>
      </c>
      <c r="T16399" s="29">
        <v>0.75</v>
      </c>
    </row>
    <row r="16400" spans="19:20" x14ac:dyDescent="0.25">
      <c r="S16400" s="78">
        <v>43787</v>
      </c>
      <c r="T16400" s="29">
        <v>0.75</v>
      </c>
    </row>
    <row r="16401" spans="19:20" x14ac:dyDescent="0.25">
      <c r="S16401" s="78">
        <v>43788</v>
      </c>
      <c r="T16401" s="29">
        <v>0.75</v>
      </c>
    </row>
    <row r="16402" spans="19:20" x14ac:dyDescent="0.25">
      <c r="S16402" s="78">
        <v>43789</v>
      </c>
      <c r="T16402" s="29">
        <v>0.75</v>
      </c>
    </row>
    <row r="16403" spans="19:20" x14ac:dyDescent="0.25">
      <c r="S16403" s="78">
        <v>43790</v>
      </c>
      <c r="T16403" s="29">
        <v>0.75</v>
      </c>
    </row>
    <row r="16404" spans="19:20" x14ac:dyDescent="0.25">
      <c r="S16404" s="78">
        <v>43791</v>
      </c>
      <c r="T16404" s="29">
        <v>0.75</v>
      </c>
    </row>
    <row r="16405" spans="19:20" x14ac:dyDescent="0.25">
      <c r="S16405" s="78">
        <v>43792</v>
      </c>
      <c r="T16405" s="29">
        <v>0.75</v>
      </c>
    </row>
    <row r="16406" spans="19:20" x14ac:dyDescent="0.25">
      <c r="S16406" s="78">
        <v>43793</v>
      </c>
      <c r="T16406" s="29">
        <v>0.75</v>
      </c>
    </row>
    <row r="16407" spans="19:20" x14ac:dyDescent="0.25">
      <c r="S16407" s="78">
        <v>43794</v>
      </c>
      <c r="T16407" s="29">
        <v>0.75</v>
      </c>
    </row>
    <row r="16408" spans="19:20" x14ac:dyDescent="0.25">
      <c r="S16408" s="78">
        <v>43795</v>
      </c>
      <c r="T16408" s="29">
        <v>0.75</v>
      </c>
    </row>
    <row r="16409" spans="19:20" x14ac:dyDescent="0.25">
      <c r="S16409" s="78">
        <v>43796</v>
      </c>
      <c r="T16409" s="29">
        <v>0.75</v>
      </c>
    </row>
    <row r="16410" spans="19:20" x14ac:dyDescent="0.25">
      <c r="S16410" s="78">
        <v>43797</v>
      </c>
      <c r="T16410" s="29">
        <v>0.75</v>
      </c>
    </row>
    <row r="16411" spans="19:20" x14ac:dyDescent="0.25">
      <c r="S16411" s="78">
        <v>43798</v>
      </c>
      <c r="T16411" s="29">
        <v>0.75</v>
      </c>
    </row>
    <row r="16412" spans="19:20" x14ac:dyDescent="0.25">
      <c r="S16412" s="78">
        <v>43799</v>
      </c>
      <c r="T16412" s="29">
        <v>0.75</v>
      </c>
    </row>
    <row r="16413" spans="19:20" x14ac:dyDescent="0.25">
      <c r="S16413" s="78">
        <v>43800</v>
      </c>
      <c r="T16413" s="29">
        <v>0.75</v>
      </c>
    </row>
    <row r="16414" spans="19:20" x14ac:dyDescent="0.25">
      <c r="S16414" s="78">
        <v>43801</v>
      </c>
      <c r="T16414" s="29">
        <v>0.75</v>
      </c>
    </row>
    <row r="16415" spans="19:20" x14ac:dyDescent="0.25">
      <c r="S16415" s="78">
        <v>43802</v>
      </c>
      <c r="T16415" s="29">
        <v>0.75</v>
      </c>
    </row>
    <row r="16416" spans="19:20" x14ac:dyDescent="0.25">
      <c r="S16416" s="78">
        <v>43803</v>
      </c>
      <c r="T16416" s="29">
        <v>0.75</v>
      </c>
    </row>
    <row r="16417" spans="19:20" x14ac:dyDescent="0.25">
      <c r="S16417" s="78">
        <v>43804</v>
      </c>
      <c r="T16417" s="29">
        <v>0.75</v>
      </c>
    </row>
    <row r="16418" spans="19:20" x14ac:dyDescent="0.25">
      <c r="S16418" s="78">
        <v>43805</v>
      </c>
      <c r="T16418" s="29">
        <v>0.75</v>
      </c>
    </row>
    <row r="16419" spans="19:20" x14ac:dyDescent="0.25">
      <c r="S16419" s="78">
        <v>43806</v>
      </c>
      <c r="T16419" s="29">
        <v>0.75</v>
      </c>
    </row>
    <row r="16420" spans="19:20" x14ac:dyDescent="0.25">
      <c r="S16420" s="78">
        <v>43807</v>
      </c>
      <c r="T16420" s="29">
        <v>0.75</v>
      </c>
    </row>
    <row r="16421" spans="19:20" x14ac:dyDescent="0.25">
      <c r="S16421" s="78">
        <v>43808</v>
      </c>
      <c r="T16421" s="29">
        <v>0.75</v>
      </c>
    </row>
    <row r="16422" spans="19:20" x14ac:dyDescent="0.25">
      <c r="S16422" s="78">
        <v>43809</v>
      </c>
      <c r="T16422" s="29">
        <v>0.75</v>
      </c>
    </row>
    <row r="16423" spans="19:20" x14ac:dyDescent="0.25">
      <c r="S16423" s="78">
        <v>43810</v>
      </c>
      <c r="T16423" s="29">
        <v>0.75</v>
      </c>
    </row>
    <row r="16424" spans="19:20" x14ac:dyDescent="0.25">
      <c r="S16424" s="78">
        <v>43811</v>
      </c>
      <c r="T16424" s="29">
        <v>0.75</v>
      </c>
    </row>
    <row r="16425" spans="19:20" x14ac:dyDescent="0.25">
      <c r="S16425" s="78">
        <v>43812</v>
      </c>
      <c r="T16425" s="29">
        <v>0.75</v>
      </c>
    </row>
    <row r="16426" spans="19:20" x14ac:dyDescent="0.25">
      <c r="S16426" s="78">
        <v>43813</v>
      </c>
      <c r="T16426" s="29">
        <v>0.75</v>
      </c>
    </row>
    <row r="16427" spans="19:20" x14ac:dyDescent="0.25">
      <c r="S16427" s="78">
        <v>43814</v>
      </c>
      <c r="T16427" s="29">
        <v>0.75</v>
      </c>
    </row>
    <row r="16428" spans="19:20" x14ac:dyDescent="0.25">
      <c r="S16428" s="78">
        <v>43815</v>
      </c>
      <c r="T16428" s="29">
        <v>0.75</v>
      </c>
    </row>
    <row r="16429" spans="19:20" x14ac:dyDescent="0.25">
      <c r="S16429" s="78">
        <v>43816</v>
      </c>
      <c r="T16429" s="29">
        <v>0.75</v>
      </c>
    </row>
    <row r="16430" spans="19:20" x14ac:dyDescent="0.25">
      <c r="S16430" s="78">
        <v>43817</v>
      </c>
      <c r="T16430" s="29">
        <v>0.75</v>
      </c>
    </row>
    <row r="16431" spans="19:20" x14ac:dyDescent="0.25">
      <c r="S16431" s="78">
        <v>43818</v>
      </c>
      <c r="T16431" s="29">
        <v>0.75</v>
      </c>
    </row>
    <row r="16432" spans="19:20" x14ac:dyDescent="0.25">
      <c r="S16432" s="78">
        <v>43819</v>
      </c>
      <c r="T16432" s="29">
        <v>0.75</v>
      </c>
    </row>
    <row r="16433" spans="19:21" x14ac:dyDescent="0.25">
      <c r="S16433" s="78">
        <v>43820</v>
      </c>
      <c r="T16433" s="29">
        <v>0.75</v>
      </c>
    </row>
    <row r="16434" spans="19:21" x14ac:dyDescent="0.25">
      <c r="S16434" s="78">
        <v>43821</v>
      </c>
      <c r="T16434" s="29">
        <v>0.75</v>
      </c>
    </row>
    <row r="16435" spans="19:21" x14ac:dyDescent="0.25">
      <c r="S16435" s="78">
        <v>43822</v>
      </c>
      <c r="T16435" s="29">
        <v>0.75</v>
      </c>
    </row>
    <row r="16436" spans="19:21" x14ac:dyDescent="0.25">
      <c r="S16436" s="78">
        <v>43823</v>
      </c>
      <c r="T16436" s="29">
        <v>0.75</v>
      </c>
    </row>
    <row r="16437" spans="19:21" x14ac:dyDescent="0.25">
      <c r="S16437" s="78">
        <v>43824</v>
      </c>
      <c r="T16437" s="29">
        <v>0.75</v>
      </c>
    </row>
    <row r="16438" spans="19:21" x14ac:dyDescent="0.25">
      <c r="S16438" s="78">
        <v>43825</v>
      </c>
      <c r="T16438" s="29">
        <v>0.75</v>
      </c>
    </row>
    <row r="16439" spans="19:21" x14ac:dyDescent="0.25">
      <c r="S16439" s="78">
        <v>43826</v>
      </c>
      <c r="T16439" s="29">
        <v>0.75</v>
      </c>
    </row>
    <row r="16440" spans="19:21" x14ac:dyDescent="0.25">
      <c r="S16440" s="78">
        <v>43827</v>
      </c>
      <c r="T16440" s="29">
        <v>0.75</v>
      </c>
    </row>
    <row r="16441" spans="19:21" x14ac:dyDescent="0.25">
      <c r="S16441" s="78">
        <v>43828</v>
      </c>
      <c r="T16441" s="29">
        <v>0.75</v>
      </c>
    </row>
    <row r="16442" spans="19:21" x14ac:dyDescent="0.25">
      <c r="S16442" s="78">
        <v>43829</v>
      </c>
      <c r="T16442" s="29">
        <v>0.75</v>
      </c>
    </row>
    <row r="16443" spans="19:21" x14ac:dyDescent="0.25">
      <c r="S16443" s="78">
        <v>43830</v>
      </c>
      <c r="T16443" s="29">
        <v>0.75</v>
      </c>
      <c r="U16443" s="29">
        <f>AVERAGE(T16352:T16443)</f>
        <v>0.75</v>
      </c>
    </row>
    <row r="16444" spans="19:21" x14ac:dyDescent="0.25">
      <c r="S16444" s="78">
        <v>43831</v>
      </c>
      <c r="T16444" s="29">
        <v>0.75</v>
      </c>
    </row>
    <row r="16445" spans="19:21" x14ac:dyDescent="0.25">
      <c r="S16445" s="78">
        <v>43832</v>
      </c>
      <c r="T16445" s="29">
        <v>0.75</v>
      </c>
    </row>
    <row r="16446" spans="19:21" x14ac:dyDescent="0.25">
      <c r="S16446" s="78">
        <v>43833</v>
      </c>
      <c r="T16446" s="29">
        <v>0.75</v>
      </c>
    </row>
    <row r="16447" spans="19:21" x14ac:dyDescent="0.25">
      <c r="S16447" s="78">
        <v>43834</v>
      </c>
      <c r="T16447" s="29">
        <v>0.75</v>
      </c>
    </row>
    <row r="16448" spans="19:21" x14ac:dyDescent="0.25">
      <c r="S16448" s="78">
        <v>43835</v>
      </c>
      <c r="T16448" s="29">
        <v>0.75</v>
      </c>
    </row>
    <row r="16449" spans="19:20" x14ac:dyDescent="0.25">
      <c r="S16449" s="78">
        <v>43836</v>
      </c>
      <c r="T16449" s="29">
        <v>0.75</v>
      </c>
    </row>
    <row r="16450" spans="19:20" x14ac:dyDescent="0.25">
      <c r="S16450" s="78">
        <v>43837</v>
      </c>
      <c r="T16450" s="29">
        <v>0.75</v>
      </c>
    </row>
    <row r="16451" spans="19:20" x14ac:dyDescent="0.25">
      <c r="S16451" s="78">
        <v>43838</v>
      </c>
      <c r="T16451" s="29">
        <v>0.75</v>
      </c>
    </row>
    <row r="16452" spans="19:20" x14ac:dyDescent="0.25">
      <c r="S16452" s="78">
        <v>43839</v>
      </c>
      <c r="T16452" s="29">
        <v>0.75</v>
      </c>
    </row>
    <row r="16453" spans="19:20" x14ac:dyDescent="0.25">
      <c r="S16453" s="78">
        <v>43840</v>
      </c>
      <c r="T16453" s="29">
        <v>0.75</v>
      </c>
    </row>
    <row r="16454" spans="19:20" x14ac:dyDescent="0.25">
      <c r="S16454" s="78">
        <v>43841</v>
      </c>
      <c r="T16454" s="29">
        <v>0.75</v>
      </c>
    </row>
    <row r="16455" spans="19:20" x14ac:dyDescent="0.25">
      <c r="S16455" s="78">
        <v>43842</v>
      </c>
      <c r="T16455" s="29">
        <v>0.75</v>
      </c>
    </row>
    <row r="16456" spans="19:20" x14ac:dyDescent="0.25">
      <c r="S16456" s="78">
        <v>43843</v>
      </c>
      <c r="T16456" s="29">
        <v>0.75</v>
      </c>
    </row>
    <row r="16457" spans="19:20" x14ac:dyDescent="0.25">
      <c r="S16457" s="78">
        <v>43844</v>
      </c>
      <c r="T16457" s="29">
        <v>0.75</v>
      </c>
    </row>
    <row r="16458" spans="19:20" x14ac:dyDescent="0.25">
      <c r="S16458" s="78">
        <v>43845</v>
      </c>
      <c r="T16458" s="29">
        <v>0.75</v>
      </c>
    </row>
    <row r="16459" spans="19:20" x14ac:dyDescent="0.25">
      <c r="S16459" s="78">
        <v>43846</v>
      </c>
      <c r="T16459" s="29">
        <v>0.75</v>
      </c>
    </row>
    <row r="16460" spans="19:20" x14ac:dyDescent="0.25">
      <c r="S16460" s="78">
        <v>43847</v>
      </c>
      <c r="T16460" s="29">
        <v>0.75</v>
      </c>
    </row>
    <row r="16461" spans="19:20" x14ac:dyDescent="0.25">
      <c r="S16461" s="78">
        <v>43848</v>
      </c>
      <c r="T16461" s="29">
        <v>0.75</v>
      </c>
    </row>
    <row r="16462" spans="19:20" x14ac:dyDescent="0.25">
      <c r="S16462" s="78">
        <v>43849</v>
      </c>
      <c r="T16462" s="29">
        <v>0.75</v>
      </c>
    </row>
    <row r="16463" spans="19:20" x14ac:dyDescent="0.25">
      <c r="S16463" s="78">
        <v>43850</v>
      </c>
      <c r="T16463" s="29">
        <v>0.75</v>
      </c>
    </row>
    <row r="16464" spans="19:20" x14ac:dyDescent="0.25">
      <c r="S16464" s="78">
        <v>43851</v>
      </c>
      <c r="T16464" s="29">
        <v>0.75</v>
      </c>
    </row>
    <row r="16465" spans="19:20" x14ac:dyDescent="0.25">
      <c r="S16465" s="78">
        <v>43852</v>
      </c>
      <c r="T16465" s="29">
        <v>0.75</v>
      </c>
    </row>
    <row r="16466" spans="19:20" x14ac:dyDescent="0.25">
      <c r="S16466" s="78">
        <v>43853</v>
      </c>
      <c r="T16466" s="29">
        <v>0.75</v>
      </c>
    </row>
    <row r="16467" spans="19:20" x14ac:dyDescent="0.25">
      <c r="S16467" s="78">
        <v>43854</v>
      </c>
      <c r="T16467" s="29">
        <v>0.75</v>
      </c>
    </row>
    <row r="16468" spans="19:20" x14ac:dyDescent="0.25">
      <c r="S16468" s="78">
        <v>43855</v>
      </c>
      <c r="T16468" s="29">
        <v>0.75</v>
      </c>
    </row>
    <row r="16469" spans="19:20" x14ac:dyDescent="0.25">
      <c r="S16469" s="78">
        <v>43856</v>
      </c>
      <c r="T16469" s="29">
        <v>0.75</v>
      </c>
    </row>
    <row r="16470" spans="19:20" x14ac:dyDescent="0.25">
      <c r="S16470" s="78">
        <v>43857</v>
      </c>
      <c r="T16470" s="29">
        <v>0.75</v>
      </c>
    </row>
    <row r="16471" spans="19:20" x14ac:dyDescent="0.25">
      <c r="S16471" s="78">
        <v>43858</v>
      </c>
      <c r="T16471" s="29">
        <v>0.75</v>
      </c>
    </row>
    <row r="16472" spans="19:20" x14ac:dyDescent="0.25">
      <c r="S16472" s="78">
        <v>43859</v>
      </c>
      <c r="T16472" s="29">
        <v>0.75</v>
      </c>
    </row>
    <row r="16473" spans="19:20" x14ac:dyDescent="0.25">
      <c r="S16473" s="78">
        <v>43860</v>
      </c>
      <c r="T16473" s="29">
        <v>0.75</v>
      </c>
    </row>
    <row r="16474" spans="19:20" x14ac:dyDescent="0.25">
      <c r="S16474" s="78">
        <v>43861</v>
      </c>
      <c r="T16474" s="29">
        <v>0.75</v>
      </c>
    </row>
    <row r="16475" spans="19:20" x14ac:dyDescent="0.25">
      <c r="S16475" s="78">
        <v>43862</v>
      </c>
      <c r="T16475" s="29">
        <v>0.75</v>
      </c>
    </row>
    <row r="16476" spans="19:20" x14ac:dyDescent="0.25">
      <c r="S16476" s="78">
        <v>43863</v>
      </c>
      <c r="T16476" s="29">
        <v>0.75</v>
      </c>
    </row>
    <row r="16477" spans="19:20" x14ac:dyDescent="0.25">
      <c r="S16477" s="78">
        <v>43864</v>
      </c>
      <c r="T16477" s="29">
        <v>0.75</v>
      </c>
    </row>
    <row r="16478" spans="19:20" x14ac:dyDescent="0.25">
      <c r="S16478" s="78">
        <v>43865</v>
      </c>
      <c r="T16478" s="29">
        <v>0.75</v>
      </c>
    </row>
    <row r="16479" spans="19:20" x14ac:dyDescent="0.25">
      <c r="S16479" s="78">
        <v>43866</v>
      </c>
      <c r="T16479" s="29">
        <v>0.75</v>
      </c>
    </row>
    <row r="16480" spans="19:20" x14ac:dyDescent="0.25">
      <c r="S16480" s="78">
        <v>43867</v>
      </c>
      <c r="T16480" s="29">
        <v>0.75</v>
      </c>
    </row>
    <row r="16481" spans="19:20" x14ac:dyDescent="0.25">
      <c r="S16481" s="78">
        <v>43868</v>
      </c>
      <c r="T16481" s="29">
        <v>0.75</v>
      </c>
    </row>
    <row r="16482" spans="19:20" x14ac:dyDescent="0.25">
      <c r="S16482" s="78">
        <v>43869</v>
      </c>
      <c r="T16482" s="29">
        <v>0.75</v>
      </c>
    </row>
    <row r="16483" spans="19:20" x14ac:dyDescent="0.25">
      <c r="S16483" s="78">
        <v>43870</v>
      </c>
      <c r="T16483" s="29">
        <v>0.75</v>
      </c>
    </row>
    <row r="16484" spans="19:20" x14ac:dyDescent="0.25">
      <c r="S16484" s="78">
        <v>43871</v>
      </c>
      <c r="T16484" s="29">
        <v>0.75</v>
      </c>
    </row>
    <row r="16485" spans="19:20" x14ac:dyDescent="0.25">
      <c r="S16485" s="78">
        <v>43872</v>
      </c>
      <c r="T16485" s="29">
        <v>0.75</v>
      </c>
    </row>
    <row r="16486" spans="19:20" x14ac:dyDescent="0.25">
      <c r="S16486" s="78">
        <v>43873</v>
      </c>
      <c r="T16486" s="29">
        <v>0.75</v>
      </c>
    </row>
    <row r="16487" spans="19:20" x14ac:dyDescent="0.25">
      <c r="S16487" s="78">
        <v>43874</v>
      </c>
      <c r="T16487" s="29">
        <v>0.75</v>
      </c>
    </row>
    <row r="16488" spans="19:20" x14ac:dyDescent="0.25">
      <c r="S16488" s="78">
        <v>43875</v>
      </c>
      <c r="T16488" s="29">
        <v>0.75</v>
      </c>
    </row>
    <row r="16489" spans="19:20" x14ac:dyDescent="0.25">
      <c r="S16489" s="78">
        <v>43876</v>
      </c>
      <c r="T16489" s="29">
        <v>0.75</v>
      </c>
    </row>
    <row r="16490" spans="19:20" x14ac:dyDescent="0.25">
      <c r="S16490" s="78">
        <v>43877</v>
      </c>
      <c r="T16490" s="29">
        <v>0.75</v>
      </c>
    </row>
    <row r="16491" spans="19:20" x14ac:dyDescent="0.25">
      <c r="S16491" s="78">
        <v>43878</v>
      </c>
      <c r="T16491" s="29">
        <v>0.75</v>
      </c>
    </row>
    <row r="16492" spans="19:20" x14ac:dyDescent="0.25">
      <c r="S16492" s="78">
        <v>43879</v>
      </c>
      <c r="T16492" s="29">
        <v>0.75</v>
      </c>
    </row>
    <row r="16493" spans="19:20" x14ac:dyDescent="0.25">
      <c r="S16493" s="78">
        <v>43880</v>
      </c>
      <c r="T16493" s="29">
        <v>0.75</v>
      </c>
    </row>
    <row r="16494" spans="19:20" x14ac:dyDescent="0.25">
      <c r="S16494" s="78">
        <v>43881</v>
      </c>
      <c r="T16494" s="29">
        <v>0.75</v>
      </c>
    </row>
    <row r="16495" spans="19:20" x14ac:dyDescent="0.25">
      <c r="S16495" s="78">
        <v>43882</v>
      </c>
      <c r="T16495" s="29">
        <v>0.75</v>
      </c>
    </row>
    <row r="16496" spans="19:20" x14ac:dyDescent="0.25">
      <c r="S16496" s="78">
        <v>43883</v>
      </c>
      <c r="T16496" s="29">
        <v>0.75</v>
      </c>
    </row>
    <row r="16497" spans="19:20" x14ac:dyDescent="0.25">
      <c r="S16497" s="78">
        <v>43884</v>
      </c>
      <c r="T16497" s="29">
        <v>0.75</v>
      </c>
    </row>
    <row r="16498" spans="19:20" x14ac:dyDescent="0.25">
      <c r="S16498" s="78">
        <v>43885</v>
      </c>
      <c r="T16498" s="29">
        <v>0.75</v>
      </c>
    </row>
    <row r="16499" spans="19:20" x14ac:dyDescent="0.25">
      <c r="S16499" s="78">
        <v>43886</v>
      </c>
      <c r="T16499" s="29">
        <v>0.75</v>
      </c>
    </row>
    <row r="16500" spans="19:20" x14ac:dyDescent="0.25">
      <c r="S16500" s="78">
        <v>43887</v>
      </c>
      <c r="T16500" s="29">
        <v>0.75</v>
      </c>
    </row>
    <row r="16501" spans="19:20" x14ac:dyDescent="0.25">
      <c r="S16501" s="78">
        <v>43888</v>
      </c>
      <c r="T16501" s="29">
        <v>0.75</v>
      </c>
    </row>
    <row r="16502" spans="19:20" x14ac:dyDescent="0.25">
      <c r="S16502" s="78">
        <v>43889</v>
      </c>
      <c r="T16502" s="29">
        <v>0.75</v>
      </c>
    </row>
    <row r="16503" spans="19:20" x14ac:dyDescent="0.25">
      <c r="S16503" s="78">
        <v>43890</v>
      </c>
      <c r="T16503" s="29">
        <v>0.75</v>
      </c>
    </row>
    <row r="16504" spans="19:20" x14ac:dyDescent="0.25">
      <c r="S16504" s="78">
        <v>43891</v>
      </c>
      <c r="T16504" s="29">
        <v>0.75</v>
      </c>
    </row>
    <row r="16505" spans="19:20" x14ac:dyDescent="0.25">
      <c r="S16505" s="78">
        <v>43892</v>
      </c>
      <c r="T16505" s="29">
        <v>0.75</v>
      </c>
    </row>
    <row r="16506" spans="19:20" x14ac:dyDescent="0.25">
      <c r="S16506" s="78">
        <v>43893</v>
      </c>
      <c r="T16506" s="29">
        <v>0.75</v>
      </c>
    </row>
    <row r="16507" spans="19:20" x14ac:dyDescent="0.25">
      <c r="S16507" s="78">
        <v>43894</v>
      </c>
      <c r="T16507" s="29">
        <v>0.75</v>
      </c>
    </row>
    <row r="16508" spans="19:20" x14ac:dyDescent="0.25">
      <c r="S16508" s="78">
        <v>43895</v>
      </c>
      <c r="T16508" s="29">
        <v>0.75</v>
      </c>
    </row>
    <row r="16509" spans="19:20" x14ac:dyDescent="0.25">
      <c r="S16509" s="78">
        <v>43896</v>
      </c>
      <c r="T16509" s="29">
        <v>0.75</v>
      </c>
    </row>
    <row r="16510" spans="19:20" x14ac:dyDescent="0.25">
      <c r="S16510" s="78">
        <v>43897</v>
      </c>
      <c r="T16510" s="29">
        <v>0.75</v>
      </c>
    </row>
    <row r="16511" spans="19:20" x14ac:dyDescent="0.25">
      <c r="S16511" s="78">
        <v>43898</v>
      </c>
      <c r="T16511" s="29">
        <v>0.75</v>
      </c>
    </row>
    <row r="16512" spans="19:20" x14ac:dyDescent="0.25">
      <c r="S16512" s="78">
        <v>43899</v>
      </c>
      <c r="T16512" s="29">
        <v>0.75</v>
      </c>
    </row>
    <row r="16513" spans="19:20" x14ac:dyDescent="0.25">
      <c r="S16513" s="78">
        <v>43900</v>
      </c>
      <c r="T16513" s="29">
        <v>0.75</v>
      </c>
    </row>
    <row r="16514" spans="19:20" x14ac:dyDescent="0.25">
      <c r="S16514" s="78">
        <v>43901</v>
      </c>
      <c r="T16514" s="29">
        <v>0.25</v>
      </c>
    </row>
    <row r="16515" spans="19:20" x14ac:dyDescent="0.25">
      <c r="S16515" s="78">
        <v>43902</v>
      </c>
      <c r="T16515" s="29">
        <v>0.25</v>
      </c>
    </row>
    <row r="16516" spans="19:20" x14ac:dyDescent="0.25">
      <c r="S16516" s="78">
        <v>43903</v>
      </c>
      <c r="T16516" s="29">
        <v>0.25</v>
      </c>
    </row>
    <row r="16517" spans="19:20" x14ac:dyDescent="0.25">
      <c r="S16517" s="78">
        <v>43904</v>
      </c>
      <c r="T16517" s="29">
        <v>0.25</v>
      </c>
    </row>
    <row r="16518" spans="19:20" x14ac:dyDescent="0.25">
      <c r="S16518" s="78">
        <v>43905</v>
      </c>
      <c r="T16518" s="29">
        <v>0.25</v>
      </c>
    </row>
    <row r="16519" spans="19:20" x14ac:dyDescent="0.25">
      <c r="S16519" s="78">
        <v>43906</v>
      </c>
      <c r="T16519" s="29">
        <v>0.25</v>
      </c>
    </row>
    <row r="16520" spans="19:20" x14ac:dyDescent="0.25">
      <c r="S16520" s="78">
        <v>43907</v>
      </c>
      <c r="T16520" s="29">
        <v>0.25</v>
      </c>
    </row>
    <row r="16521" spans="19:20" x14ac:dyDescent="0.25">
      <c r="S16521" s="78">
        <v>43908</v>
      </c>
      <c r="T16521" s="29">
        <v>0.25</v>
      </c>
    </row>
    <row r="16522" spans="19:20" x14ac:dyDescent="0.25">
      <c r="S16522" s="78">
        <v>43909</v>
      </c>
      <c r="T16522" s="40">
        <v>0.1</v>
      </c>
    </row>
    <row r="16523" spans="19:20" x14ac:dyDescent="0.25">
      <c r="S16523" s="78">
        <v>43910</v>
      </c>
      <c r="T16523" s="40">
        <v>0.1</v>
      </c>
    </row>
    <row r="16524" spans="19:20" x14ac:dyDescent="0.25">
      <c r="S16524" s="78">
        <v>43911</v>
      </c>
      <c r="T16524" s="40">
        <v>0.1</v>
      </c>
    </row>
    <row r="16525" spans="19:20" x14ac:dyDescent="0.25">
      <c r="S16525" s="78">
        <v>43912</v>
      </c>
      <c r="T16525" s="40">
        <v>0.1</v>
      </c>
    </row>
    <row r="16526" spans="19:20" x14ac:dyDescent="0.25">
      <c r="S16526" s="78">
        <v>43913</v>
      </c>
      <c r="T16526" s="40">
        <v>0.1</v>
      </c>
    </row>
    <row r="16527" spans="19:20" x14ac:dyDescent="0.25">
      <c r="S16527" s="78">
        <v>43914</v>
      </c>
      <c r="T16527" s="40">
        <v>0.1</v>
      </c>
    </row>
    <row r="16528" spans="19:20" x14ac:dyDescent="0.25">
      <c r="S16528" s="78">
        <v>43915</v>
      </c>
      <c r="T16528" s="40">
        <v>0.1</v>
      </c>
    </row>
    <row r="16529" spans="19:21" x14ac:dyDescent="0.25">
      <c r="S16529" s="78">
        <v>43916</v>
      </c>
      <c r="T16529" s="40">
        <v>0.1</v>
      </c>
    </row>
    <row r="16530" spans="19:21" x14ac:dyDescent="0.25">
      <c r="S16530" s="78">
        <v>43917</v>
      </c>
      <c r="T16530" s="40">
        <v>0.1</v>
      </c>
    </row>
    <row r="16531" spans="19:21" x14ac:dyDescent="0.25">
      <c r="S16531" s="78">
        <v>43918</v>
      </c>
      <c r="T16531" s="40">
        <v>0.1</v>
      </c>
    </row>
    <row r="16532" spans="19:21" x14ac:dyDescent="0.25">
      <c r="S16532" s="78">
        <v>43919</v>
      </c>
      <c r="T16532" s="40">
        <v>0.1</v>
      </c>
    </row>
    <row r="16533" spans="19:21" x14ac:dyDescent="0.25">
      <c r="S16533" s="78">
        <v>43920</v>
      </c>
      <c r="T16533" s="40">
        <v>0.1</v>
      </c>
    </row>
    <row r="16534" spans="19:21" x14ac:dyDescent="0.25">
      <c r="S16534" s="78">
        <v>43921</v>
      </c>
      <c r="T16534" s="40">
        <v>0.1</v>
      </c>
      <c r="U16534" s="40">
        <f>AVERAGE(T16444:T16534)</f>
        <v>0.61318681318681334</v>
      </c>
    </row>
    <row r="16535" spans="19:21" x14ac:dyDescent="0.25">
      <c r="S16535" s="78">
        <v>43922</v>
      </c>
      <c r="T16535" s="40">
        <v>0.1</v>
      </c>
    </row>
    <row r="16536" spans="19:21" x14ac:dyDescent="0.25">
      <c r="S16536" s="78">
        <v>43923</v>
      </c>
      <c r="T16536" s="40">
        <v>0.1</v>
      </c>
    </row>
    <row r="16537" spans="19:21" x14ac:dyDescent="0.25">
      <c r="S16537" s="78">
        <v>43924</v>
      </c>
      <c r="T16537" s="40">
        <v>0.1</v>
      </c>
    </row>
    <row r="16538" spans="19:21" x14ac:dyDescent="0.25">
      <c r="S16538" s="78">
        <v>43925</v>
      </c>
      <c r="T16538" s="40">
        <v>0.1</v>
      </c>
    </row>
    <row r="16539" spans="19:21" x14ac:dyDescent="0.25">
      <c r="S16539" s="78">
        <v>43926</v>
      </c>
      <c r="T16539" s="40">
        <v>0.1</v>
      </c>
    </row>
    <row r="16540" spans="19:21" x14ac:dyDescent="0.25">
      <c r="S16540" s="78">
        <v>43927</v>
      </c>
      <c r="T16540" s="40">
        <v>0.1</v>
      </c>
    </row>
    <row r="16541" spans="19:21" x14ac:dyDescent="0.25">
      <c r="S16541" s="78">
        <v>43928</v>
      </c>
      <c r="T16541" s="40">
        <v>0.1</v>
      </c>
    </row>
    <row r="16542" spans="19:21" x14ac:dyDescent="0.25">
      <c r="S16542" s="78">
        <v>43929</v>
      </c>
      <c r="T16542" s="40">
        <v>0.1</v>
      </c>
    </row>
    <row r="16543" spans="19:21" x14ac:dyDescent="0.25">
      <c r="S16543" s="78">
        <v>43930</v>
      </c>
      <c r="T16543" s="40">
        <v>0.1</v>
      </c>
    </row>
    <row r="16544" spans="19:21" x14ac:dyDescent="0.25">
      <c r="S16544" s="78">
        <v>43931</v>
      </c>
      <c r="T16544" s="40">
        <v>0.1</v>
      </c>
    </row>
    <row r="16545" spans="19:20" x14ac:dyDescent="0.25">
      <c r="S16545" s="78">
        <v>43932</v>
      </c>
      <c r="T16545" s="40">
        <v>0.1</v>
      </c>
    </row>
    <row r="16546" spans="19:20" x14ac:dyDescent="0.25">
      <c r="S16546" s="78">
        <v>43933</v>
      </c>
      <c r="T16546" s="40">
        <v>0.1</v>
      </c>
    </row>
    <row r="16547" spans="19:20" x14ac:dyDescent="0.25">
      <c r="S16547" s="78">
        <v>43934</v>
      </c>
      <c r="T16547" s="40">
        <v>0.1</v>
      </c>
    </row>
    <row r="16548" spans="19:20" x14ac:dyDescent="0.25">
      <c r="S16548" s="78">
        <v>43935</v>
      </c>
      <c r="T16548" s="40">
        <v>0.1</v>
      </c>
    </row>
    <row r="16549" spans="19:20" x14ac:dyDescent="0.25">
      <c r="S16549" s="78">
        <v>43936</v>
      </c>
      <c r="T16549" s="40">
        <v>0.1</v>
      </c>
    </row>
    <row r="16550" spans="19:20" x14ac:dyDescent="0.25">
      <c r="S16550" s="78">
        <v>43937</v>
      </c>
      <c r="T16550" s="40">
        <v>0.1</v>
      </c>
    </row>
    <row r="16551" spans="19:20" x14ac:dyDescent="0.25">
      <c r="S16551" s="78">
        <v>43938</v>
      </c>
      <c r="T16551" s="40">
        <v>0.1</v>
      </c>
    </row>
    <row r="16552" spans="19:20" x14ac:dyDescent="0.25">
      <c r="S16552" s="78">
        <v>43939</v>
      </c>
      <c r="T16552" s="40">
        <v>0.1</v>
      </c>
    </row>
    <row r="16553" spans="19:20" x14ac:dyDescent="0.25">
      <c r="S16553" s="78">
        <v>43940</v>
      </c>
      <c r="T16553" s="40">
        <v>0.1</v>
      </c>
    </row>
    <row r="16554" spans="19:20" x14ac:dyDescent="0.25">
      <c r="S16554" s="78">
        <v>43941</v>
      </c>
      <c r="T16554" s="40">
        <v>0.1</v>
      </c>
    </row>
    <row r="16555" spans="19:20" x14ac:dyDescent="0.25">
      <c r="S16555" s="78">
        <v>43942</v>
      </c>
      <c r="T16555" s="40">
        <v>0.1</v>
      </c>
    </row>
    <row r="16556" spans="19:20" x14ac:dyDescent="0.25">
      <c r="S16556" s="78">
        <v>43943</v>
      </c>
      <c r="T16556" s="40">
        <v>0.1</v>
      </c>
    </row>
    <row r="16557" spans="19:20" x14ac:dyDescent="0.25">
      <c r="S16557" s="78">
        <v>43944</v>
      </c>
      <c r="T16557" s="40">
        <v>0.1</v>
      </c>
    </row>
    <row r="16558" spans="19:20" x14ac:dyDescent="0.25">
      <c r="S16558" s="78">
        <v>43945</v>
      </c>
      <c r="T16558" s="40">
        <v>0.1</v>
      </c>
    </row>
    <row r="16559" spans="19:20" x14ac:dyDescent="0.25">
      <c r="S16559" s="78">
        <v>43946</v>
      </c>
      <c r="T16559" s="40">
        <v>0.1</v>
      </c>
    </row>
    <row r="16560" spans="19:20" x14ac:dyDescent="0.25">
      <c r="S16560" s="78">
        <v>43947</v>
      </c>
      <c r="T16560" s="40">
        <v>0.1</v>
      </c>
    </row>
    <row r="16561" spans="19:20" x14ac:dyDescent="0.25">
      <c r="S16561" s="78">
        <v>43948</v>
      </c>
      <c r="T16561" s="40">
        <v>0.1</v>
      </c>
    </row>
    <row r="16562" spans="19:20" x14ac:dyDescent="0.25">
      <c r="S16562" s="78">
        <v>43949</v>
      </c>
      <c r="T16562" s="40">
        <v>0.1</v>
      </c>
    </row>
    <row r="16563" spans="19:20" x14ac:dyDescent="0.25">
      <c r="S16563" s="78">
        <v>43950</v>
      </c>
      <c r="T16563" s="40">
        <v>0.1</v>
      </c>
    </row>
    <row r="16564" spans="19:20" x14ac:dyDescent="0.25">
      <c r="S16564" s="78">
        <v>43951</v>
      </c>
      <c r="T16564" s="40">
        <v>0.1</v>
      </c>
    </row>
    <row r="16565" spans="19:20" x14ac:dyDescent="0.25">
      <c r="S16565" s="78">
        <v>43952</v>
      </c>
      <c r="T16565" s="40">
        <v>0.1</v>
      </c>
    </row>
    <row r="16566" spans="19:20" x14ac:dyDescent="0.25">
      <c r="S16566" s="78">
        <v>43953</v>
      </c>
      <c r="T16566" s="40">
        <v>0.1</v>
      </c>
    </row>
    <row r="16567" spans="19:20" x14ac:dyDescent="0.25">
      <c r="S16567" s="78">
        <v>43954</v>
      </c>
      <c r="T16567" s="40">
        <v>0.1</v>
      </c>
    </row>
    <row r="16568" spans="19:20" x14ac:dyDescent="0.25">
      <c r="S16568" s="78">
        <v>43955</v>
      </c>
      <c r="T16568" s="40">
        <v>0.1</v>
      </c>
    </row>
    <row r="16569" spans="19:20" x14ac:dyDescent="0.25">
      <c r="S16569" s="78">
        <v>43956</v>
      </c>
      <c r="T16569" s="40">
        <v>0.1</v>
      </c>
    </row>
    <row r="16570" spans="19:20" x14ac:dyDescent="0.25">
      <c r="S16570" s="78">
        <v>43957</v>
      </c>
      <c r="T16570" s="40">
        <v>0.1</v>
      </c>
    </row>
    <row r="16571" spans="19:20" x14ac:dyDescent="0.25">
      <c r="S16571" s="78">
        <v>43958</v>
      </c>
      <c r="T16571" s="40">
        <v>0.1</v>
      </c>
    </row>
    <row r="16572" spans="19:20" x14ac:dyDescent="0.25">
      <c r="S16572" s="78">
        <v>43959</v>
      </c>
      <c r="T16572" s="40">
        <v>0.1</v>
      </c>
    </row>
    <row r="16573" spans="19:20" x14ac:dyDescent="0.25">
      <c r="S16573" s="78">
        <v>43960</v>
      </c>
      <c r="T16573" s="40">
        <v>0.1</v>
      </c>
    </row>
    <row r="16574" spans="19:20" x14ac:dyDescent="0.25">
      <c r="S16574" s="78">
        <v>43961</v>
      </c>
      <c r="T16574" s="40">
        <v>0.1</v>
      </c>
    </row>
    <row r="16575" spans="19:20" x14ac:dyDescent="0.25">
      <c r="S16575" s="78">
        <v>43962</v>
      </c>
      <c r="T16575" s="40">
        <v>0.1</v>
      </c>
    </row>
    <row r="16576" spans="19:20" x14ac:dyDescent="0.25">
      <c r="S16576" s="78">
        <v>43963</v>
      </c>
      <c r="T16576" s="40">
        <v>0.1</v>
      </c>
    </row>
    <row r="16577" spans="19:20" x14ac:dyDescent="0.25">
      <c r="S16577" s="78">
        <v>43964</v>
      </c>
      <c r="T16577" s="40">
        <v>0.1</v>
      </c>
    </row>
    <row r="16578" spans="19:20" x14ac:dyDescent="0.25">
      <c r="S16578" s="78">
        <v>43965</v>
      </c>
      <c r="T16578" s="40">
        <v>0.1</v>
      </c>
    </row>
    <row r="16579" spans="19:20" x14ac:dyDescent="0.25">
      <c r="S16579" s="78">
        <v>43966</v>
      </c>
      <c r="T16579" s="40">
        <v>0.1</v>
      </c>
    </row>
    <row r="16580" spans="19:20" x14ac:dyDescent="0.25">
      <c r="S16580" s="78">
        <v>43967</v>
      </c>
      <c r="T16580" s="40">
        <v>0.1</v>
      </c>
    </row>
    <row r="16581" spans="19:20" x14ac:dyDescent="0.25">
      <c r="S16581" s="78">
        <v>43968</v>
      </c>
      <c r="T16581" s="40">
        <v>0.1</v>
      </c>
    </row>
    <row r="16582" spans="19:20" x14ac:dyDescent="0.25">
      <c r="S16582" s="78">
        <v>43969</v>
      </c>
      <c r="T16582" s="40">
        <v>0.1</v>
      </c>
    </row>
    <row r="16583" spans="19:20" x14ac:dyDescent="0.25">
      <c r="S16583" s="78">
        <v>43970</v>
      </c>
      <c r="T16583" s="40">
        <v>0.1</v>
      </c>
    </row>
    <row r="16584" spans="19:20" x14ac:dyDescent="0.25">
      <c r="S16584" s="78">
        <v>43971</v>
      </c>
      <c r="T16584" s="40">
        <v>0.1</v>
      </c>
    </row>
    <row r="16585" spans="19:20" x14ac:dyDescent="0.25">
      <c r="S16585" s="78">
        <v>43972</v>
      </c>
      <c r="T16585" s="40">
        <v>0.1</v>
      </c>
    </row>
    <row r="16586" spans="19:20" x14ac:dyDescent="0.25">
      <c r="S16586" s="78">
        <v>43973</v>
      </c>
      <c r="T16586" s="40">
        <v>0.1</v>
      </c>
    </row>
    <row r="16587" spans="19:20" x14ac:dyDescent="0.25">
      <c r="S16587" s="78">
        <v>43974</v>
      </c>
      <c r="T16587" s="40">
        <v>0.1</v>
      </c>
    </row>
    <row r="16588" spans="19:20" x14ac:dyDescent="0.25">
      <c r="S16588" s="78">
        <v>43975</v>
      </c>
      <c r="T16588" s="40">
        <v>0.1</v>
      </c>
    </row>
    <row r="16589" spans="19:20" x14ac:dyDescent="0.25">
      <c r="S16589" s="78">
        <v>43976</v>
      </c>
      <c r="T16589" s="40">
        <v>0.1</v>
      </c>
    </row>
    <row r="16590" spans="19:20" x14ac:dyDescent="0.25">
      <c r="S16590" s="78">
        <v>43977</v>
      </c>
      <c r="T16590" s="40">
        <v>0.1</v>
      </c>
    </row>
    <row r="16591" spans="19:20" x14ac:dyDescent="0.25">
      <c r="S16591" s="78">
        <v>43978</v>
      </c>
      <c r="T16591" s="40">
        <v>0.1</v>
      </c>
    </row>
    <row r="16592" spans="19:20" x14ac:dyDescent="0.25">
      <c r="S16592" s="78">
        <v>43979</v>
      </c>
      <c r="T16592" s="40">
        <v>0.1</v>
      </c>
    </row>
    <row r="16593" spans="19:20" x14ac:dyDescent="0.25">
      <c r="S16593" s="78">
        <v>43980</v>
      </c>
      <c r="T16593" s="40">
        <v>0.1</v>
      </c>
    </row>
    <row r="16594" spans="19:20" x14ac:dyDescent="0.25">
      <c r="S16594" s="78">
        <v>43981</v>
      </c>
      <c r="T16594" s="40">
        <v>0.1</v>
      </c>
    </row>
    <row r="16595" spans="19:20" x14ac:dyDescent="0.25">
      <c r="S16595" s="78">
        <v>43982</v>
      </c>
      <c r="T16595" s="40">
        <v>0.1</v>
      </c>
    </row>
    <row r="16596" spans="19:20" x14ac:dyDescent="0.25">
      <c r="S16596" s="78">
        <v>43983</v>
      </c>
      <c r="T16596" s="40">
        <v>0.1</v>
      </c>
    </row>
    <row r="16597" spans="19:20" x14ac:dyDescent="0.25">
      <c r="S16597" s="78">
        <v>43984</v>
      </c>
      <c r="T16597" s="40">
        <v>0.1</v>
      </c>
    </row>
    <row r="16598" spans="19:20" x14ac:dyDescent="0.25">
      <c r="S16598" s="78">
        <v>43985</v>
      </c>
      <c r="T16598" s="40">
        <v>0.1</v>
      </c>
    </row>
    <row r="16599" spans="19:20" x14ac:dyDescent="0.25">
      <c r="S16599" s="78">
        <v>43986</v>
      </c>
      <c r="T16599" s="40">
        <v>0.1</v>
      </c>
    </row>
    <row r="16600" spans="19:20" x14ac:dyDescent="0.25">
      <c r="S16600" s="78">
        <v>43987</v>
      </c>
      <c r="T16600" s="40">
        <v>0.1</v>
      </c>
    </row>
    <row r="16601" spans="19:20" x14ac:dyDescent="0.25">
      <c r="S16601" s="78">
        <v>43988</v>
      </c>
      <c r="T16601" s="40">
        <v>0.1</v>
      </c>
    </row>
    <row r="16602" spans="19:20" x14ac:dyDescent="0.25">
      <c r="S16602" s="78">
        <v>43989</v>
      </c>
      <c r="T16602" s="40">
        <v>0.1</v>
      </c>
    </row>
    <row r="16603" spans="19:20" x14ac:dyDescent="0.25">
      <c r="S16603" s="78">
        <v>43990</v>
      </c>
      <c r="T16603" s="40">
        <v>0.1</v>
      </c>
    </row>
    <row r="16604" spans="19:20" x14ac:dyDescent="0.25">
      <c r="S16604" s="78">
        <v>43991</v>
      </c>
      <c r="T16604" s="40">
        <v>0.1</v>
      </c>
    </row>
    <row r="16605" spans="19:20" x14ac:dyDescent="0.25">
      <c r="S16605" s="78">
        <v>43992</v>
      </c>
      <c r="T16605" s="40">
        <v>0.1</v>
      </c>
    </row>
    <row r="16606" spans="19:20" x14ac:dyDescent="0.25">
      <c r="S16606" s="78">
        <v>43993</v>
      </c>
      <c r="T16606" s="40">
        <v>0.1</v>
      </c>
    </row>
    <row r="16607" spans="19:20" x14ac:dyDescent="0.25">
      <c r="S16607" s="78">
        <v>43994</v>
      </c>
      <c r="T16607" s="40">
        <v>0.1</v>
      </c>
    </row>
    <row r="16608" spans="19:20" x14ac:dyDescent="0.25">
      <c r="S16608" s="78">
        <v>43995</v>
      </c>
      <c r="T16608" s="40">
        <v>0.1</v>
      </c>
    </row>
    <row r="16609" spans="19:20" x14ac:dyDescent="0.25">
      <c r="S16609" s="78">
        <v>43996</v>
      </c>
      <c r="T16609" s="40">
        <v>0.1</v>
      </c>
    </row>
    <row r="16610" spans="19:20" x14ac:dyDescent="0.25">
      <c r="S16610" s="78">
        <v>43997</v>
      </c>
      <c r="T16610" s="40">
        <v>0.1</v>
      </c>
    </row>
    <row r="16611" spans="19:20" x14ac:dyDescent="0.25">
      <c r="S16611" s="78">
        <v>43998</v>
      </c>
      <c r="T16611" s="40">
        <v>0.1</v>
      </c>
    </row>
    <row r="16612" spans="19:20" x14ac:dyDescent="0.25">
      <c r="S16612" s="78">
        <v>43999</v>
      </c>
      <c r="T16612" s="40">
        <v>0.1</v>
      </c>
    </row>
    <row r="16613" spans="19:20" x14ac:dyDescent="0.25">
      <c r="S16613" s="78">
        <v>44000</v>
      </c>
      <c r="T16613" s="40">
        <v>0.1</v>
      </c>
    </row>
    <row r="16614" spans="19:20" x14ac:dyDescent="0.25">
      <c r="S16614" s="78">
        <v>44001</v>
      </c>
      <c r="T16614" s="40">
        <v>0.1</v>
      </c>
    </row>
    <row r="16615" spans="19:20" x14ac:dyDescent="0.25">
      <c r="S16615" s="78">
        <v>44002</v>
      </c>
      <c r="T16615" s="40">
        <v>0.1</v>
      </c>
    </row>
    <row r="16616" spans="19:20" x14ac:dyDescent="0.25">
      <c r="S16616" s="78">
        <v>44003</v>
      </c>
      <c r="T16616" s="40">
        <v>0.1</v>
      </c>
    </row>
    <row r="16617" spans="19:20" x14ac:dyDescent="0.25">
      <c r="S16617" s="78">
        <v>44004</v>
      </c>
      <c r="T16617" s="40">
        <v>0.1</v>
      </c>
    </row>
    <row r="16618" spans="19:20" x14ac:dyDescent="0.25">
      <c r="S16618" s="78">
        <v>44005</v>
      </c>
      <c r="T16618" s="40">
        <v>0.1</v>
      </c>
    </row>
    <row r="16619" spans="19:20" x14ac:dyDescent="0.25">
      <c r="S16619" s="78">
        <v>44006</v>
      </c>
      <c r="T16619" s="40">
        <v>0.1</v>
      </c>
    </row>
    <row r="16620" spans="19:20" x14ac:dyDescent="0.25">
      <c r="S16620" s="78">
        <v>44007</v>
      </c>
      <c r="T16620" s="40">
        <v>0.1</v>
      </c>
    </row>
    <row r="16621" spans="19:20" x14ac:dyDescent="0.25">
      <c r="S16621" s="78">
        <v>44008</v>
      </c>
      <c r="T16621" s="40">
        <v>0.1</v>
      </c>
    </row>
    <row r="16622" spans="19:20" x14ac:dyDescent="0.25">
      <c r="S16622" s="78">
        <v>44009</v>
      </c>
      <c r="T16622" s="40">
        <v>0.1</v>
      </c>
    </row>
    <row r="16623" spans="19:20" x14ac:dyDescent="0.25">
      <c r="S16623" s="78">
        <v>44010</v>
      </c>
      <c r="T16623" s="40">
        <v>0.1</v>
      </c>
    </row>
    <row r="16624" spans="19:20" x14ac:dyDescent="0.25">
      <c r="S16624" s="78">
        <v>44011</v>
      </c>
      <c r="T16624" s="40">
        <v>0.1</v>
      </c>
    </row>
    <row r="16625" spans="19:21" x14ac:dyDescent="0.25">
      <c r="S16625" s="78">
        <v>44012</v>
      </c>
      <c r="T16625" s="40">
        <v>0.1</v>
      </c>
      <c r="U16625" s="40">
        <f>AVERAGE(T16535:T16625)</f>
        <v>9.9999999999999825E-2</v>
      </c>
    </row>
    <row r="16626" spans="19:21" x14ac:dyDescent="0.25">
      <c r="S16626" s="78">
        <v>44013</v>
      </c>
      <c r="T16626" s="40">
        <v>0.1</v>
      </c>
    </row>
    <row r="16627" spans="19:21" x14ac:dyDescent="0.25">
      <c r="S16627" s="78">
        <v>44014</v>
      </c>
      <c r="T16627" s="40">
        <v>0.1</v>
      </c>
    </row>
    <row r="16628" spans="19:21" x14ac:dyDescent="0.25">
      <c r="S16628" s="78">
        <v>44015</v>
      </c>
      <c r="T16628" s="40">
        <v>0.1</v>
      </c>
    </row>
    <row r="16629" spans="19:21" x14ac:dyDescent="0.25">
      <c r="S16629" s="78">
        <v>44016</v>
      </c>
      <c r="T16629" s="40">
        <v>0.1</v>
      </c>
    </row>
    <row r="16630" spans="19:21" x14ac:dyDescent="0.25">
      <c r="S16630" s="78">
        <v>44017</v>
      </c>
      <c r="T16630" s="40">
        <v>0.1</v>
      </c>
    </row>
    <row r="16631" spans="19:21" x14ac:dyDescent="0.25">
      <c r="S16631" s="78">
        <v>44018</v>
      </c>
      <c r="T16631" s="40">
        <v>0.1</v>
      </c>
    </row>
    <row r="16632" spans="19:21" x14ac:dyDescent="0.25">
      <c r="S16632" s="78">
        <v>44019</v>
      </c>
      <c r="T16632" s="40">
        <v>0.1</v>
      </c>
    </row>
    <row r="16633" spans="19:21" x14ac:dyDescent="0.25">
      <c r="S16633" s="78">
        <v>44020</v>
      </c>
      <c r="T16633" s="40">
        <v>0.1</v>
      </c>
    </row>
    <row r="16634" spans="19:21" x14ac:dyDescent="0.25">
      <c r="S16634" s="78">
        <v>44021</v>
      </c>
      <c r="T16634" s="40">
        <v>0.1</v>
      </c>
    </row>
    <row r="16635" spans="19:21" x14ac:dyDescent="0.25">
      <c r="S16635" s="78">
        <v>44022</v>
      </c>
      <c r="T16635" s="40">
        <v>0.1</v>
      </c>
    </row>
    <row r="16636" spans="19:21" x14ac:dyDescent="0.25">
      <c r="S16636" s="78">
        <v>44023</v>
      </c>
      <c r="T16636" s="40">
        <v>0.1</v>
      </c>
    </row>
    <row r="16637" spans="19:21" x14ac:dyDescent="0.25">
      <c r="S16637" s="78">
        <v>44024</v>
      </c>
      <c r="T16637" s="40">
        <v>0.1</v>
      </c>
    </row>
    <row r="16638" spans="19:21" x14ac:dyDescent="0.25">
      <c r="S16638" s="78">
        <v>44025</v>
      </c>
      <c r="T16638" s="40">
        <v>0.1</v>
      </c>
    </row>
    <row r="16639" spans="19:21" x14ac:dyDescent="0.25">
      <c r="S16639" s="78">
        <v>44026</v>
      </c>
      <c r="T16639" s="40">
        <v>0.1</v>
      </c>
    </row>
    <row r="16640" spans="19:21" x14ac:dyDescent="0.25">
      <c r="S16640" s="78">
        <v>44027</v>
      </c>
      <c r="T16640" s="40">
        <v>0.1</v>
      </c>
    </row>
    <row r="16641" spans="19:20" x14ac:dyDescent="0.25">
      <c r="S16641" s="78">
        <v>44028</v>
      </c>
      <c r="T16641" s="40">
        <v>0.1</v>
      </c>
    </row>
    <row r="16642" spans="19:20" x14ac:dyDescent="0.25">
      <c r="S16642" s="78">
        <v>44029</v>
      </c>
      <c r="T16642" s="40">
        <v>0.1</v>
      </c>
    </row>
    <row r="16643" spans="19:20" x14ac:dyDescent="0.25">
      <c r="S16643" s="78">
        <v>44030</v>
      </c>
      <c r="T16643" s="40">
        <v>0.1</v>
      </c>
    </row>
    <row r="16644" spans="19:20" x14ac:dyDescent="0.25">
      <c r="S16644" s="78">
        <v>44031</v>
      </c>
      <c r="T16644" s="40">
        <v>0.1</v>
      </c>
    </row>
    <row r="16645" spans="19:20" x14ac:dyDescent="0.25">
      <c r="S16645" s="78">
        <v>44032</v>
      </c>
      <c r="T16645" s="40">
        <v>0.1</v>
      </c>
    </row>
    <row r="16646" spans="19:20" x14ac:dyDescent="0.25">
      <c r="S16646" s="78">
        <v>44033</v>
      </c>
      <c r="T16646" s="40">
        <v>0.1</v>
      </c>
    </row>
    <row r="16647" spans="19:20" x14ac:dyDescent="0.25">
      <c r="S16647" s="78">
        <v>44034</v>
      </c>
      <c r="T16647" s="40">
        <v>0.1</v>
      </c>
    </row>
    <row r="16648" spans="19:20" x14ac:dyDescent="0.25">
      <c r="S16648" s="78">
        <v>44035</v>
      </c>
      <c r="T16648" s="40">
        <v>0.1</v>
      </c>
    </row>
    <row r="16649" spans="19:20" x14ac:dyDescent="0.25">
      <c r="S16649" s="78">
        <v>44036</v>
      </c>
      <c r="T16649" s="40">
        <v>0.1</v>
      </c>
    </row>
    <row r="16650" spans="19:20" x14ac:dyDescent="0.25">
      <c r="S16650" s="78">
        <v>44037</v>
      </c>
      <c r="T16650" s="40">
        <v>0.1</v>
      </c>
    </row>
    <row r="16651" spans="19:20" x14ac:dyDescent="0.25">
      <c r="S16651" s="78">
        <v>44038</v>
      </c>
      <c r="T16651" s="40">
        <v>0.1</v>
      </c>
    </row>
    <row r="16652" spans="19:20" x14ac:dyDescent="0.25">
      <c r="S16652" s="78">
        <v>44039</v>
      </c>
      <c r="T16652" s="40">
        <v>0.1</v>
      </c>
    </row>
    <row r="16653" spans="19:20" x14ac:dyDescent="0.25">
      <c r="S16653" s="78">
        <v>44040</v>
      </c>
      <c r="T16653" s="40">
        <v>0.1</v>
      </c>
    </row>
    <row r="16654" spans="19:20" x14ac:dyDescent="0.25">
      <c r="S16654" s="78">
        <v>44041</v>
      </c>
      <c r="T16654" s="40">
        <v>0.1</v>
      </c>
    </row>
    <row r="16655" spans="19:20" x14ac:dyDescent="0.25">
      <c r="S16655" s="78">
        <v>44042</v>
      </c>
      <c r="T16655" s="40">
        <v>0.1</v>
      </c>
    </row>
    <row r="16656" spans="19:20" x14ac:dyDescent="0.25">
      <c r="S16656" s="78">
        <v>44043</v>
      </c>
      <c r="T16656" s="40">
        <v>0.1</v>
      </c>
    </row>
    <row r="16657" spans="19:20" x14ac:dyDescent="0.25">
      <c r="S16657" s="78">
        <v>44044</v>
      </c>
      <c r="T16657" s="40">
        <v>0.1</v>
      </c>
    </row>
    <row r="16658" spans="19:20" x14ac:dyDescent="0.25">
      <c r="S16658" s="78">
        <v>44045</v>
      </c>
      <c r="T16658" s="40">
        <v>0.1</v>
      </c>
    </row>
    <row r="16659" spans="19:20" x14ac:dyDescent="0.25">
      <c r="S16659" s="78">
        <v>44046</v>
      </c>
      <c r="T16659" s="40">
        <v>0.1</v>
      </c>
    </row>
    <row r="16660" spans="19:20" x14ac:dyDescent="0.25">
      <c r="S16660" s="78">
        <v>44047</v>
      </c>
      <c r="T16660" s="40">
        <v>0.1</v>
      </c>
    </row>
    <row r="16661" spans="19:20" x14ac:dyDescent="0.25">
      <c r="S16661" s="78">
        <v>44048</v>
      </c>
      <c r="T16661" s="40">
        <v>0.1</v>
      </c>
    </row>
    <row r="16662" spans="19:20" x14ac:dyDescent="0.25">
      <c r="S16662" s="78">
        <v>44049</v>
      </c>
      <c r="T16662" s="40">
        <v>0.1</v>
      </c>
    </row>
    <row r="16663" spans="19:20" x14ac:dyDescent="0.25">
      <c r="S16663" s="78">
        <v>44050</v>
      </c>
      <c r="T16663" s="40">
        <v>0.1</v>
      </c>
    </row>
    <row r="16664" spans="19:20" x14ac:dyDescent="0.25">
      <c r="S16664" s="78">
        <v>44051</v>
      </c>
      <c r="T16664" s="40">
        <v>0.1</v>
      </c>
    </row>
    <row r="16665" spans="19:20" x14ac:dyDescent="0.25">
      <c r="S16665" s="78">
        <v>44052</v>
      </c>
      <c r="T16665" s="40">
        <v>0.1</v>
      </c>
    </row>
    <row r="16666" spans="19:20" x14ac:dyDescent="0.25">
      <c r="S16666" s="78">
        <v>44053</v>
      </c>
      <c r="T16666" s="40">
        <v>0.1</v>
      </c>
    </row>
    <row r="16667" spans="19:20" x14ac:dyDescent="0.25">
      <c r="S16667" s="78">
        <v>44054</v>
      </c>
      <c r="T16667" s="40">
        <v>0.1</v>
      </c>
    </row>
    <row r="16668" spans="19:20" x14ac:dyDescent="0.25">
      <c r="S16668" s="78">
        <v>44055</v>
      </c>
      <c r="T16668" s="40">
        <v>0.1</v>
      </c>
    </row>
    <row r="16669" spans="19:20" x14ac:dyDescent="0.25">
      <c r="S16669" s="78">
        <v>44056</v>
      </c>
      <c r="T16669" s="40">
        <v>0.1</v>
      </c>
    </row>
    <row r="16670" spans="19:20" x14ac:dyDescent="0.25">
      <c r="S16670" s="78">
        <v>44057</v>
      </c>
      <c r="T16670" s="40">
        <v>0.1</v>
      </c>
    </row>
    <row r="16671" spans="19:20" x14ac:dyDescent="0.25">
      <c r="S16671" s="78">
        <v>44058</v>
      </c>
      <c r="T16671" s="40">
        <v>0.1</v>
      </c>
    </row>
    <row r="16672" spans="19:20" x14ac:dyDescent="0.25">
      <c r="S16672" s="78">
        <v>44059</v>
      </c>
      <c r="T16672" s="40">
        <v>0.1</v>
      </c>
    </row>
    <row r="16673" spans="19:20" x14ac:dyDescent="0.25">
      <c r="S16673" s="78">
        <v>44060</v>
      </c>
      <c r="T16673" s="40">
        <v>0.1</v>
      </c>
    </row>
    <row r="16674" spans="19:20" x14ac:dyDescent="0.25">
      <c r="S16674" s="78">
        <v>44061</v>
      </c>
      <c r="T16674" s="40">
        <v>0.1</v>
      </c>
    </row>
    <row r="16675" spans="19:20" x14ac:dyDescent="0.25">
      <c r="S16675" s="78">
        <v>44062</v>
      </c>
      <c r="T16675" s="40">
        <v>0.1</v>
      </c>
    </row>
    <row r="16676" spans="19:20" x14ac:dyDescent="0.25">
      <c r="S16676" s="78">
        <v>44063</v>
      </c>
      <c r="T16676" s="40">
        <v>0.1</v>
      </c>
    </row>
    <row r="16677" spans="19:20" x14ac:dyDescent="0.25">
      <c r="S16677" s="78">
        <v>44064</v>
      </c>
      <c r="T16677" s="40">
        <v>0.1</v>
      </c>
    </row>
    <row r="16678" spans="19:20" x14ac:dyDescent="0.25">
      <c r="S16678" s="78">
        <v>44065</v>
      </c>
      <c r="T16678" s="40">
        <v>0.1</v>
      </c>
    </row>
    <row r="16679" spans="19:20" x14ac:dyDescent="0.25">
      <c r="S16679" s="78">
        <v>44066</v>
      </c>
      <c r="T16679" s="40">
        <v>0.1</v>
      </c>
    </row>
    <row r="16680" spans="19:20" x14ac:dyDescent="0.25">
      <c r="S16680" s="78">
        <v>44067</v>
      </c>
      <c r="T16680" s="40">
        <v>0.1</v>
      </c>
    </row>
    <row r="16681" spans="19:20" x14ac:dyDescent="0.25">
      <c r="S16681" s="78">
        <v>44068</v>
      </c>
      <c r="T16681" s="40">
        <v>0.1</v>
      </c>
    </row>
    <row r="16682" spans="19:20" x14ac:dyDescent="0.25">
      <c r="S16682" s="78">
        <v>44069</v>
      </c>
      <c r="T16682" s="40">
        <v>0.1</v>
      </c>
    </row>
    <row r="16683" spans="19:20" x14ac:dyDescent="0.25">
      <c r="S16683" s="78">
        <v>44070</v>
      </c>
      <c r="T16683" s="40">
        <v>0.1</v>
      </c>
    </row>
    <row r="16684" spans="19:20" x14ac:dyDescent="0.25">
      <c r="S16684" s="78">
        <v>44071</v>
      </c>
      <c r="T16684" s="40">
        <v>0.1</v>
      </c>
    </row>
    <row r="16685" spans="19:20" x14ac:dyDescent="0.25">
      <c r="S16685" s="78">
        <v>44072</v>
      </c>
      <c r="T16685" s="40">
        <v>0.1</v>
      </c>
    </row>
    <row r="16686" spans="19:20" x14ac:dyDescent="0.25">
      <c r="S16686" s="78">
        <v>44073</v>
      </c>
      <c r="T16686" s="40">
        <v>0.1</v>
      </c>
    </row>
    <row r="16687" spans="19:20" x14ac:dyDescent="0.25">
      <c r="S16687" s="78">
        <v>44074</v>
      </c>
      <c r="T16687" s="40">
        <v>0.1</v>
      </c>
    </row>
    <row r="16688" spans="19:20" x14ac:dyDescent="0.25">
      <c r="S16688" s="78">
        <v>44075</v>
      </c>
      <c r="T16688" s="40">
        <v>0.1</v>
      </c>
    </row>
    <row r="16689" spans="19:20" x14ac:dyDescent="0.25">
      <c r="S16689" s="78">
        <v>44076</v>
      </c>
      <c r="T16689" s="40">
        <v>0.1</v>
      </c>
    </row>
    <row r="16690" spans="19:20" x14ac:dyDescent="0.25">
      <c r="S16690" s="78">
        <v>44077</v>
      </c>
      <c r="T16690" s="40">
        <v>0.1</v>
      </c>
    </row>
    <row r="16691" spans="19:20" x14ac:dyDescent="0.25">
      <c r="S16691" s="78">
        <v>44078</v>
      </c>
      <c r="T16691" s="40">
        <v>0.1</v>
      </c>
    </row>
    <row r="16692" spans="19:20" x14ac:dyDescent="0.25">
      <c r="S16692" s="78">
        <v>44079</v>
      </c>
      <c r="T16692" s="40">
        <v>0.1</v>
      </c>
    </row>
    <row r="16693" spans="19:20" x14ac:dyDescent="0.25">
      <c r="S16693" s="78">
        <v>44080</v>
      </c>
      <c r="T16693" s="40">
        <v>0.1</v>
      </c>
    </row>
    <row r="16694" spans="19:20" x14ac:dyDescent="0.25">
      <c r="S16694" s="78">
        <v>44081</v>
      </c>
      <c r="T16694" s="40">
        <v>0.1</v>
      </c>
    </row>
    <row r="16695" spans="19:20" x14ac:dyDescent="0.25">
      <c r="S16695" s="78">
        <v>44082</v>
      </c>
      <c r="T16695" s="40">
        <v>0.1</v>
      </c>
    </row>
    <row r="16696" spans="19:20" x14ac:dyDescent="0.25">
      <c r="S16696" s="78">
        <v>44083</v>
      </c>
      <c r="T16696" s="40">
        <v>0.1</v>
      </c>
    </row>
    <row r="16697" spans="19:20" x14ac:dyDescent="0.25">
      <c r="S16697" s="78">
        <v>44084</v>
      </c>
      <c r="T16697" s="40">
        <v>0.1</v>
      </c>
    </row>
    <row r="16698" spans="19:20" x14ac:dyDescent="0.25">
      <c r="S16698" s="78">
        <v>44085</v>
      </c>
      <c r="T16698" s="40">
        <v>0.1</v>
      </c>
    </row>
    <row r="16699" spans="19:20" x14ac:dyDescent="0.25">
      <c r="S16699" s="78">
        <v>44086</v>
      </c>
      <c r="T16699" s="40">
        <v>0.1</v>
      </c>
    </row>
    <row r="16700" spans="19:20" x14ac:dyDescent="0.25">
      <c r="S16700" s="78">
        <v>44087</v>
      </c>
      <c r="T16700" s="40">
        <v>0.1</v>
      </c>
    </row>
    <row r="16701" spans="19:20" x14ac:dyDescent="0.25">
      <c r="S16701" s="78">
        <v>44088</v>
      </c>
      <c r="T16701" s="40">
        <v>0.1</v>
      </c>
    </row>
    <row r="16702" spans="19:20" x14ac:dyDescent="0.25">
      <c r="S16702" s="78">
        <v>44089</v>
      </c>
      <c r="T16702" s="40">
        <v>0.1</v>
      </c>
    </row>
    <row r="16703" spans="19:20" x14ac:dyDescent="0.25">
      <c r="S16703" s="78">
        <v>44090</v>
      </c>
      <c r="T16703" s="40">
        <v>0.1</v>
      </c>
    </row>
    <row r="16704" spans="19:20" x14ac:dyDescent="0.25">
      <c r="S16704" s="78">
        <v>44091</v>
      </c>
      <c r="T16704" s="40">
        <v>0.1</v>
      </c>
    </row>
    <row r="16705" spans="19:21" x14ac:dyDescent="0.25">
      <c r="S16705" s="78">
        <v>44092</v>
      </c>
      <c r="T16705" s="40">
        <v>0.1</v>
      </c>
    </row>
    <row r="16706" spans="19:21" x14ac:dyDescent="0.25">
      <c r="S16706" s="78">
        <v>44093</v>
      </c>
      <c r="T16706" s="40">
        <v>0.1</v>
      </c>
    </row>
    <row r="16707" spans="19:21" x14ac:dyDescent="0.25">
      <c r="S16707" s="78">
        <v>44094</v>
      </c>
      <c r="T16707" s="40">
        <v>0.1</v>
      </c>
    </row>
    <row r="16708" spans="19:21" x14ac:dyDescent="0.25">
      <c r="S16708" s="78">
        <v>44095</v>
      </c>
      <c r="T16708" s="40">
        <v>0.1</v>
      </c>
    </row>
    <row r="16709" spans="19:21" x14ac:dyDescent="0.25">
      <c r="S16709" s="78">
        <v>44096</v>
      </c>
      <c r="T16709" s="40">
        <v>0.1</v>
      </c>
    </row>
    <row r="16710" spans="19:21" x14ac:dyDescent="0.25">
      <c r="S16710" s="78">
        <v>44097</v>
      </c>
      <c r="T16710" s="40">
        <v>0.1</v>
      </c>
    </row>
    <row r="16711" spans="19:21" x14ac:dyDescent="0.25">
      <c r="S16711" s="78">
        <v>44098</v>
      </c>
      <c r="T16711" s="40">
        <v>0.1</v>
      </c>
    </row>
    <row r="16712" spans="19:21" x14ac:dyDescent="0.25">
      <c r="S16712" s="78">
        <v>44099</v>
      </c>
      <c r="T16712" s="40">
        <v>0.1</v>
      </c>
    </row>
    <row r="16713" spans="19:21" x14ac:dyDescent="0.25">
      <c r="S16713" s="78">
        <v>44100</v>
      </c>
      <c r="T16713" s="40">
        <v>0.1</v>
      </c>
    </row>
    <row r="16714" spans="19:21" x14ac:dyDescent="0.25">
      <c r="S16714" s="78">
        <v>44101</v>
      </c>
      <c r="T16714" s="40">
        <v>0.1</v>
      </c>
    </row>
    <row r="16715" spans="19:21" x14ac:dyDescent="0.25">
      <c r="S16715" s="78">
        <v>44102</v>
      </c>
      <c r="T16715" s="40">
        <v>0.1</v>
      </c>
    </row>
    <row r="16716" spans="19:21" x14ac:dyDescent="0.25">
      <c r="S16716" s="78">
        <v>44103</v>
      </c>
      <c r="T16716" s="40">
        <v>0.1</v>
      </c>
    </row>
    <row r="16717" spans="19:21" x14ac:dyDescent="0.25">
      <c r="S16717" s="78">
        <v>44104</v>
      </c>
      <c r="T16717" s="40">
        <v>0.1</v>
      </c>
      <c r="U16717" s="40">
        <f>AVERAGE(T16626:T16717)</f>
        <v>9.9999999999999825E-2</v>
      </c>
    </row>
    <row r="16718" spans="19:21" x14ac:dyDescent="0.25">
      <c r="S16718" s="78">
        <v>44105</v>
      </c>
      <c r="T16718" s="40">
        <v>0.1</v>
      </c>
    </row>
    <row r="16719" spans="19:21" x14ac:dyDescent="0.25">
      <c r="S16719" s="78">
        <v>44106</v>
      </c>
      <c r="T16719" s="40">
        <v>0.1</v>
      </c>
    </row>
    <row r="16720" spans="19:21" x14ac:dyDescent="0.25">
      <c r="S16720" s="78">
        <v>44107</v>
      </c>
      <c r="T16720" s="40">
        <v>0.1</v>
      </c>
    </row>
    <row r="16721" spans="19:20" x14ac:dyDescent="0.25">
      <c r="S16721" s="78">
        <v>44108</v>
      </c>
      <c r="T16721" s="40">
        <v>0.1</v>
      </c>
    </row>
    <row r="16722" spans="19:20" x14ac:dyDescent="0.25">
      <c r="S16722" s="78">
        <v>44109</v>
      </c>
      <c r="T16722" s="40">
        <v>0.1</v>
      </c>
    </row>
    <row r="16723" spans="19:20" x14ac:dyDescent="0.25">
      <c r="S16723" s="78">
        <v>44110</v>
      </c>
      <c r="T16723" s="40">
        <v>0.1</v>
      </c>
    </row>
    <row r="16724" spans="19:20" x14ac:dyDescent="0.25">
      <c r="S16724" s="78">
        <v>44111</v>
      </c>
      <c r="T16724" s="40">
        <v>0.1</v>
      </c>
    </row>
    <row r="16725" spans="19:20" x14ac:dyDescent="0.25">
      <c r="S16725" s="78">
        <v>44112</v>
      </c>
      <c r="T16725" s="40">
        <v>0.1</v>
      </c>
    </row>
    <row r="16726" spans="19:20" x14ac:dyDescent="0.25">
      <c r="S16726" s="78">
        <v>44113</v>
      </c>
      <c r="T16726" s="40">
        <v>0.1</v>
      </c>
    </row>
    <row r="16727" spans="19:20" x14ac:dyDescent="0.25">
      <c r="S16727" s="78">
        <v>44114</v>
      </c>
      <c r="T16727" s="40">
        <v>0.1</v>
      </c>
    </row>
    <row r="16728" spans="19:20" x14ac:dyDescent="0.25">
      <c r="S16728" s="78">
        <v>44115</v>
      </c>
      <c r="T16728" s="40">
        <v>0.1</v>
      </c>
    </row>
    <row r="16729" spans="19:20" x14ac:dyDescent="0.25">
      <c r="S16729" s="78">
        <v>44116</v>
      </c>
      <c r="T16729" s="40">
        <v>0.1</v>
      </c>
    </row>
    <row r="16730" spans="19:20" x14ac:dyDescent="0.25">
      <c r="S16730" s="78">
        <v>44117</v>
      </c>
      <c r="T16730" s="40">
        <v>0.1</v>
      </c>
    </row>
    <row r="16731" spans="19:20" x14ac:dyDescent="0.25">
      <c r="S16731" s="78">
        <v>44118</v>
      </c>
      <c r="T16731" s="40">
        <v>0.1</v>
      </c>
    </row>
    <row r="16732" spans="19:20" x14ac:dyDescent="0.25">
      <c r="S16732" s="78">
        <v>44119</v>
      </c>
      <c r="T16732" s="40">
        <v>0.1</v>
      </c>
    </row>
    <row r="16733" spans="19:20" x14ac:dyDescent="0.25">
      <c r="S16733" s="78">
        <v>44120</v>
      </c>
      <c r="T16733" s="40">
        <v>0.1</v>
      </c>
    </row>
    <row r="16734" spans="19:20" x14ac:dyDescent="0.25">
      <c r="S16734" s="78">
        <v>44121</v>
      </c>
      <c r="T16734" s="40">
        <v>0.1</v>
      </c>
    </row>
    <row r="16735" spans="19:20" x14ac:dyDescent="0.25">
      <c r="S16735" s="78">
        <v>44122</v>
      </c>
      <c r="T16735" s="40">
        <v>0.1</v>
      </c>
    </row>
    <row r="16736" spans="19:20" x14ac:dyDescent="0.25">
      <c r="S16736" s="78">
        <v>44123</v>
      </c>
      <c r="T16736" s="40">
        <v>0.1</v>
      </c>
    </row>
    <row r="16737" spans="19:20" x14ac:dyDescent="0.25">
      <c r="S16737" s="78">
        <v>44124</v>
      </c>
      <c r="T16737" s="40">
        <v>0.1</v>
      </c>
    </row>
    <row r="16738" spans="19:20" x14ac:dyDescent="0.25">
      <c r="S16738" s="78">
        <v>44125</v>
      </c>
      <c r="T16738" s="40">
        <v>0.1</v>
      </c>
    </row>
    <row r="16739" spans="19:20" x14ac:dyDescent="0.25">
      <c r="S16739" s="78">
        <v>44126</v>
      </c>
      <c r="T16739" s="40">
        <v>0.1</v>
      </c>
    </row>
    <row r="16740" spans="19:20" x14ac:dyDescent="0.25">
      <c r="S16740" s="78">
        <v>44127</v>
      </c>
      <c r="T16740" s="40">
        <v>0.1</v>
      </c>
    </row>
    <row r="16741" spans="19:20" x14ac:dyDescent="0.25">
      <c r="S16741" s="78">
        <v>44128</v>
      </c>
      <c r="T16741" s="40">
        <v>0.1</v>
      </c>
    </row>
    <row r="16742" spans="19:20" x14ac:dyDescent="0.25">
      <c r="S16742" s="78">
        <v>44129</v>
      </c>
      <c r="T16742" s="40">
        <v>0.1</v>
      </c>
    </row>
    <row r="16743" spans="19:20" x14ac:dyDescent="0.25">
      <c r="S16743" s="78">
        <v>44130</v>
      </c>
      <c r="T16743" s="40">
        <v>0.1</v>
      </c>
    </row>
    <row r="16744" spans="19:20" x14ac:dyDescent="0.25">
      <c r="S16744" s="78">
        <v>44131</v>
      </c>
      <c r="T16744" s="40">
        <v>0.1</v>
      </c>
    </row>
    <row r="16745" spans="19:20" x14ac:dyDescent="0.25">
      <c r="S16745" s="78">
        <v>44132</v>
      </c>
      <c r="T16745" s="40">
        <v>0.1</v>
      </c>
    </row>
    <row r="16746" spans="19:20" x14ac:dyDescent="0.25">
      <c r="S16746" s="78">
        <v>44133</v>
      </c>
      <c r="T16746" s="40">
        <v>0.1</v>
      </c>
    </row>
    <row r="16747" spans="19:20" x14ac:dyDescent="0.25">
      <c r="S16747" s="78">
        <v>44134</v>
      </c>
      <c r="T16747" s="40">
        <v>0.1</v>
      </c>
    </row>
    <row r="16748" spans="19:20" x14ac:dyDescent="0.25">
      <c r="S16748" s="78">
        <v>44135</v>
      </c>
      <c r="T16748" s="40">
        <v>0.1</v>
      </c>
    </row>
    <row r="16749" spans="19:20" x14ac:dyDescent="0.25">
      <c r="S16749" s="78">
        <v>44136</v>
      </c>
      <c r="T16749" s="40">
        <v>0.1</v>
      </c>
    </row>
    <row r="16750" spans="19:20" x14ac:dyDescent="0.25">
      <c r="S16750" s="78">
        <v>44137</v>
      </c>
      <c r="T16750" s="40">
        <v>0.1</v>
      </c>
    </row>
    <row r="16751" spans="19:20" x14ac:dyDescent="0.25">
      <c r="S16751" s="78">
        <v>44138</v>
      </c>
      <c r="T16751" s="40">
        <v>0.1</v>
      </c>
    </row>
    <row r="16752" spans="19:20" x14ac:dyDescent="0.25">
      <c r="S16752" s="78">
        <v>44139</v>
      </c>
      <c r="T16752" s="40">
        <v>0.1</v>
      </c>
    </row>
    <row r="16753" spans="19:20" x14ac:dyDescent="0.25">
      <c r="S16753" s="78">
        <v>44140</v>
      </c>
      <c r="T16753" s="40">
        <v>0.1</v>
      </c>
    </row>
    <row r="16754" spans="19:20" x14ac:dyDescent="0.25">
      <c r="S16754" s="78">
        <v>44141</v>
      </c>
      <c r="T16754" s="40">
        <v>0.1</v>
      </c>
    </row>
    <row r="16755" spans="19:20" x14ac:dyDescent="0.25">
      <c r="S16755" s="78">
        <v>44142</v>
      </c>
      <c r="T16755" s="40">
        <v>0.1</v>
      </c>
    </row>
    <row r="16756" spans="19:20" x14ac:dyDescent="0.25">
      <c r="S16756" s="78">
        <v>44143</v>
      </c>
      <c r="T16756" s="40">
        <v>0.1</v>
      </c>
    </row>
    <row r="16757" spans="19:20" x14ac:dyDescent="0.25">
      <c r="S16757" s="78">
        <v>44144</v>
      </c>
      <c r="T16757" s="40">
        <v>0.1</v>
      </c>
    </row>
    <row r="16758" spans="19:20" x14ac:dyDescent="0.25">
      <c r="S16758" s="78">
        <v>44145</v>
      </c>
      <c r="T16758" s="40">
        <v>0.1</v>
      </c>
    </row>
    <row r="16759" spans="19:20" x14ac:dyDescent="0.25">
      <c r="S16759" s="78">
        <v>44146</v>
      </c>
      <c r="T16759" s="40">
        <v>0.1</v>
      </c>
    </row>
    <row r="16760" spans="19:20" x14ac:dyDescent="0.25">
      <c r="S16760" s="78">
        <v>44147</v>
      </c>
      <c r="T16760" s="40">
        <v>0.1</v>
      </c>
    </row>
    <row r="16761" spans="19:20" x14ac:dyDescent="0.25">
      <c r="S16761" s="78">
        <v>44148</v>
      </c>
      <c r="T16761" s="40">
        <v>0.1</v>
      </c>
    </row>
    <row r="16762" spans="19:20" x14ac:dyDescent="0.25">
      <c r="S16762" s="78">
        <v>44149</v>
      </c>
      <c r="T16762" s="40">
        <v>0.1</v>
      </c>
    </row>
    <row r="16763" spans="19:20" x14ac:dyDescent="0.25">
      <c r="S16763" s="78">
        <v>44150</v>
      </c>
      <c r="T16763" s="40">
        <v>0.1</v>
      </c>
    </row>
    <row r="16764" spans="19:20" x14ac:dyDescent="0.25">
      <c r="S16764" s="78">
        <v>44151</v>
      </c>
      <c r="T16764" s="40">
        <v>0.1</v>
      </c>
    </row>
    <row r="16765" spans="19:20" x14ac:dyDescent="0.25">
      <c r="S16765" s="78">
        <v>44152</v>
      </c>
      <c r="T16765" s="40">
        <v>0.1</v>
      </c>
    </row>
    <row r="16766" spans="19:20" x14ac:dyDescent="0.25">
      <c r="S16766" s="78">
        <v>44153</v>
      </c>
      <c r="T16766" s="40">
        <v>0.1</v>
      </c>
    </row>
    <row r="16767" spans="19:20" x14ac:dyDescent="0.25">
      <c r="S16767" s="78">
        <v>44154</v>
      </c>
      <c r="T16767" s="40">
        <v>0.1</v>
      </c>
    </row>
    <row r="16768" spans="19:20" x14ac:dyDescent="0.25">
      <c r="S16768" s="78">
        <v>44155</v>
      </c>
      <c r="T16768" s="40">
        <v>0.1</v>
      </c>
    </row>
    <row r="16769" spans="19:20" x14ac:dyDescent="0.25">
      <c r="S16769" s="78">
        <v>44156</v>
      </c>
      <c r="T16769" s="40">
        <v>0.1</v>
      </c>
    </row>
    <row r="16770" spans="19:20" x14ac:dyDescent="0.25">
      <c r="S16770" s="78">
        <v>44157</v>
      </c>
      <c r="T16770" s="40">
        <v>0.1</v>
      </c>
    </row>
    <row r="16771" spans="19:20" x14ac:dyDescent="0.25">
      <c r="S16771" s="78">
        <v>44158</v>
      </c>
      <c r="T16771" s="40">
        <v>0.1</v>
      </c>
    </row>
    <row r="16772" spans="19:20" x14ac:dyDescent="0.25">
      <c r="S16772" s="78">
        <v>44159</v>
      </c>
      <c r="T16772" s="40">
        <v>0.1</v>
      </c>
    </row>
    <row r="16773" spans="19:20" x14ac:dyDescent="0.25">
      <c r="S16773" s="78">
        <v>44160</v>
      </c>
      <c r="T16773" s="40">
        <v>0.1</v>
      </c>
    </row>
    <row r="16774" spans="19:20" x14ac:dyDescent="0.25">
      <c r="S16774" s="78">
        <v>44161</v>
      </c>
      <c r="T16774" s="40">
        <v>0.1</v>
      </c>
    </row>
    <row r="16775" spans="19:20" x14ac:dyDescent="0.25">
      <c r="S16775" s="78">
        <v>44162</v>
      </c>
      <c r="T16775" s="40">
        <v>0.1</v>
      </c>
    </row>
    <row r="16776" spans="19:20" x14ac:dyDescent="0.25">
      <c r="S16776" s="78">
        <v>44163</v>
      </c>
      <c r="T16776" s="40">
        <v>0.1</v>
      </c>
    </row>
    <row r="16777" spans="19:20" x14ac:dyDescent="0.25">
      <c r="S16777" s="78">
        <v>44164</v>
      </c>
      <c r="T16777" s="40">
        <v>0.1</v>
      </c>
    </row>
    <row r="16778" spans="19:20" x14ac:dyDescent="0.25">
      <c r="S16778" s="78">
        <v>44165</v>
      </c>
      <c r="T16778" s="40">
        <v>0.1</v>
      </c>
    </row>
    <row r="16779" spans="19:20" x14ac:dyDescent="0.25">
      <c r="S16779" s="78">
        <v>44166</v>
      </c>
      <c r="T16779" s="40">
        <v>0.1</v>
      </c>
    </row>
    <row r="16780" spans="19:20" x14ac:dyDescent="0.25">
      <c r="S16780" s="78">
        <v>44167</v>
      </c>
      <c r="T16780" s="40">
        <v>0.1</v>
      </c>
    </row>
    <row r="16781" spans="19:20" x14ac:dyDescent="0.25">
      <c r="S16781" s="78">
        <v>44168</v>
      </c>
      <c r="T16781" s="40">
        <v>0.1</v>
      </c>
    </row>
    <row r="16782" spans="19:20" x14ac:dyDescent="0.25">
      <c r="S16782" s="78">
        <v>44169</v>
      </c>
      <c r="T16782" s="40">
        <v>0.1</v>
      </c>
    </row>
    <row r="16783" spans="19:20" x14ac:dyDescent="0.25">
      <c r="S16783" s="78">
        <v>44170</v>
      </c>
      <c r="T16783" s="40">
        <v>0.1</v>
      </c>
    </row>
    <row r="16784" spans="19:20" x14ac:dyDescent="0.25">
      <c r="S16784" s="78">
        <v>44171</v>
      </c>
      <c r="T16784" s="40">
        <v>0.1</v>
      </c>
    </row>
    <row r="16785" spans="19:20" x14ac:dyDescent="0.25">
      <c r="S16785" s="78">
        <v>44172</v>
      </c>
      <c r="T16785" s="40">
        <v>0.1</v>
      </c>
    </row>
    <row r="16786" spans="19:20" x14ac:dyDescent="0.25">
      <c r="S16786" s="78">
        <v>44173</v>
      </c>
      <c r="T16786" s="40">
        <v>0.1</v>
      </c>
    </row>
    <row r="16787" spans="19:20" x14ac:dyDescent="0.25">
      <c r="S16787" s="78">
        <v>44174</v>
      </c>
      <c r="T16787" s="40">
        <v>0.1</v>
      </c>
    </row>
    <row r="16788" spans="19:20" x14ac:dyDescent="0.25">
      <c r="S16788" s="78">
        <v>44175</v>
      </c>
      <c r="T16788" s="40">
        <v>0.1</v>
      </c>
    </row>
    <row r="16789" spans="19:20" x14ac:dyDescent="0.25">
      <c r="S16789" s="78">
        <v>44176</v>
      </c>
      <c r="T16789" s="40">
        <v>0.1</v>
      </c>
    </row>
    <row r="16790" spans="19:20" x14ac:dyDescent="0.25">
      <c r="S16790" s="78">
        <v>44177</v>
      </c>
      <c r="T16790" s="40">
        <v>0.1</v>
      </c>
    </row>
    <row r="16791" spans="19:20" x14ac:dyDescent="0.25">
      <c r="S16791" s="78">
        <v>44178</v>
      </c>
      <c r="T16791" s="40">
        <v>0.1</v>
      </c>
    </row>
    <row r="16792" spans="19:20" x14ac:dyDescent="0.25">
      <c r="S16792" s="78">
        <v>44179</v>
      </c>
      <c r="T16792" s="40">
        <v>0.1</v>
      </c>
    </row>
    <row r="16793" spans="19:20" x14ac:dyDescent="0.25">
      <c r="S16793" s="78">
        <v>44180</v>
      </c>
      <c r="T16793" s="40">
        <v>0.1</v>
      </c>
    </row>
    <row r="16794" spans="19:20" x14ac:dyDescent="0.25">
      <c r="S16794" s="78">
        <v>44181</v>
      </c>
      <c r="T16794" s="40">
        <v>0.1</v>
      </c>
    </row>
    <row r="16795" spans="19:20" x14ac:dyDescent="0.25">
      <c r="S16795" s="78">
        <v>44182</v>
      </c>
      <c r="T16795" s="40">
        <v>0.1</v>
      </c>
    </row>
    <row r="16796" spans="19:20" x14ac:dyDescent="0.25">
      <c r="S16796" s="78">
        <v>44183</v>
      </c>
      <c r="T16796" s="40">
        <v>0.1</v>
      </c>
    </row>
    <row r="16797" spans="19:20" x14ac:dyDescent="0.25">
      <c r="S16797" s="78">
        <v>44184</v>
      </c>
      <c r="T16797" s="40">
        <v>0.1</v>
      </c>
    </row>
    <row r="16798" spans="19:20" x14ac:dyDescent="0.25">
      <c r="S16798" s="78">
        <v>44185</v>
      </c>
      <c r="T16798" s="40">
        <v>0.1</v>
      </c>
    </row>
    <row r="16799" spans="19:20" x14ac:dyDescent="0.25">
      <c r="S16799" s="78">
        <v>44186</v>
      </c>
      <c r="T16799" s="40">
        <v>0.1</v>
      </c>
    </row>
    <row r="16800" spans="19:20" x14ac:dyDescent="0.25">
      <c r="S16800" s="78">
        <v>44187</v>
      </c>
      <c r="T16800" s="40">
        <v>0.1</v>
      </c>
    </row>
    <row r="16801" spans="19:21" x14ac:dyDescent="0.25">
      <c r="S16801" s="78">
        <v>44188</v>
      </c>
      <c r="T16801" s="40">
        <v>0.1</v>
      </c>
    </row>
    <row r="16802" spans="19:21" x14ac:dyDescent="0.25">
      <c r="S16802" s="78">
        <v>44189</v>
      </c>
      <c r="T16802" s="40">
        <v>0.1</v>
      </c>
    </row>
    <row r="16803" spans="19:21" x14ac:dyDescent="0.25">
      <c r="S16803" s="78">
        <v>44190</v>
      </c>
      <c r="T16803" s="40">
        <v>0.1</v>
      </c>
    </row>
    <row r="16804" spans="19:21" x14ac:dyDescent="0.25">
      <c r="S16804" s="78">
        <v>44191</v>
      </c>
      <c r="T16804" s="40">
        <v>0.1</v>
      </c>
    </row>
    <row r="16805" spans="19:21" x14ac:dyDescent="0.25">
      <c r="S16805" s="78">
        <v>44192</v>
      </c>
      <c r="T16805" s="40">
        <v>0.1</v>
      </c>
    </row>
    <row r="16806" spans="19:21" x14ac:dyDescent="0.25">
      <c r="S16806" s="78">
        <v>44193</v>
      </c>
      <c r="T16806" s="40">
        <v>0.1</v>
      </c>
    </row>
    <row r="16807" spans="19:21" x14ac:dyDescent="0.25">
      <c r="S16807" s="78">
        <v>44194</v>
      </c>
      <c r="T16807" s="40">
        <v>0.1</v>
      </c>
    </row>
    <row r="16808" spans="19:21" x14ac:dyDescent="0.25">
      <c r="S16808" s="78">
        <v>44195</v>
      </c>
      <c r="T16808" s="40">
        <v>0.1</v>
      </c>
    </row>
    <row r="16809" spans="19:21" x14ac:dyDescent="0.25">
      <c r="S16809" s="78">
        <v>44196</v>
      </c>
      <c r="T16809" s="40">
        <v>0.1</v>
      </c>
      <c r="U16809" s="40">
        <f>AVERAGE(T16718:T16809)</f>
        <v>9.9999999999999825E-2</v>
      </c>
    </row>
    <row r="16810" spans="19:21" x14ac:dyDescent="0.25">
      <c r="S16810" s="78">
        <v>44197</v>
      </c>
      <c r="T16810" s="40">
        <v>0.1</v>
      </c>
    </row>
    <row r="16811" spans="19:21" x14ac:dyDescent="0.25">
      <c r="S16811" s="78">
        <v>44198</v>
      </c>
      <c r="T16811" s="40">
        <v>0.1</v>
      </c>
    </row>
    <row r="16812" spans="19:21" x14ac:dyDescent="0.25">
      <c r="S16812" s="78">
        <v>44199</v>
      </c>
      <c r="T16812" s="40">
        <v>0.1</v>
      </c>
    </row>
    <row r="16813" spans="19:21" x14ac:dyDescent="0.25">
      <c r="S16813" s="78">
        <v>44200</v>
      </c>
      <c r="T16813" s="40">
        <v>0.1</v>
      </c>
    </row>
    <row r="16814" spans="19:21" x14ac:dyDescent="0.25">
      <c r="S16814" s="78">
        <v>44201</v>
      </c>
      <c r="T16814" s="40">
        <v>0.1</v>
      </c>
    </row>
    <row r="16815" spans="19:21" x14ac:dyDescent="0.25">
      <c r="S16815" s="78">
        <v>44202</v>
      </c>
      <c r="T16815" s="40">
        <v>0.1</v>
      </c>
    </row>
    <row r="16816" spans="19:21" x14ac:dyDescent="0.25">
      <c r="S16816" s="78">
        <v>44203</v>
      </c>
      <c r="T16816" s="40">
        <v>0.1</v>
      </c>
    </row>
    <row r="16817" spans="19:20" x14ac:dyDescent="0.25">
      <c r="S16817" s="78">
        <v>44204</v>
      </c>
      <c r="T16817" s="40">
        <v>0.1</v>
      </c>
    </row>
    <row r="16818" spans="19:20" x14ac:dyDescent="0.25">
      <c r="S16818" s="78">
        <v>44205</v>
      </c>
      <c r="T16818" s="40">
        <v>0.1</v>
      </c>
    </row>
    <row r="16819" spans="19:20" x14ac:dyDescent="0.25">
      <c r="S16819" s="78">
        <v>44206</v>
      </c>
      <c r="T16819" s="40">
        <v>0.1</v>
      </c>
    </row>
    <row r="16820" spans="19:20" x14ac:dyDescent="0.25">
      <c r="S16820" s="78">
        <v>44207</v>
      </c>
      <c r="T16820" s="40">
        <v>0.1</v>
      </c>
    </row>
    <row r="16821" spans="19:20" x14ac:dyDescent="0.25">
      <c r="S16821" s="78">
        <v>44208</v>
      </c>
      <c r="T16821" s="40">
        <v>0.1</v>
      </c>
    </row>
    <row r="16822" spans="19:20" x14ac:dyDescent="0.25">
      <c r="S16822" s="78">
        <v>44209</v>
      </c>
      <c r="T16822" s="40">
        <v>0.1</v>
      </c>
    </row>
    <row r="16823" spans="19:20" x14ac:dyDescent="0.25">
      <c r="S16823" s="78">
        <v>44210</v>
      </c>
      <c r="T16823" s="40">
        <v>0.1</v>
      </c>
    </row>
    <row r="16824" spans="19:20" x14ac:dyDescent="0.25">
      <c r="S16824" s="78">
        <v>44211</v>
      </c>
      <c r="T16824" s="40">
        <v>0.1</v>
      </c>
    </row>
    <row r="16825" spans="19:20" x14ac:dyDescent="0.25">
      <c r="S16825" s="78">
        <v>44212</v>
      </c>
      <c r="T16825" s="40">
        <v>0.1</v>
      </c>
    </row>
    <row r="16826" spans="19:20" x14ac:dyDescent="0.25">
      <c r="S16826" s="78">
        <v>44213</v>
      </c>
      <c r="T16826" s="40">
        <v>0.1</v>
      </c>
    </row>
    <row r="16827" spans="19:20" x14ac:dyDescent="0.25">
      <c r="S16827" s="78">
        <v>44214</v>
      </c>
      <c r="T16827" s="40">
        <v>0.1</v>
      </c>
    </row>
    <row r="16828" spans="19:20" x14ac:dyDescent="0.25">
      <c r="S16828" s="78">
        <v>44215</v>
      </c>
      <c r="T16828" s="40">
        <v>0.1</v>
      </c>
    </row>
    <row r="16829" spans="19:20" x14ac:dyDescent="0.25">
      <c r="S16829" s="78">
        <v>44216</v>
      </c>
      <c r="T16829" s="40">
        <v>0.1</v>
      </c>
    </row>
    <row r="16830" spans="19:20" x14ac:dyDescent="0.25">
      <c r="S16830" s="78">
        <v>44217</v>
      </c>
      <c r="T16830" s="40">
        <v>0.1</v>
      </c>
    </row>
    <row r="16831" spans="19:20" x14ac:dyDescent="0.25">
      <c r="S16831" s="78">
        <v>44218</v>
      </c>
      <c r="T16831" s="40">
        <v>0.1</v>
      </c>
    </row>
    <row r="16832" spans="19:20" x14ac:dyDescent="0.25">
      <c r="S16832" s="78">
        <v>44219</v>
      </c>
      <c r="T16832" s="40">
        <v>0.1</v>
      </c>
    </row>
    <row r="16833" spans="19:20" x14ac:dyDescent="0.25">
      <c r="S16833" s="78">
        <v>44220</v>
      </c>
      <c r="T16833" s="40">
        <v>0.1</v>
      </c>
    </row>
    <row r="16834" spans="19:20" x14ac:dyDescent="0.25">
      <c r="S16834" s="78">
        <v>44221</v>
      </c>
      <c r="T16834" s="40">
        <v>0.1</v>
      </c>
    </row>
    <row r="16835" spans="19:20" x14ac:dyDescent="0.25">
      <c r="S16835" s="78">
        <v>44222</v>
      </c>
      <c r="T16835" s="40">
        <v>0.1</v>
      </c>
    </row>
    <row r="16836" spans="19:20" x14ac:dyDescent="0.25">
      <c r="S16836" s="78">
        <v>44223</v>
      </c>
      <c r="T16836" s="40">
        <v>0.1</v>
      </c>
    </row>
    <row r="16837" spans="19:20" x14ac:dyDescent="0.25">
      <c r="S16837" s="78">
        <v>44224</v>
      </c>
      <c r="T16837" s="40">
        <v>0.1</v>
      </c>
    </row>
    <row r="16838" spans="19:20" x14ac:dyDescent="0.25">
      <c r="S16838" s="78">
        <v>44225</v>
      </c>
      <c r="T16838" s="40">
        <v>0.1</v>
      </c>
    </row>
    <row r="16839" spans="19:20" x14ac:dyDescent="0.25">
      <c r="S16839" s="78">
        <v>44226</v>
      </c>
      <c r="T16839" s="40">
        <v>0.1</v>
      </c>
    </row>
    <row r="16840" spans="19:20" x14ac:dyDescent="0.25">
      <c r="S16840" s="78">
        <v>44227</v>
      </c>
      <c r="T16840" s="40">
        <v>0.1</v>
      </c>
    </row>
    <row r="16841" spans="19:20" x14ac:dyDescent="0.25">
      <c r="S16841" s="78">
        <v>44228</v>
      </c>
      <c r="T16841" s="40">
        <v>0.1</v>
      </c>
    </row>
    <row r="16842" spans="19:20" x14ac:dyDescent="0.25">
      <c r="S16842" s="78">
        <v>44229</v>
      </c>
      <c r="T16842" s="40">
        <v>0.1</v>
      </c>
    </row>
    <row r="16843" spans="19:20" x14ac:dyDescent="0.25">
      <c r="S16843" s="78">
        <v>44230</v>
      </c>
      <c r="T16843" s="40">
        <v>0.1</v>
      </c>
    </row>
    <row r="16844" spans="19:20" x14ac:dyDescent="0.25">
      <c r="S16844" s="78">
        <v>44231</v>
      </c>
      <c r="T16844" s="40">
        <v>0.1</v>
      </c>
    </row>
    <row r="16845" spans="19:20" x14ac:dyDescent="0.25">
      <c r="S16845" s="78">
        <v>44232</v>
      </c>
      <c r="T16845" s="40">
        <v>0.1</v>
      </c>
    </row>
    <row r="16846" spans="19:20" x14ac:dyDescent="0.25">
      <c r="S16846" s="78">
        <v>44233</v>
      </c>
      <c r="T16846" s="40">
        <v>0.1</v>
      </c>
    </row>
    <row r="16847" spans="19:20" x14ac:dyDescent="0.25">
      <c r="S16847" s="78">
        <v>44234</v>
      </c>
      <c r="T16847" s="40">
        <v>0.1</v>
      </c>
    </row>
    <row r="16848" spans="19:20" x14ac:dyDescent="0.25">
      <c r="S16848" s="78">
        <v>44235</v>
      </c>
      <c r="T16848" s="40">
        <v>0.1</v>
      </c>
    </row>
    <row r="16849" spans="19:20" x14ac:dyDescent="0.25">
      <c r="S16849" s="78">
        <v>44236</v>
      </c>
      <c r="T16849" s="40">
        <v>0.1</v>
      </c>
    </row>
    <row r="16850" spans="19:20" x14ac:dyDescent="0.25">
      <c r="S16850" s="78">
        <v>44237</v>
      </c>
      <c r="T16850" s="40">
        <v>0.1</v>
      </c>
    </row>
    <row r="16851" spans="19:20" x14ac:dyDescent="0.25">
      <c r="S16851" s="78">
        <v>44238</v>
      </c>
      <c r="T16851" s="40">
        <v>0.1</v>
      </c>
    </row>
    <row r="16852" spans="19:20" x14ac:dyDescent="0.25">
      <c r="S16852" s="78">
        <v>44239</v>
      </c>
      <c r="T16852" s="40">
        <v>0.1</v>
      </c>
    </row>
    <row r="16853" spans="19:20" x14ac:dyDescent="0.25">
      <c r="S16853" s="78">
        <v>44240</v>
      </c>
      <c r="T16853" s="40">
        <v>0.1</v>
      </c>
    </row>
    <row r="16854" spans="19:20" x14ac:dyDescent="0.25">
      <c r="S16854" s="78">
        <v>44241</v>
      </c>
      <c r="T16854" s="40">
        <v>0.1</v>
      </c>
    </row>
    <row r="16855" spans="19:20" x14ac:dyDescent="0.25">
      <c r="S16855" s="78">
        <v>44242</v>
      </c>
      <c r="T16855" s="40">
        <v>0.1</v>
      </c>
    </row>
    <row r="16856" spans="19:20" x14ac:dyDescent="0.25">
      <c r="S16856" s="78">
        <v>44243</v>
      </c>
      <c r="T16856" s="40">
        <v>0.1</v>
      </c>
    </row>
    <row r="16857" spans="19:20" x14ac:dyDescent="0.25">
      <c r="S16857" s="78">
        <v>44244</v>
      </c>
      <c r="T16857" s="40">
        <v>0.1</v>
      </c>
    </row>
    <row r="16858" spans="19:20" x14ac:dyDescent="0.25">
      <c r="S16858" s="78">
        <v>44245</v>
      </c>
      <c r="T16858" s="40">
        <v>0.1</v>
      </c>
    </row>
    <row r="16859" spans="19:20" x14ac:dyDescent="0.25">
      <c r="S16859" s="78">
        <v>44246</v>
      </c>
      <c r="T16859" s="40">
        <v>0.1</v>
      </c>
    </row>
    <row r="16860" spans="19:20" x14ac:dyDescent="0.25">
      <c r="S16860" s="78">
        <v>44247</v>
      </c>
      <c r="T16860" s="40">
        <v>0.1</v>
      </c>
    </row>
    <row r="16861" spans="19:20" x14ac:dyDescent="0.25">
      <c r="S16861" s="78">
        <v>44248</v>
      </c>
      <c r="T16861" s="40">
        <v>0.1</v>
      </c>
    </row>
    <row r="16862" spans="19:20" x14ac:dyDescent="0.25">
      <c r="S16862" s="78">
        <v>44249</v>
      </c>
      <c r="T16862" s="40">
        <v>0.1</v>
      </c>
    </row>
    <row r="16863" spans="19:20" x14ac:dyDescent="0.25">
      <c r="S16863" s="78">
        <v>44250</v>
      </c>
      <c r="T16863" s="40">
        <v>0.1</v>
      </c>
    </row>
    <row r="16864" spans="19:20" x14ac:dyDescent="0.25">
      <c r="S16864" s="78">
        <v>44251</v>
      </c>
      <c r="T16864" s="40">
        <v>0.1</v>
      </c>
    </row>
    <row r="16865" spans="19:20" x14ac:dyDescent="0.25">
      <c r="S16865" s="78">
        <v>44252</v>
      </c>
      <c r="T16865" s="40">
        <v>0.1</v>
      </c>
    </row>
    <row r="16866" spans="19:20" x14ac:dyDescent="0.25">
      <c r="S16866" s="78">
        <v>44253</v>
      </c>
      <c r="T16866" s="40">
        <v>0.1</v>
      </c>
    </row>
    <row r="16867" spans="19:20" x14ac:dyDescent="0.25">
      <c r="S16867" s="78">
        <v>44254</v>
      </c>
      <c r="T16867" s="40">
        <v>0.1</v>
      </c>
    </row>
    <row r="16868" spans="19:20" x14ac:dyDescent="0.25">
      <c r="S16868" s="78">
        <v>44255</v>
      </c>
      <c r="T16868" s="40">
        <v>0.1</v>
      </c>
    </row>
    <row r="16869" spans="19:20" x14ac:dyDescent="0.25">
      <c r="S16869" s="78">
        <v>44256</v>
      </c>
      <c r="T16869" s="40">
        <v>0.1</v>
      </c>
    </row>
    <row r="16870" spans="19:20" x14ac:dyDescent="0.25">
      <c r="S16870" s="78">
        <v>44257</v>
      </c>
      <c r="T16870" s="40">
        <v>0.1</v>
      </c>
    </row>
    <row r="16871" spans="19:20" x14ac:dyDescent="0.25">
      <c r="S16871" s="78">
        <v>44258</v>
      </c>
      <c r="T16871" s="40">
        <v>0.1</v>
      </c>
    </row>
    <row r="16872" spans="19:20" x14ac:dyDescent="0.25">
      <c r="S16872" s="78">
        <v>44259</v>
      </c>
      <c r="T16872" s="40">
        <v>0.1</v>
      </c>
    </row>
    <row r="16873" spans="19:20" x14ac:dyDescent="0.25">
      <c r="S16873" s="78">
        <v>44260</v>
      </c>
      <c r="T16873" s="40">
        <v>0.1</v>
      </c>
    </row>
    <row r="16874" spans="19:20" x14ac:dyDescent="0.25">
      <c r="S16874" s="78">
        <v>44261</v>
      </c>
      <c r="T16874" s="40">
        <v>0.1</v>
      </c>
    </row>
    <row r="16875" spans="19:20" x14ac:dyDescent="0.25">
      <c r="S16875" s="78">
        <v>44262</v>
      </c>
      <c r="T16875" s="40">
        <v>0.1</v>
      </c>
    </row>
    <row r="16876" spans="19:20" x14ac:dyDescent="0.25">
      <c r="S16876" s="78">
        <v>44263</v>
      </c>
      <c r="T16876" s="40">
        <v>0.1</v>
      </c>
    </row>
    <row r="16877" spans="19:20" x14ac:dyDescent="0.25">
      <c r="S16877" s="78">
        <v>44264</v>
      </c>
      <c r="T16877" s="40">
        <v>0.1</v>
      </c>
    </row>
    <row r="16878" spans="19:20" x14ac:dyDescent="0.25">
      <c r="S16878" s="78">
        <v>44265</v>
      </c>
      <c r="T16878" s="40">
        <v>0.1</v>
      </c>
    </row>
    <row r="16879" spans="19:20" x14ac:dyDescent="0.25">
      <c r="S16879" s="78">
        <v>44266</v>
      </c>
      <c r="T16879" s="40">
        <v>0.1</v>
      </c>
    </row>
    <row r="16880" spans="19:20" x14ac:dyDescent="0.25">
      <c r="S16880" s="78">
        <v>44267</v>
      </c>
      <c r="T16880" s="40">
        <v>0.1</v>
      </c>
    </row>
    <row r="16881" spans="19:20" x14ac:dyDescent="0.25">
      <c r="S16881" s="78">
        <v>44268</v>
      </c>
      <c r="T16881" s="40">
        <v>0.1</v>
      </c>
    </row>
    <row r="16882" spans="19:20" x14ac:dyDescent="0.25">
      <c r="S16882" s="78">
        <v>44269</v>
      </c>
      <c r="T16882" s="40">
        <v>0.1</v>
      </c>
    </row>
    <row r="16883" spans="19:20" x14ac:dyDescent="0.25">
      <c r="S16883" s="78">
        <v>44270</v>
      </c>
      <c r="T16883" s="40">
        <v>0.1</v>
      </c>
    </row>
    <row r="16884" spans="19:20" x14ac:dyDescent="0.25">
      <c r="S16884" s="78">
        <v>44271</v>
      </c>
      <c r="T16884" s="40">
        <v>0.1</v>
      </c>
    </row>
    <row r="16885" spans="19:20" x14ac:dyDescent="0.25">
      <c r="S16885" s="78">
        <v>44272</v>
      </c>
      <c r="T16885" s="40">
        <v>0.1</v>
      </c>
    </row>
    <row r="16886" spans="19:20" x14ac:dyDescent="0.25">
      <c r="S16886" s="78">
        <v>44273</v>
      </c>
      <c r="T16886" s="40">
        <v>0.1</v>
      </c>
    </row>
    <row r="16887" spans="19:20" x14ac:dyDescent="0.25">
      <c r="S16887" s="78">
        <v>44274</v>
      </c>
      <c r="T16887" s="40">
        <v>0.1</v>
      </c>
    </row>
    <row r="16888" spans="19:20" x14ac:dyDescent="0.25">
      <c r="S16888" s="78">
        <v>44275</v>
      </c>
      <c r="T16888" s="40">
        <v>0.1</v>
      </c>
    </row>
    <row r="16889" spans="19:20" x14ac:dyDescent="0.25">
      <c r="S16889" s="78">
        <v>44276</v>
      </c>
      <c r="T16889" s="40">
        <v>0.1</v>
      </c>
    </row>
    <row r="16890" spans="19:20" x14ac:dyDescent="0.25">
      <c r="S16890" s="78">
        <v>44277</v>
      </c>
      <c r="T16890" s="40">
        <v>0.1</v>
      </c>
    </row>
    <row r="16891" spans="19:20" x14ac:dyDescent="0.25">
      <c r="S16891" s="78">
        <v>44278</v>
      </c>
      <c r="T16891" s="40">
        <v>0.1</v>
      </c>
    </row>
    <row r="16892" spans="19:20" x14ac:dyDescent="0.25">
      <c r="S16892" s="78">
        <v>44279</v>
      </c>
      <c r="T16892" s="40">
        <v>0.1</v>
      </c>
    </row>
    <row r="16893" spans="19:20" x14ac:dyDescent="0.25">
      <c r="S16893" s="78">
        <v>44280</v>
      </c>
      <c r="T16893" s="40">
        <v>0.1</v>
      </c>
    </row>
    <row r="16894" spans="19:20" x14ac:dyDescent="0.25">
      <c r="S16894" s="78">
        <v>44281</v>
      </c>
      <c r="T16894" s="40">
        <v>0.1</v>
      </c>
    </row>
    <row r="16895" spans="19:20" x14ac:dyDescent="0.25">
      <c r="S16895" s="78">
        <v>44282</v>
      </c>
      <c r="T16895" s="40">
        <v>0.1</v>
      </c>
    </row>
    <row r="16896" spans="19:20" x14ac:dyDescent="0.25">
      <c r="S16896" s="78">
        <v>44283</v>
      </c>
      <c r="T16896" s="40">
        <v>0.1</v>
      </c>
    </row>
    <row r="16897" spans="19:21" x14ac:dyDescent="0.25">
      <c r="S16897" s="78">
        <v>44284</v>
      </c>
      <c r="T16897" s="40">
        <v>0.1</v>
      </c>
    </row>
    <row r="16898" spans="19:21" x14ac:dyDescent="0.25">
      <c r="S16898" s="78">
        <v>44285</v>
      </c>
      <c r="T16898" s="40">
        <v>0.1</v>
      </c>
    </row>
    <row r="16899" spans="19:21" x14ac:dyDescent="0.25">
      <c r="S16899" s="78">
        <v>44286</v>
      </c>
      <c r="T16899" s="40">
        <v>0.1</v>
      </c>
      <c r="U16899" s="40">
        <f>AVERAGE(T16810:T16899)</f>
        <v>9.9999999999999825E-2</v>
      </c>
    </row>
    <row r="16900" spans="19:21" x14ac:dyDescent="0.25">
      <c r="S16900" s="78">
        <v>44287</v>
      </c>
      <c r="T16900" s="40">
        <v>0.1</v>
      </c>
    </row>
    <row r="16901" spans="19:21" x14ac:dyDescent="0.25">
      <c r="S16901" s="78">
        <v>44288</v>
      </c>
      <c r="T16901" s="40">
        <v>0.1</v>
      </c>
    </row>
    <row r="16902" spans="19:21" x14ac:dyDescent="0.25">
      <c r="S16902" s="78">
        <v>44289</v>
      </c>
      <c r="T16902" s="40">
        <v>0.1</v>
      </c>
    </row>
    <row r="16903" spans="19:21" x14ac:dyDescent="0.25">
      <c r="S16903" s="78">
        <v>44290</v>
      </c>
      <c r="T16903" s="40">
        <v>0.1</v>
      </c>
    </row>
    <row r="16904" spans="19:21" x14ac:dyDescent="0.25">
      <c r="S16904" s="78">
        <v>44291</v>
      </c>
      <c r="T16904" s="40">
        <v>0.1</v>
      </c>
    </row>
    <row r="16905" spans="19:21" x14ac:dyDescent="0.25">
      <c r="S16905" s="78">
        <v>44292</v>
      </c>
      <c r="T16905" s="40">
        <v>0.1</v>
      </c>
    </row>
    <row r="16906" spans="19:21" x14ac:dyDescent="0.25">
      <c r="S16906" s="78">
        <v>44293</v>
      </c>
      <c r="T16906" s="40">
        <v>0.1</v>
      </c>
    </row>
    <row r="16907" spans="19:21" x14ac:dyDescent="0.25">
      <c r="S16907" s="78">
        <v>44294</v>
      </c>
      <c r="T16907" s="40">
        <v>0.1</v>
      </c>
    </row>
    <row r="16908" spans="19:21" x14ac:dyDescent="0.25">
      <c r="S16908" s="78">
        <v>44295</v>
      </c>
      <c r="T16908" s="40">
        <v>0.1</v>
      </c>
    </row>
    <row r="16909" spans="19:21" x14ac:dyDescent="0.25">
      <c r="S16909" s="78">
        <v>44296</v>
      </c>
      <c r="T16909" s="40">
        <v>0.1</v>
      </c>
    </row>
    <row r="16910" spans="19:21" x14ac:dyDescent="0.25">
      <c r="S16910" s="78">
        <v>44297</v>
      </c>
      <c r="T16910" s="40">
        <v>0.1</v>
      </c>
    </row>
    <row r="16911" spans="19:21" x14ac:dyDescent="0.25">
      <c r="S16911" s="78">
        <v>44298</v>
      </c>
      <c r="T16911" s="40">
        <v>0.1</v>
      </c>
    </row>
    <row r="16912" spans="19:21" x14ac:dyDescent="0.25">
      <c r="S16912" s="78">
        <v>44299</v>
      </c>
      <c r="T16912" s="40">
        <v>0.1</v>
      </c>
    </row>
    <row r="16913" spans="19:20" x14ac:dyDescent="0.25">
      <c r="S16913" s="78">
        <v>44300</v>
      </c>
      <c r="T16913" s="40">
        <v>0.1</v>
      </c>
    </row>
    <row r="16914" spans="19:20" x14ac:dyDescent="0.25">
      <c r="S16914" s="78">
        <v>44301</v>
      </c>
      <c r="T16914" s="40">
        <v>0.1</v>
      </c>
    </row>
    <row r="16915" spans="19:20" x14ac:dyDescent="0.25">
      <c r="S16915" s="78">
        <v>44302</v>
      </c>
      <c r="T16915" s="40">
        <v>0.1</v>
      </c>
    </row>
    <row r="16916" spans="19:20" x14ac:dyDescent="0.25">
      <c r="S16916" s="78">
        <v>44303</v>
      </c>
      <c r="T16916" s="40">
        <v>0.1</v>
      </c>
    </row>
    <row r="16917" spans="19:20" x14ac:dyDescent="0.25">
      <c r="S16917" s="78">
        <v>44304</v>
      </c>
      <c r="T16917" s="40">
        <v>0.1</v>
      </c>
    </row>
    <row r="16918" spans="19:20" x14ac:dyDescent="0.25">
      <c r="S16918" s="78">
        <v>44305</v>
      </c>
      <c r="T16918" s="40">
        <v>0.1</v>
      </c>
    </row>
    <row r="16919" spans="19:20" x14ac:dyDescent="0.25">
      <c r="S16919" s="78">
        <v>44306</v>
      </c>
      <c r="T16919" s="40">
        <v>0.1</v>
      </c>
    </row>
    <row r="16920" spans="19:20" x14ac:dyDescent="0.25">
      <c r="S16920" s="78">
        <v>44307</v>
      </c>
      <c r="T16920" s="40">
        <v>0.1</v>
      </c>
    </row>
    <row r="16921" spans="19:20" x14ac:dyDescent="0.25">
      <c r="S16921" s="78">
        <v>44308</v>
      </c>
      <c r="T16921" s="40">
        <v>0.1</v>
      </c>
    </row>
    <row r="16922" spans="19:20" x14ac:dyDescent="0.25">
      <c r="S16922" s="78">
        <v>44309</v>
      </c>
      <c r="T16922" s="40">
        <v>0.1</v>
      </c>
    </row>
    <row r="16923" spans="19:20" x14ac:dyDescent="0.25">
      <c r="S16923" s="78">
        <v>44310</v>
      </c>
      <c r="T16923" s="40">
        <v>0.1</v>
      </c>
    </row>
    <row r="16924" spans="19:20" x14ac:dyDescent="0.25">
      <c r="S16924" s="78">
        <v>44311</v>
      </c>
      <c r="T16924" s="40">
        <v>0.1</v>
      </c>
    </row>
    <row r="16925" spans="19:20" x14ac:dyDescent="0.25">
      <c r="S16925" s="78">
        <v>44312</v>
      </c>
      <c r="T16925" s="40">
        <v>0.1</v>
      </c>
    </row>
    <row r="16926" spans="19:20" x14ac:dyDescent="0.25">
      <c r="S16926" s="78">
        <v>44313</v>
      </c>
      <c r="T16926" s="40">
        <v>0.1</v>
      </c>
    </row>
    <row r="16927" spans="19:20" x14ac:dyDescent="0.25">
      <c r="S16927" s="78">
        <v>44314</v>
      </c>
      <c r="T16927" s="40">
        <v>0.1</v>
      </c>
    </row>
    <row r="16928" spans="19:20" x14ac:dyDescent="0.25">
      <c r="S16928" s="78">
        <v>44315</v>
      </c>
      <c r="T16928" s="40">
        <v>0.1</v>
      </c>
    </row>
    <row r="16929" spans="19:20" x14ac:dyDescent="0.25">
      <c r="S16929" s="78">
        <v>44316</v>
      </c>
      <c r="T16929" s="40">
        <v>0.1</v>
      </c>
    </row>
    <row r="16930" spans="19:20" x14ac:dyDescent="0.25">
      <c r="S16930" s="78">
        <v>44317</v>
      </c>
      <c r="T16930" s="40">
        <v>0.1</v>
      </c>
    </row>
    <row r="16931" spans="19:20" x14ac:dyDescent="0.25">
      <c r="S16931" s="78">
        <v>44318</v>
      </c>
      <c r="T16931" s="40">
        <v>0.1</v>
      </c>
    </row>
    <row r="16932" spans="19:20" x14ac:dyDescent="0.25">
      <c r="S16932" s="78">
        <v>44319</v>
      </c>
      <c r="T16932" s="40">
        <v>0.1</v>
      </c>
    </row>
    <row r="16933" spans="19:20" x14ac:dyDescent="0.25">
      <c r="S16933" s="78">
        <v>44320</v>
      </c>
      <c r="T16933" s="40">
        <v>0.1</v>
      </c>
    </row>
    <row r="16934" spans="19:20" x14ac:dyDescent="0.25">
      <c r="S16934" s="78">
        <v>44321</v>
      </c>
      <c r="T16934" s="40">
        <v>0.1</v>
      </c>
    </row>
    <row r="16935" spans="19:20" x14ac:dyDescent="0.25">
      <c r="S16935" s="78">
        <v>44322</v>
      </c>
      <c r="T16935" s="40">
        <v>0.1</v>
      </c>
    </row>
    <row r="16936" spans="19:20" x14ac:dyDescent="0.25">
      <c r="S16936" s="78">
        <v>44323</v>
      </c>
      <c r="T16936" s="40">
        <v>0.1</v>
      </c>
    </row>
    <row r="16937" spans="19:20" x14ac:dyDescent="0.25">
      <c r="S16937" s="78">
        <v>44324</v>
      </c>
      <c r="T16937" s="40">
        <v>0.1</v>
      </c>
    </row>
    <row r="16938" spans="19:20" x14ac:dyDescent="0.25">
      <c r="S16938" s="78">
        <v>44325</v>
      </c>
      <c r="T16938" s="40">
        <v>0.1</v>
      </c>
    </row>
    <row r="16939" spans="19:20" x14ac:dyDescent="0.25">
      <c r="S16939" s="78">
        <v>44326</v>
      </c>
      <c r="T16939" s="40">
        <v>0.1</v>
      </c>
    </row>
    <row r="16940" spans="19:20" x14ac:dyDescent="0.25">
      <c r="S16940" s="78">
        <v>44327</v>
      </c>
      <c r="T16940" s="40">
        <v>0.1</v>
      </c>
    </row>
    <row r="16941" spans="19:20" x14ac:dyDescent="0.25">
      <c r="S16941" s="78">
        <v>44328</v>
      </c>
      <c r="T16941" s="40">
        <v>0.1</v>
      </c>
    </row>
    <row r="16942" spans="19:20" x14ac:dyDescent="0.25">
      <c r="S16942" s="78">
        <v>44329</v>
      </c>
      <c r="T16942" s="40">
        <v>0.1</v>
      </c>
    </row>
    <row r="16943" spans="19:20" x14ac:dyDescent="0.25">
      <c r="S16943" s="78">
        <v>44330</v>
      </c>
      <c r="T16943" s="40">
        <v>0.1</v>
      </c>
    </row>
    <row r="16944" spans="19:20" x14ac:dyDescent="0.25">
      <c r="S16944" s="78">
        <v>44331</v>
      </c>
      <c r="T16944" s="40">
        <v>0.1</v>
      </c>
    </row>
    <row r="16945" spans="19:20" x14ac:dyDescent="0.25">
      <c r="S16945" s="78">
        <v>44332</v>
      </c>
      <c r="T16945" s="40">
        <v>0.1</v>
      </c>
    </row>
    <row r="16946" spans="19:20" x14ac:dyDescent="0.25">
      <c r="S16946" s="78">
        <v>44333</v>
      </c>
      <c r="T16946" s="40">
        <v>0.1</v>
      </c>
    </row>
    <row r="16947" spans="19:20" x14ac:dyDescent="0.25">
      <c r="S16947" s="78">
        <v>44334</v>
      </c>
      <c r="T16947" s="40">
        <v>0.1</v>
      </c>
    </row>
    <row r="16948" spans="19:20" x14ac:dyDescent="0.25">
      <c r="S16948" s="78">
        <v>44335</v>
      </c>
      <c r="T16948" s="40">
        <v>0.1</v>
      </c>
    </row>
    <row r="16949" spans="19:20" x14ac:dyDescent="0.25">
      <c r="S16949" s="78">
        <v>44336</v>
      </c>
      <c r="T16949" s="40">
        <v>0.1</v>
      </c>
    </row>
    <row r="16950" spans="19:20" x14ac:dyDescent="0.25">
      <c r="S16950" s="78">
        <v>44337</v>
      </c>
      <c r="T16950" s="40">
        <v>0.1</v>
      </c>
    </row>
    <row r="16951" spans="19:20" x14ac:dyDescent="0.25">
      <c r="S16951" s="78">
        <v>44338</v>
      </c>
      <c r="T16951" s="40">
        <v>0.1</v>
      </c>
    </row>
    <row r="16952" spans="19:20" x14ac:dyDescent="0.25">
      <c r="S16952" s="78">
        <v>44339</v>
      </c>
      <c r="T16952" s="40">
        <v>0.1</v>
      </c>
    </row>
    <row r="16953" spans="19:20" x14ac:dyDescent="0.25">
      <c r="S16953" s="78">
        <v>44340</v>
      </c>
      <c r="T16953" s="40">
        <v>0.1</v>
      </c>
    </row>
    <row r="16954" spans="19:20" x14ac:dyDescent="0.25">
      <c r="S16954" s="78">
        <v>44341</v>
      </c>
      <c r="T16954" s="40">
        <v>0.1</v>
      </c>
    </row>
    <row r="16955" spans="19:20" x14ac:dyDescent="0.25">
      <c r="S16955" s="78">
        <v>44342</v>
      </c>
      <c r="T16955" s="40">
        <v>0.1</v>
      </c>
    </row>
    <row r="16956" spans="19:20" x14ac:dyDescent="0.25">
      <c r="S16956" s="78">
        <v>44343</v>
      </c>
      <c r="T16956" s="40">
        <v>0.1</v>
      </c>
    </row>
    <row r="16957" spans="19:20" x14ac:dyDescent="0.25">
      <c r="S16957" s="78">
        <v>44344</v>
      </c>
      <c r="T16957" s="40">
        <v>0.1</v>
      </c>
    </row>
    <row r="16958" spans="19:20" x14ac:dyDescent="0.25">
      <c r="S16958" s="78">
        <v>44345</v>
      </c>
      <c r="T16958" s="40">
        <v>0.1</v>
      </c>
    </row>
    <row r="16959" spans="19:20" x14ac:dyDescent="0.25">
      <c r="S16959" s="78">
        <v>44346</v>
      </c>
      <c r="T16959" s="40">
        <v>0.1</v>
      </c>
    </row>
    <row r="16960" spans="19:20" x14ac:dyDescent="0.25">
      <c r="S16960" s="78">
        <v>44347</v>
      </c>
      <c r="T16960" s="40">
        <v>0.1</v>
      </c>
    </row>
    <row r="16961" spans="19:20" x14ac:dyDescent="0.25">
      <c r="S16961" s="78">
        <v>44348</v>
      </c>
      <c r="T16961" s="40">
        <v>0.1</v>
      </c>
    </row>
    <row r="16962" spans="19:20" x14ac:dyDescent="0.25">
      <c r="S16962" s="78">
        <v>44349</v>
      </c>
      <c r="T16962" s="40">
        <v>0.1</v>
      </c>
    </row>
    <row r="16963" spans="19:20" x14ac:dyDescent="0.25">
      <c r="S16963" s="78">
        <v>44350</v>
      </c>
      <c r="T16963" s="40">
        <v>0.1</v>
      </c>
    </row>
    <row r="16964" spans="19:20" x14ac:dyDescent="0.25">
      <c r="S16964" s="78">
        <v>44351</v>
      </c>
      <c r="T16964" s="40">
        <v>0.1</v>
      </c>
    </row>
    <row r="16965" spans="19:20" x14ac:dyDescent="0.25">
      <c r="S16965" s="78">
        <v>44352</v>
      </c>
      <c r="T16965" s="40">
        <v>0.1</v>
      </c>
    </row>
    <row r="16966" spans="19:20" x14ac:dyDescent="0.25">
      <c r="S16966" s="78">
        <v>44353</v>
      </c>
      <c r="T16966" s="40">
        <v>0.1</v>
      </c>
    </row>
    <row r="16967" spans="19:20" x14ac:dyDescent="0.25">
      <c r="S16967" s="78">
        <v>44354</v>
      </c>
      <c r="T16967" s="40">
        <v>0.1</v>
      </c>
    </row>
    <row r="16968" spans="19:20" x14ac:dyDescent="0.25">
      <c r="S16968" s="78">
        <v>44355</v>
      </c>
      <c r="T16968" s="40">
        <v>0.1</v>
      </c>
    </row>
    <row r="16969" spans="19:20" x14ac:dyDescent="0.25">
      <c r="S16969" s="78">
        <v>44356</v>
      </c>
      <c r="T16969" s="40">
        <v>0.1</v>
      </c>
    </row>
    <row r="16970" spans="19:20" x14ac:dyDescent="0.25">
      <c r="S16970" s="78">
        <v>44357</v>
      </c>
      <c r="T16970" s="40">
        <v>0.1</v>
      </c>
    </row>
    <row r="16971" spans="19:20" x14ac:dyDescent="0.25">
      <c r="S16971" s="78">
        <v>44358</v>
      </c>
      <c r="T16971" s="40">
        <v>0.1</v>
      </c>
    </row>
    <row r="16972" spans="19:20" x14ac:dyDescent="0.25">
      <c r="S16972" s="78">
        <v>44359</v>
      </c>
      <c r="T16972" s="40">
        <v>0.1</v>
      </c>
    </row>
    <row r="16973" spans="19:20" x14ac:dyDescent="0.25">
      <c r="S16973" s="78">
        <v>44360</v>
      </c>
      <c r="T16973" s="40">
        <v>0.1</v>
      </c>
    </row>
    <row r="16974" spans="19:20" x14ac:dyDescent="0.25">
      <c r="S16974" s="78">
        <v>44361</v>
      </c>
      <c r="T16974" s="40">
        <v>0.1</v>
      </c>
    </row>
    <row r="16975" spans="19:20" x14ac:dyDescent="0.25">
      <c r="S16975" s="78">
        <v>44362</v>
      </c>
      <c r="T16975" s="40">
        <v>0.1</v>
      </c>
    </row>
    <row r="16976" spans="19:20" x14ac:dyDescent="0.25">
      <c r="S16976" s="78">
        <v>44363</v>
      </c>
      <c r="T16976" s="40">
        <v>0.1</v>
      </c>
    </row>
    <row r="16977" spans="19:21" x14ac:dyDescent="0.25">
      <c r="S16977" s="78">
        <v>44364</v>
      </c>
      <c r="T16977" s="40">
        <v>0.1</v>
      </c>
    </row>
    <row r="16978" spans="19:21" x14ac:dyDescent="0.25">
      <c r="S16978" s="78">
        <v>44365</v>
      </c>
      <c r="T16978" s="40">
        <v>0.1</v>
      </c>
    </row>
    <row r="16979" spans="19:21" x14ac:dyDescent="0.25">
      <c r="S16979" s="78">
        <v>44366</v>
      </c>
      <c r="T16979" s="40">
        <v>0.1</v>
      </c>
    </row>
    <row r="16980" spans="19:21" x14ac:dyDescent="0.25">
      <c r="S16980" s="78">
        <v>44367</v>
      </c>
      <c r="T16980" s="40">
        <v>0.1</v>
      </c>
    </row>
    <row r="16981" spans="19:21" x14ac:dyDescent="0.25">
      <c r="S16981" s="78">
        <v>44368</v>
      </c>
      <c r="T16981" s="40">
        <v>0.1</v>
      </c>
    </row>
    <row r="16982" spans="19:21" x14ac:dyDescent="0.25">
      <c r="S16982" s="78">
        <v>44369</v>
      </c>
      <c r="T16982" s="40">
        <v>0.1</v>
      </c>
    </row>
    <row r="16983" spans="19:21" x14ac:dyDescent="0.25">
      <c r="S16983" s="78">
        <v>44370</v>
      </c>
      <c r="T16983" s="40">
        <v>0.1</v>
      </c>
    </row>
    <row r="16984" spans="19:21" x14ac:dyDescent="0.25">
      <c r="S16984" s="78">
        <v>44371</v>
      </c>
      <c r="T16984" s="40">
        <v>0.1</v>
      </c>
    </row>
    <row r="16985" spans="19:21" x14ac:dyDescent="0.25">
      <c r="S16985" s="78">
        <v>44372</v>
      </c>
      <c r="T16985" s="40">
        <v>0.1</v>
      </c>
    </row>
    <row r="16986" spans="19:21" x14ac:dyDescent="0.25">
      <c r="S16986" s="78">
        <v>44373</v>
      </c>
      <c r="T16986" s="40">
        <v>0.1</v>
      </c>
    </row>
    <row r="16987" spans="19:21" x14ac:dyDescent="0.25">
      <c r="S16987" s="78">
        <v>44374</v>
      </c>
      <c r="T16987" s="40">
        <v>0.1</v>
      </c>
    </row>
    <row r="16988" spans="19:21" x14ac:dyDescent="0.25">
      <c r="S16988" s="78">
        <v>44375</v>
      </c>
      <c r="T16988" s="40">
        <v>0.1</v>
      </c>
    </row>
    <row r="16989" spans="19:21" x14ac:dyDescent="0.25">
      <c r="S16989" s="78">
        <v>44376</v>
      </c>
      <c r="T16989" s="40">
        <v>0.1</v>
      </c>
    </row>
    <row r="16990" spans="19:21" x14ac:dyDescent="0.25">
      <c r="S16990" s="78">
        <v>44377</v>
      </c>
      <c r="T16990" s="40">
        <v>0.1</v>
      </c>
      <c r="U16990" s="40">
        <f>AVERAGE(T16900:T16990)</f>
        <v>9.9999999999999825E-2</v>
      </c>
    </row>
    <row r="16991" spans="19:21" x14ac:dyDescent="0.25">
      <c r="S16991" s="78">
        <v>44378</v>
      </c>
      <c r="T16991" s="40">
        <v>0.1</v>
      </c>
    </row>
    <row r="16992" spans="19:21" x14ac:dyDescent="0.25">
      <c r="S16992" s="78">
        <v>44379</v>
      </c>
      <c r="T16992" s="40">
        <v>0.1</v>
      </c>
    </row>
    <row r="16993" spans="19:20" x14ac:dyDescent="0.25">
      <c r="S16993" s="78">
        <v>44380</v>
      </c>
      <c r="T16993" s="40">
        <v>0.1</v>
      </c>
    </row>
    <row r="16994" spans="19:20" x14ac:dyDescent="0.25">
      <c r="S16994" s="78">
        <v>44381</v>
      </c>
      <c r="T16994" s="40">
        <v>0.1</v>
      </c>
    </row>
    <row r="16995" spans="19:20" x14ac:dyDescent="0.25">
      <c r="S16995" s="78">
        <v>44382</v>
      </c>
      <c r="T16995" s="40">
        <v>0.1</v>
      </c>
    </row>
    <row r="16996" spans="19:20" x14ac:dyDescent="0.25">
      <c r="S16996" s="78">
        <v>44383</v>
      </c>
      <c r="T16996" s="40">
        <v>0.1</v>
      </c>
    </row>
    <row r="16997" spans="19:20" x14ac:dyDescent="0.25">
      <c r="S16997" s="78">
        <v>44384</v>
      </c>
      <c r="T16997" s="40">
        <v>0.1</v>
      </c>
    </row>
    <row r="16998" spans="19:20" x14ac:dyDescent="0.25">
      <c r="S16998" s="78">
        <v>44385</v>
      </c>
      <c r="T16998" s="40">
        <v>0.1</v>
      </c>
    </row>
    <row r="16999" spans="19:20" x14ac:dyDescent="0.25">
      <c r="S16999" s="78">
        <v>44386</v>
      </c>
      <c r="T16999" s="40">
        <v>0.1</v>
      </c>
    </row>
    <row r="17000" spans="19:20" x14ac:dyDescent="0.25">
      <c r="S17000" s="78">
        <v>44387</v>
      </c>
      <c r="T17000" s="40">
        <v>0.1</v>
      </c>
    </row>
    <row r="17001" spans="19:20" x14ac:dyDescent="0.25">
      <c r="S17001" s="78">
        <v>44388</v>
      </c>
      <c r="T17001" s="40">
        <v>0.1</v>
      </c>
    </row>
    <row r="17002" spans="19:20" x14ac:dyDescent="0.25">
      <c r="S17002" s="78">
        <v>44389</v>
      </c>
      <c r="T17002" s="40">
        <v>0.1</v>
      </c>
    </row>
    <row r="17003" spans="19:20" x14ac:dyDescent="0.25">
      <c r="S17003" s="78">
        <v>44390</v>
      </c>
      <c r="T17003" s="40">
        <v>0.1</v>
      </c>
    </row>
    <row r="17004" spans="19:20" x14ac:dyDescent="0.25">
      <c r="S17004" s="78">
        <v>44391</v>
      </c>
      <c r="T17004" s="40">
        <v>0.1</v>
      </c>
    </row>
    <row r="17005" spans="19:20" x14ac:dyDescent="0.25">
      <c r="S17005" s="78">
        <v>44392</v>
      </c>
      <c r="T17005" s="40">
        <v>0.1</v>
      </c>
    </row>
    <row r="17006" spans="19:20" x14ac:dyDescent="0.25">
      <c r="S17006" s="78">
        <v>44393</v>
      </c>
      <c r="T17006" s="40">
        <v>0.1</v>
      </c>
    </row>
    <row r="17007" spans="19:20" x14ac:dyDescent="0.25">
      <c r="S17007" s="78">
        <v>44394</v>
      </c>
      <c r="T17007" s="40">
        <v>0.1</v>
      </c>
    </row>
    <row r="17008" spans="19:20" x14ac:dyDescent="0.25">
      <c r="S17008" s="78">
        <v>44395</v>
      </c>
      <c r="T17008" s="40">
        <v>0.1</v>
      </c>
    </row>
    <row r="17009" spans="19:20" x14ac:dyDescent="0.25">
      <c r="S17009" s="78">
        <v>44396</v>
      </c>
      <c r="T17009" s="40">
        <v>0.1</v>
      </c>
    </row>
    <row r="17010" spans="19:20" x14ac:dyDescent="0.25">
      <c r="S17010" s="78">
        <v>44397</v>
      </c>
      <c r="T17010" s="40">
        <v>0.1</v>
      </c>
    </row>
    <row r="17011" spans="19:20" x14ac:dyDescent="0.25">
      <c r="S17011" s="78">
        <v>44398</v>
      </c>
      <c r="T17011" s="40">
        <v>0.1</v>
      </c>
    </row>
    <row r="17012" spans="19:20" x14ac:dyDescent="0.25">
      <c r="S17012" s="78">
        <v>44399</v>
      </c>
      <c r="T17012" s="40">
        <v>0.1</v>
      </c>
    </row>
    <row r="17013" spans="19:20" x14ac:dyDescent="0.25">
      <c r="S17013" s="78">
        <v>44400</v>
      </c>
      <c r="T17013" s="40">
        <v>0.1</v>
      </c>
    </row>
    <row r="17014" spans="19:20" x14ac:dyDescent="0.25">
      <c r="S17014" s="78">
        <v>44401</v>
      </c>
      <c r="T17014" s="40">
        <v>0.1</v>
      </c>
    </row>
    <row r="17015" spans="19:20" x14ac:dyDescent="0.25">
      <c r="S17015" s="78">
        <v>44402</v>
      </c>
      <c r="T17015" s="40">
        <v>0.1</v>
      </c>
    </row>
    <row r="17016" spans="19:20" x14ac:dyDescent="0.25">
      <c r="S17016" s="78">
        <v>44403</v>
      </c>
      <c r="T17016" s="40">
        <v>0.1</v>
      </c>
    </row>
    <row r="17017" spans="19:20" x14ac:dyDescent="0.25">
      <c r="S17017" s="78">
        <v>44404</v>
      </c>
      <c r="T17017" s="40">
        <v>0.1</v>
      </c>
    </row>
    <row r="17018" spans="19:20" x14ac:dyDescent="0.25">
      <c r="S17018" s="78">
        <v>44405</v>
      </c>
      <c r="T17018" s="40">
        <v>0.1</v>
      </c>
    </row>
    <row r="17019" spans="19:20" x14ac:dyDescent="0.25">
      <c r="S17019" s="78">
        <v>44406</v>
      </c>
      <c r="T17019" s="40">
        <v>0.1</v>
      </c>
    </row>
    <row r="17020" spans="19:20" x14ac:dyDescent="0.25">
      <c r="S17020" s="78">
        <v>44407</v>
      </c>
      <c r="T17020" s="40">
        <v>0.1</v>
      </c>
    </row>
    <row r="17021" spans="19:20" x14ac:dyDescent="0.25">
      <c r="S17021" s="78">
        <v>44408</v>
      </c>
      <c r="T17021" s="40">
        <v>0.1</v>
      </c>
    </row>
    <row r="17022" spans="19:20" x14ac:dyDescent="0.25">
      <c r="S17022" s="78">
        <v>44409</v>
      </c>
      <c r="T17022" s="40">
        <v>0.1</v>
      </c>
    </row>
    <row r="17023" spans="19:20" x14ac:dyDescent="0.25">
      <c r="S17023" s="78">
        <v>44410</v>
      </c>
      <c r="T17023" s="40">
        <v>0.1</v>
      </c>
    </row>
    <row r="17024" spans="19:20" x14ac:dyDescent="0.25">
      <c r="S17024" s="78">
        <v>44411</v>
      </c>
      <c r="T17024" s="40">
        <v>0.1</v>
      </c>
    </row>
    <row r="17025" spans="19:20" x14ac:dyDescent="0.25">
      <c r="S17025" s="78">
        <v>44412</v>
      </c>
      <c r="T17025" s="40">
        <v>0.1</v>
      </c>
    </row>
    <row r="17026" spans="19:20" x14ac:dyDescent="0.25">
      <c r="S17026" s="78">
        <v>44413</v>
      </c>
      <c r="T17026" s="40">
        <v>0.1</v>
      </c>
    </row>
    <row r="17027" spans="19:20" x14ac:dyDescent="0.25">
      <c r="S17027" s="78">
        <v>44414</v>
      </c>
      <c r="T17027" s="40">
        <v>0.1</v>
      </c>
    </row>
    <row r="17028" spans="19:20" x14ac:dyDescent="0.25">
      <c r="S17028" s="78">
        <v>44415</v>
      </c>
      <c r="T17028" s="40">
        <v>0.1</v>
      </c>
    </row>
    <row r="17029" spans="19:20" x14ac:dyDescent="0.25">
      <c r="S17029" s="78">
        <v>44416</v>
      </c>
      <c r="T17029" s="40">
        <v>0.1</v>
      </c>
    </row>
    <row r="17030" spans="19:20" x14ac:dyDescent="0.25">
      <c r="S17030" s="78">
        <v>44417</v>
      </c>
      <c r="T17030" s="40">
        <v>0.1</v>
      </c>
    </row>
    <row r="17031" spans="19:20" x14ac:dyDescent="0.25">
      <c r="S17031" s="78">
        <v>44418</v>
      </c>
      <c r="T17031" s="40">
        <v>0.1</v>
      </c>
    </row>
    <row r="17032" spans="19:20" x14ac:dyDescent="0.25">
      <c r="S17032" s="78">
        <v>44419</v>
      </c>
      <c r="T17032" s="40">
        <v>0.1</v>
      </c>
    </row>
    <row r="17033" spans="19:20" x14ac:dyDescent="0.25">
      <c r="S17033" s="78">
        <v>44420</v>
      </c>
      <c r="T17033" s="40">
        <v>0.1</v>
      </c>
    </row>
    <row r="17034" spans="19:20" x14ac:dyDescent="0.25">
      <c r="S17034" s="78">
        <v>44421</v>
      </c>
      <c r="T17034" s="40">
        <v>0.1</v>
      </c>
    </row>
    <row r="17035" spans="19:20" x14ac:dyDescent="0.25">
      <c r="S17035" s="78">
        <v>44422</v>
      </c>
      <c r="T17035" s="40">
        <v>0.1</v>
      </c>
    </row>
    <row r="17036" spans="19:20" x14ac:dyDescent="0.25">
      <c r="S17036" s="78">
        <v>44423</v>
      </c>
      <c r="T17036" s="40">
        <v>0.1</v>
      </c>
    </row>
    <row r="17037" spans="19:20" x14ac:dyDescent="0.25">
      <c r="S17037" s="78">
        <v>44424</v>
      </c>
      <c r="T17037" s="40">
        <v>0.1</v>
      </c>
    </row>
    <row r="17038" spans="19:20" x14ac:dyDescent="0.25">
      <c r="S17038" s="78">
        <v>44425</v>
      </c>
      <c r="T17038" s="40">
        <v>0.1</v>
      </c>
    </row>
    <row r="17039" spans="19:20" x14ac:dyDescent="0.25">
      <c r="S17039" s="78">
        <v>44426</v>
      </c>
      <c r="T17039" s="40">
        <v>0.1</v>
      </c>
    </row>
    <row r="17040" spans="19:20" x14ac:dyDescent="0.25">
      <c r="S17040" s="78">
        <v>44427</v>
      </c>
      <c r="T17040" s="40">
        <v>0.1</v>
      </c>
    </row>
    <row r="17041" spans="19:20" x14ac:dyDescent="0.25">
      <c r="S17041" s="78">
        <v>44428</v>
      </c>
      <c r="T17041" s="40">
        <v>0.1</v>
      </c>
    </row>
    <row r="17042" spans="19:20" x14ac:dyDescent="0.25">
      <c r="S17042" s="78">
        <v>44429</v>
      </c>
      <c r="T17042" s="40">
        <v>0.1</v>
      </c>
    </row>
    <row r="17043" spans="19:20" x14ac:dyDescent="0.25">
      <c r="S17043" s="78">
        <v>44430</v>
      </c>
      <c r="T17043" s="40">
        <v>0.1</v>
      </c>
    </row>
    <row r="17044" spans="19:20" x14ac:dyDescent="0.25">
      <c r="S17044" s="78">
        <v>44431</v>
      </c>
      <c r="T17044" s="40">
        <v>0.1</v>
      </c>
    </row>
    <row r="17045" spans="19:20" x14ac:dyDescent="0.25">
      <c r="S17045" s="78">
        <v>44432</v>
      </c>
      <c r="T17045" s="40">
        <v>0.1</v>
      </c>
    </row>
    <row r="17046" spans="19:20" x14ac:dyDescent="0.25">
      <c r="S17046" s="78">
        <v>44433</v>
      </c>
      <c r="T17046" s="40">
        <v>0.1</v>
      </c>
    </row>
    <row r="17047" spans="19:20" x14ac:dyDescent="0.25">
      <c r="S17047" s="78">
        <v>44434</v>
      </c>
      <c r="T17047" s="40">
        <v>0.1</v>
      </c>
    </row>
    <row r="17048" spans="19:20" x14ac:dyDescent="0.25">
      <c r="S17048" s="78">
        <v>44435</v>
      </c>
      <c r="T17048" s="40">
        <v>0.1</v>
      </c>
    </row>
    <row r="17049" spans="19:20" x14ac:dyDescent="0.25">
      <c r="S17049" s="78">
        <v>44436</v>
      </c>
      <c r="T17049" s="40">
        <v>0.1</v>
      </c>
    </row>
    <row r="17050" spans="19:20" x14ac:dyDescent="0.25">
      <c r="S17050" s="78">
        <v>44437</v>
      </c>
      <c r="T17050" s="40">
        <v>0.1</v>
      </c>
    </row>
    <row r="17051" spans="19:20" x14ac:dyDescent="0.25">
      <c r="S17051" s="78">
        <v>44438</v>
      </c>
      <c r="T17051" s="40">
        <v>0.1</v>
      </c>
    </row>
    <row r="17052" spans="19:20" x14ac:dyDescent="0.25">
      <c r="S17052" s="78">
        <v>44439</v>
      </c>
      <c r="T17052" s="40">
        <v>0.1</v>
      </c>
    </row>
    <row r="17053" spans="19:20" x14ac:dyDescent="0.25">
      <c r="S17053" s="78">
        <v>44440</v>
      </c>
      <c r="T17053" s="40">
        <v>0.1</v>
      </c>
    </row>
    <row r="17054" spans="19:20" x14ac:dyDescent="0.25">
      <c r="S17054" s="78">
        <v>44441</v>
      </c>
      <c r="T17054" s="40">
        <v>0.1</v>
      </c>
    </row>
    <row r="17055" spans="19:20" x14ac:dyDescent="0.25">
      <c r="S17055" s="78">
        <v>44442</v>
      </c>
      <c r="T17055" s="40">
        <v>0.1</v>
      </c>
    </row>
    <row r="17056" spans="19:20" x14ac:dyDescent="0.25">
      <c r="S17056" s="78">
        <v>44443</v>
      </c>
      <c r="T17056" s="40">
        <v>0.1</v>
      </c>
    </row>
    <row r="17057" spans="19:20" x14ac:dyDescent="0.25">
      <c r="S17057" s="78">
        <v>44444</v>
      </c>
      <c r="T17057" s="40">
        <v>0.1</v>
      </c>
    </row>
    <row r="17058" spans="19:20" x14ac:dyDescent="0.25">
      <c r="S17058" s="78">
        <v>44445</v>
      </c>
      <c r="T17058" s="40">
        <v>0.1</v>
      </c>
    </row>
    <row r="17059" spans="19:20" x14ac:dyDescent="0.25">
      <c r="S17059" s="78">
        <v>44446</v>
      </c>
      <c r="T17059" s="40">
        <v>0.1</v>
      </c>
    </row>
    <row r="17060" spans="19:20" x14ac:dyDescent="0.25">
      <c r="S17060" s="78">
        <v>44447</v>
      </c>
      <c r="T17060" s="40">
        <v>0.1</v>
      </c>
    </row>
    <row r="17061" spans="19:20" x14ac:dyDescent="0.25">
      <c r="S17061" s="78">
        <v>44448</v>
      </c>
      <c r="T17061" s="40">
        <v>0.1</v>
      </c>
    </row>
    <row r="17062" spans="19:20" x14ac:dyDescent="0.25">
      <c r="S17062" s="78">
        <v>44449</v>
      </c>
      <c r="T17062" s="40">
        <v>0.1</v>
      </c>
    </row>
    <row r="17063" spans="19:20" x14ac:dyDescent="0.25">
      <c r="S17063" s="78">
        <v>44450</v>
      </c>
      <c r="T17063" s="40">
        <v>0.1</v>
      </c>
    </row>
    <row r="17064" spans="19:20" x14ac:dyDescent="0.25">
      <c r="S17064" s="78">
        <v>44451</v>
      </c>
      <c r="T17064" s="40">
        <v>0.1</v>
      </c>
    </row>
    <row r="17065" spans="19:20" x14ac:dyDescent="0.25">
      <c r="S17065" s="78">
        <v>44452</v>
      </c>
      <c r="T17065" s="40">
        <v>0.1</v>
      </c>
    </row>
    <row r="17066" spans="19:20" x14ac:dyDescent="0.25">
      <c r="S17066" s="78">
        <v>44453</v>
      </c>
      <c r="T17066" s="40">
        <v>0.1</v>
      </c>
    </row>
    <row r="17067" spans="19:20" x14ac:dyDescent="0.25">
      <c r="S17067" s="78">
        <v>44454</v>
      </c>
      <c r="T17067" s="40">
        <v>0.1</v>
      </c>
    </row>
    <row r="17068" spans="19:20" x14ac:dyDescent="0.25">
      <c r="S17068" s="78">
        <v>44455</v>
      </c>
      <c r="T17068" s="40">
        <v>0.1</v>
      </c>
    </row>
    <row r="17069" spans="19:20" x14ac:dyDescent="0.25">
      <c r="S17069" s="78">
        <v>44456</v>
      </c>
      <c r="T17069" s="40">
        <v>0.1</v>
      </c>
    </row>
    <row r="17070" spans="19:20" x14ac:dyDescent="0.25">
      <c r="S17070" s="78">
        <v>44457</v>
      </c>
      <c r="T17070" s="40">
        <v>0.1</v>
      </c>
    </row>
    <row r="17071" spans="19:20" x14ac:dyDescent="0.25">
      <c r="S17071" s="78">
        <v>44458</v>
      </c>
      <c r="T17071" s="40">
        <v>0.1</v>
      </c>
    </row>
    <row r="17072" spans="19:20" x14ac:dyDescent="0.25">
      <c r="S17072" s="78">
        <v>44459</v>
      </c>
      <c r="T17072" s="40">
        <v>0.1</v>
      </c>
    </row>
    <row r="17073" spans="19:21" x14ac:dyDescent="0.25">
      <c r="S17073" s="78">
        <v>44460</v>
      </c>
      <c r="T17073" s="40">
        <v>0.1</v>
      </c>
    </row>
    <row r="17074" spans="19:21" x14ac:dyDescent="0.25">
      <c r="S17074" s="78">
        <v>44461</v>
      </c>
      <c r="T17074" s="40">
        <v>0.1</v>
      </c>
    </row>
    <row r="17075" spans="19:21" x14ac:dyDescent="0.25">
      <c r="S17075" s="78">
        <v>44462</v>
      </c>
      <c r="T17075" s="40">
        <v>0.1</v>
      </c>
    </row>
    <row r="17076" spans="19:21" x14ac:dyDescent="0.25">
      <c r="S17076" s="78">
        <v>44463</v>
      </c>
      <c r="T17076" s="40">
        <v>0.1</v>
      </c>
    </row>
    <row r="17077" spans="19:21" x14ac:dyDescent="0.25">
      <c r="S17077" s="78">
        <v>44464</v>
      </c>
      <c r="T17077" s="40">
        <v>0.1</v>
      </c>
    </row>
    <row r="17078" spans="19:21" x14ac:dyDescent="0.25">
      <c r="S17078" s="78">
        <v>44465</v>
      </c>
      <c r="T17078" s="40">
        <v>0.1</v>
      </c>
    </row>
    <row r="17079" spans="19:21" x14ac:dyDescent="0.25">
      <c r="S17079" s="78">
        <v>44466</v>
      </c>
      <c r="T17079" s="40">
        <v>0.1</v>
      </c>
    </row>
    <row r="17080" spans="19:21" x14ac:dyDescent="0.25">
      <c r="S17080" s="78">
        <v>44467</v>
      </c>
      <c r="T17080" s="40">
        <v>0.1</v>
      </c>
    </row>
    <row r="17081" spans="19:21" x14ac:dyDescent="0.25">
      <c r="S17081" s="78">
        <v>44468</v>
      </c>
      <c r="T17081" s="40">
        <v>0.1</v>
      </c>
    </row>
    <row r="17082" spans="19:21" x14ac:dyDescent="0.25">
      <c r="S17082" s="78">
        <v>44469</v>
      </c>
      <c r="T17082" s="40">
        <v>0.1</v>
      </c>
      <c r="U17082" s="40">
        <f>AVERAGE(T16991:T17082)</f>
        <v>9.9999999999999825E-2</v>
      </c>
    </row>
    <row r="17083" spans="19:21" x14ac:dyDescent="0.25">
      <c r="S17083" s="78">
        <v>44470</v>
      </c>
      <c r="T17083" s="40">
        <v>0.1</v>
      </c>
    </row>
    <row r="17084" spans="19:21" x14ac:dyDescent="0.25">
      <c r="S17084" s="78">
        <v>44471</v>
      </c>
      <c r="T17084" s="40">
        <v>0.1</v>
      </c>
    </row>
    <row r="17085" spans="19:21" x14ac:dyDescent="0.25">
      <c r="S17085" s="78">
        <v>44472</v>
      </c>
      <c r="T17085" s="40">
        <v>0.1</v>
      </c>
    </row>
    <row r="17086" spans="19:21" x14ac:dyDescent="0.25">
      <c r="S17086" s="78">
        <v>44473</v>
      </c>
      <c r="T17086" s="40">
        <v>0.1</v>
      </c>
    </row>
    <row r="17087" spans="19:21" x14ac:dyDescent="0.25">
      <c r="S17087" s="78">
        <v>44474</v>
      </c>
      <c r="T17087" s="40">
        <v>0.1</v>
      </c>
    </row>
    <row r="17088" spans="19:21" x14ac:dyDescent="0.25">
      <c r="S17088" s="78">
        <v>44475</v>
      </c>
      <c r="T17088" s="40">
        <v>0.1</v>
      </c>
    </row>
    <row r="17089" spans="19:20" x14ac:dyDescent="0.25">
      <c r="S17089" s="78">
        <v>44476</v>
      </c>
      <c r="T17089" s="40">
        <v>0.1</v>
      </c>
    </row>
    <row r="17090" spans="19:20" x14ac:dyDescent="0.25">
      <c r="S17090" s="78">
        <v>44477</v>
      </c>
      <c r="T17090" s="40">
        <v>0.1</v>
      </c>
    </row>
    <row r="17091" spans="19:20" x14ac:dyDescent="0.25">
      <c r="S17091" s="78">
        <v>44478</v>
      </c>
      <c r="T17091" s="40">
        <v>0.1</v>
      </c>
    </row>
    <row r="17092" spans="19:20" x14ac:dyDescent="0.25">
      <c r="S17092" s="78">
        <v>44479</v>
      </c>
      <c r="T17092" s="40">
        <v>0.1</v>
      </c>
    </row>
    <row r="17093" spans="19:20" x14ac:dyDescent="0.25">
      <c r="S17093" s="78">
        <v>44480</v>
      </c>
      <c r="T17093" s="40">
        <v>0.1</v>
      </c>
    </row>
    <row r="17094" spans="19:20" x14ac:dyDescent="0.25">
      <c r="S17094" s="78">
        <v>44481</v>
      </c>
      <c r="T17094" s="40">
        <v>0.1</v>
      </c>
    </row>
    <row r="17095" spans="19:20" x14ac:dyDescent="0.25">
      <c r="S17095" s="78">
        <v>44482</v>
      </c>
      <c r="T17095" s="40">
        <v>0.1</v>
      </c>
    </row>
    <row r="17096" spans="19:20" x14ac:dyDescent="0.25">
      <c r="S17096" s="78">
        <v>44483</v>
      </c>
      <c r="T17096" s="40">
        <v>0.1</v>
      </c>
    </row>
    <row r="17097" spans="19:20" x14ac:dyDescent="0.25">
      <c r="S17097" s="78">
        <v>44484</v>
      </c>
      <c r="T17097" s="40">
        <v>0.1</v>
      </c>
    </row>
    <row r="17098" spans="19:20" x14ac:dyDescent="0.25">
      <c r="S17098" s="78">
        <v>44485</v>
      </c>
      <c r="T17098" s="40">
        <v>0.1</v>
      </c>
    </row>
    <row r="17099" spans="19:20" x14ac:dyDescent="0.25">
      <c r="S17099" s="78">
        <v>44486</v>
      </c>
      <c r="T17099" s="40">
        <v>0.1</v>
      </c>
    </row>
    <row r="17100" spans="19:20" x14ac:dyDescent="0.25">
      <c r="S17100" s="78">
        <v>44487</v>
      </c>
      <c r="T17100" s="40">
        <v>0.1</v>
      </c>
    </row>
    <row r="17101" spans="19:20" x14ac:dyDescent="0.25">
      <c r="S17101" s="78">
        <v>44488</v>
      </c>
      <c r="T17101" s="40">
        <v>0.1</v>
      </c>
    </row>
    <row r="17102" spans="19:20" x14ac:dyDescent="0.25">
      <c r="S17102" s="78">
        <v>44489</v>
      </c>
      <c r="T17102" s="40">
        <v>0.1</v>
      </c>
    </row>
    <row r="17103" spans="19:20" x14ac:dyDescent="0.25">
      <c r="S17103" s="78">
        <v>44490</v>
      </c>
      <c r="T17103" s="40">
        <v>0.1</v>
      </c>
    </row>
    <row r="17104" spans="19:20" x14ac:dyDescent="0.25">
      <c r="S17104" s="78">
        <v>44491</v>
      </c>
      <c r="T17104" s="40">
        <v>0.1</v>
      </c>
    </row>
    <row r="17105" spans="19:20" x14ac:dyDescent="0.25">
      <c r="S17105" s="78">
        <v>44492</v>
      </c>
      <c r="T17105" s="40">
        <v>0.1</v>
      </c>
    </row>
    <row r="17106" spans="19:20" x14ac:dyDescent="0.25">
      <c r="S17106" s="78">
        <v>44493</v>
      </c>
      <c r="T17106" s="40">
        <v>0.1</v>
      </c>
    </row>
    <row r="17107" spans="19:20" x14ac:dyDescent="0.25">
      <c r="S17107" s="78">
        <v>44494</v>
      </c>
      <c r="T17107" s="40">
        <v>0.1</v>
      </c>
    </row>
    <row r="17108" spans="19:20" x14ac:dyDescent="0.25">
      <c r="S17108" s="78">
        <v>44495</v>
      </c>
      <c r="T17108" s="40">
        <v>0.1</v>
      </c>
    </row>
    <row r="17109" spans="19:20" x14ac:dyDescent="0.25">
      <c r="S17109" s="78">
        <v>44496</v>
      </c>
      <c r="T17109" s="40">
        <v>0.1</v>
      </c>
    </row>
    <row r="17110" spans="19:20" x14ac:dyDescent="0.25">
      <c r="S17110" s="78">
        <v>44497</v>
      </c>
      <c r="T17110" s="40">
        <v>0.1</v>
      </c>
    </row>
    <row r="17111" spans="19:20" x14ac:dyDescent="0.25">
      <c r="S17111" s="78">
        <v>44498</v>
      </c>
      <c r="T17111" s="40">
        <v>0.1</v>
      </c>
    </row>
    <row r="17112" spans="19:20" x14ac:dyDescent="0.25">
      <c r="S17112" s="78">
        <v>44499</v>
      </c>
      <c r="T17112" s="40">
        <v>0.1</v>
      </c>
    </row>
    <row r="17113" spans="19:20" x14ac:dyDescent="0.25">
      <c r="S17113" s="78">
        <v>44500</v>
      </c>
      <c r="T17113" s="40">
        <v>0.1</v>
      </c>
    </row>
    <row r="17114" spans="19:20" x14ac:dyDescent="0.25">
      <c r="S17114" s="78">
        <v>44501</v>
      </c>
      <c r="T17114" s="40">
        <v>0.1</v>
      </c>
    </row>
    <row r="17115" spans="19:20" x14ac:dyDescent="0.25">
      <c r="S17115" s="78">
        <v>44502</v>
      </c>
      <c r="T17115" s="40">
        <v>0.1</v>
      </c>
    </row>
    <row r="17116" spans="19:20" x14ac:dyDescent="0.25">
      <c r="S17116" s="78">
        <v>44503</v>
      </c>
      <c r="T17116" s="40">
        <v>0.1</v>
      </c>
    </row>
    <row r="17117" spans="19:20" x14ac:dyDescent="0.25">
      <c r="S17117" s="78">
        <v>44504</v>
      </c>
      <c r="T17117" s="40">
        <v>0.1</v>
      </c>
    </row>
    <row r="17118" spans="19:20" x14ac:dyDescent="0.25">
      <c r="S17118" s="78">
        <v>44505</v>
      </c>
      <c r="T17118" s="40">
        <v>0.1</v>
      </c>
    </row>
    <row r="17119" spans="19:20" x14ac:dyDescent="0.25">
      <c r="S17119" s="78">
        <v>44506</v>
      </c>
      <c r="T17119" s="40">
        <v>0.1</v>
      </c>
    </row>
    <row r="17120" spans="19:20" x14ac:dyDescent="0.25">
      <c r="S17120" s="78">
        <v>44507</v>
      </c>
      <c r="T17120" s="40">
        <v>0.1</v>
      </c>
    </row>
    <row r="17121" spans="19:20" x14ac:dyDescent="0.25">
      <c r="S17121" s="78">
        <v>44508</v>
      </c>
      <c r="T17121" s="40">
        <v>0.1</v>
      </c>
    </row>
    <row r="17122" spans="19:20" x14ac:dyDescent="0.25">
      <c r="S17122" s="78">
        <v>44509</v>
      </c>
      <c r="T17122" s="40">
        <v>0.1</v>
      </c>
    </row>
    <row r="17123" spans="19:20" x14ac:dyDescent="0.25">
      <c r="S17123" s="78">
        <v>44510</v>
      </c>
      <c r="T17123" s="40">
        <v>0.1</v>
      </c>
    </row>
    <row r="17124" spans="19:20" x14ac:dyDescent="0.25">
      <c r="S17124" s="78">
        <v>44511</v>
      </c>
      <c r="T17124" s="40">
        <v>0.1</v>
      </c>
    </row>
    <row r="17125" spans="19:20" x14ac:dyDescent="0.25">
      <c r="S17125" s="78">
        <v>44512</v>
      </c>
      <c r="T17125" s="40">
        <v>0.1</v>
      </c>
    </row>
    <row r="17126" spans="19:20" x14ac:dyDescent="0.25">
      <c r="S17126" s="78">
        <v>44513</v>
      </c>
      <c r="T17126" s="40">
        <v>0.1</v>
      </c>
    </row>
    <row r="17127" spans="19:20" x14ac:dyDescent="0.25">
      <c r="S17127" s="78">
        <v>44514</v>
      </c>
      <c r="T17127" s="40">
        <v>0.1</v>
      </c>
    </row>
    <row r="17128" spans="19:20" x14ac:dyDescent="0.25">
      <c r="S17128" s="78">
        <v>44515</v>
      </c>
      <c r="T17128" s="40">
        <v>0.1</v>
      </c>
    </row>
    <row r="17129" spans="19:20" x14ac:dyDescent="0.25">
      <c r="S17129" s="78">
        <v>44516</v>
      </c>
      <c r="T17129" s="40">
        <v>0.1</v>
      </c>
    </row>
    <row r="17130" spans="19:20" x14ac:dyDescent="0.25">
      <c r="S17130" s="78">
        <v>44517</v>
      </c>
      <c r="T17130" s="40">
        <v>0.1</v>
      </c>
    </row>
    <row r="17131" spans="19:20" x14ac:dyDescent="0.25">
      <c r="S17131" s="78">
        <v>44518</v>
      </c>
      <c r="T17131" s="40">
        <v>0.1</v>
      </c>
    </row>
    <row r="17132" spans="19:20" x14ac:dyDescent="0.25">
      <c r="S17132" s="78">
        <v>44519</v>
      </c>
      <c r="T17132" s="40">
        <v>0.1</v>
      </c>
    </row>
    <row r="17133" spans="19:20" x14ac:dyDescent="0.25">
      <c r="S17133" s="78">
        <v>44520</v>
      </c>
      <c r="T17133" s="40">
        <v>0.1</v>
      </c>
    </row>
    <row r="17134" spans="19:20" x14ac:dyDescent="0.25">
      <c r="S17134" s="78">
        <v>44521</v>
      </c>
      <c r="T17134" s="40">
        <v>0.1</v>
      </c>
    </row>
    <row r="17135" spans="19:20" x14ac:dyDescent="0.25">
      <c r="S17135" s="78">
        <v>44522</v>
      </c>
      <c r="T17135" s="40">
        <v>0.1</v>
      </c>
    </row>
    <row r="17136" spans="19:20" x14ac:dyDescent="0.25">
      <c r="S17136" s="78">
        <v>44523</v>
      </c>
      <c r="T17136" s="40">
        <v>0.1</v>
      </c>
    </row>
    <row r="17137" spans="19:20" x14ac:dyDescent="0.25">
      <c r="S17137" s="78">
        <v>44524</v>
      </c>
      <c r="T17137" s="40">
        <v>0.1</v>
      </c>
    </row>
    <row r="17138" spans="19:20" x14ac:dyDescent="0.25">
      <c r="S17138" s="78">
        <v>44525</v>
      </c>
      <c r="T17138" s="40">
        <v>0.1</v>
      </c>
    </row>
    <row r="17139" spans="19:20" x14ac:dyDescent="0.25">
      <c r="S17139" s="78">
        <v>44526</v>
      </c>
      <c r="T17139" s="40">
        <v>0.1</v>
      </c>
    </row>
    <row r="17140" spans="19:20" x14ac:dyDescent="0.25">
      <c r="S17140" s="78">
        <v>44527</v>
      </c>
      <c r="T17140" s="40">
        <v>0.1</v>
      </c>
    </row>
    <row r="17141" spans="19:20" x14ac:dyDescent="0.25">
      <c r="S17141" s="78">
        <v>44528</v>
      </c>
      <c r="T17141" s="40">
        <v>0.1</v>
      </c>
    </row>
    <row r="17142" spans="19:20" x14ac:dyDescent="0.25">
      <c r="S17142" s="78">
        <v>44529</v>
      </c>
      <c r="T17142" s="40">
        <v>0.1</v>
      </c>
    </row>
    <row r="17143" spans="19:20" x14ac:dyDescent="0.25">
      <c r="S17143" s="78">
        <v>44530</v>
      </c>
      <c r="T17143" s="40">
        <v>0.1</v>
      </c>
    </row>
    <row r="17144" spans="19:20" x14ac:dyDescent="0.25">
      <c r="S17144" s="78">
        <v>44531</v>
      </c>
      <c r="T17144" s="40">
        <v>0.1</v>
      </c>
    </row>
    <row r="17145" spans="19:20" x14ac:dyDescent="0.25">
      <c r="S17145" s="78">
        <v>44532</v>
      </c>
      <c r="T17145" s="40">
        <v>0.1</v>
      </c>
    </row>
    <row r="17146" spans="19:20" x14ac:dyDescent="0.25">
      <c r="S17146" s="78">
        <v>44533</v>
      </c>
      <c r="T17146" s="40">
        <v>0.1</v>
      </c>
    </row>
    <row r="17147" spans="19:20" x14ac:dyDescent="0.25">
      <c r="S17147" s="78">
        <v>44534</v>
      </c>
      <c r="T17147" s="40">
        <v>0.1</v>
      </c>
    </row>
    <row r="17148" spans="19:20" x14ac:dyDescent="0.25">
      <c r="S17148" s="78">
        <v>44535</v>
      </c>
      <c r="T17148" s="40">
        <v>0.1</v>
      </c>
    </row>
    <row r="17149" spans="19:20" x14ac:dyDescent="0.25">
      <c r="S17149" s="78">
        <v>44536</v>
      </c>
      <c r="T17149" s="40">
        <v>0.1</v>
      </c>
    </row>
    <row r="17150" spans="19:20" x14ac:dyDescent="0.25">
      <c r="S17150" s="78">
        <v>44537</v>
      </c>
      <c r="T17150" s="40">
        <v>0.1</v>
      </c>
    </row>
    <row r="17151" spans="19:20" x14ac:dyDescent="0.25">
      <c r="S17151" s="78">
        <v>44538</v>
      </c>
      <c r="T17151" s="40">
        <v>0.1</v>
      </c>
    </row>
    <row r="17152" spans="19:20" x14ac:dyDescent="0.25">
      <c r="S17152" s="78">
        <v>44539</v>
      </c>
      <c r="T17152" s="40">
        <v>0.1</v>
      </c>
    </row>
    <row r="17153" spans="19:20" x14ac:dyDescent="0.25">
      <c r="S17153" s="78">
        <v>44540</v>
      </c>
      <c r="T17153" s="40">
        <v>0.1</v>
      </c>
    </row>
    <row r="17154" spans="19:20" x14ac:dyDescent="0.25">
      <c r="S17154" s="78">
        <v>44541</v>
      </c>
      <c r="T17154" s="40">
        <v>0.1</v>
      </c>
    </row>
    <row r="17155" spans="19:20" x14ac:dyDescent="0.25">
      <c r="S17155" s="78">
        <v>44542</v>
      </c>
      <c r="T17155" s="40">
        <v>0.1</v>
      </c>
    </row>
    <row r="17156" spans="19:20" x14ac:dyDescent="0.25">
      <c r="S17156" s="78">
        <v>44543</v>
      </c>
      <c r="T17156" s="40">
        <v>0.1</v>
      </c>
    </row>
    <row r="17157" spans="19:20" x14ac:dyDescent="0.25">
      <c r="S17157" s="78">
        <v>44544</v>
      </c>
      <c r="T17157" s="40">
        <v>0.1</v>
      </c>
    </row>
    <row r="17158" spans="19:20" x14ac:dyDescent="0.25">
      <c r="S17158" s="78">
        <v>44545</v>
      </c>
      <c r="T17158" s="40">
        <v>0.1</v>
      </c>
    </row>
    <row r="17159" spans="19:20" x14ac:dyDescent="0.25">
      <c r="S17159" s="78">
        <v>44546</v>
      </c>
      <c r="T17159" s="40">
        <v>0.25</v>
      </c>
    </row>
    <row r="17160" spans="19:20" x14ac:dyDescent="0.25">
      <c r="S17160" s="78">
        <v>44547</v>
      </c>
      <c r="T17160" s="40">
        <v>0.25</v>
      </c>
    </row>
    <row r="17161" spans="19:20" x14ac:dyDescent="0.25">
      <c r="S17161" s="78">
        <v>44548</v>
      </c>
      <c r="T17161" s="40">
        <v>0.25</v>
      </c>
    </row>
    <row r="17162" spans="19:20" x14ac:dyDescent="0.25">
      <c r="S17162" s="78">
        <v>44549</v>
      </c>
      <c r="T17162" s="40">
        <v>0.25</v>
      </c>
    </row>
    <row r="17163" spans="19:20" x14ac:dyDescent="0.25">
      <c r="S17163" s="78">
        <v>44550</v>
      </c>
      <c r="T17163" s="40">
        <v>0.25</v>
      </c>
    </row>
    <row r="17164" spans="19:20" x14ac:dyDescent="0.25">
      <c r="S17164" s="78">
        <v>44551</v>
      </c>
      <c r="T17164" s="40">
        <v>0.25</v>
      </c>
    </row>
    <row r="17165" spans="19:20" x14ac:dyDescent="0.25">
      <c r="S17165" s="78">
        <v>44552</v>
      </c>
      <c r="T17165" s="40">
        <v>0.25</v>
      </c>
    </row>
    <row r="17166" spans="19:20" x14ac:dyDescent="0.25">
      <c r="S17166" s="78">
        <v>44553</v>
      </c>
      <c r="T17166" s="40">
        <v>0.25</v>
      </c>
    </row>
    <row r="17167" spans="19:20" x14ac:dyDescent="0.25">
      <c r="S17167" s="78">
        <v>44554</v>
      </c>
      <c r="T17167" s="40">
        <v>0.25</v>
      </c>
    </row>
    <row r="17168" spans="19:20" x14ac:dyDescent="0.25">
      <c r="S17168" s="78">
        <v>44555</v>
      </c>
      <c r="T17168" s="40">
        <v>0.25</v>
      </c>
    </row>
    <row r="17169" spans="19:21" x14ac:dyDescent="0.25">
      <c r="S17169" s="78">
        <v>44556</v>
      </c>
      <c r="T17169" s="40">
        <v>0.25</v>
      </c>
    </row>
    <row r="17170" spans="19:21" x14ac:dyDescent="0.25">
      <c r="S17170" s="78">
        <v>44557</v>
      </c>
      <c r="T17170" s="40">
        <v>0.25</v>
      </c>
    </row>
    <row r="17171" spans="19:21" x14ac:dyDescent="0.25">
      <c r="S17171" s="78">
        <v>44558</v>
      </c>
      <c r="T17171" s="40">
        <v>0.25</v>
      </c>
    </row>
    <row r="17172" spans="19:21" x14ac:dyDescent="0.25">
      <c r="S17172" s="78">
        <v>44559</v>
      </c>
      <c r="T17172" s="40">
        <v>0.25</v>
      </c>
    </row>
    <row r="17173" spans="19:21" x14ac:dyDescent="0.25">
      <c r="S17173" s="78">
        <v>44560</v>
      </c>
      <c r="T17173" s="40">
        <v>0.25</v>
      </c>
    </row>
    <row r="17174" spans="19:21" x14ac:dyDescent="0.25">
      <c r="S17174" s="78">
        <v>44561</v>
      </c>
      <c r="T17174" s="40">
        <v>0.25</v>
      </c>
      <c r="U17174" s="40">
        <f>AVERAGE(T17083:T17174)</f>
        <v>0.12608695652173901</v>
      </c>
    </row>
    <row r="17175" spans="19:21" x14ac:dyDescent="0.25">
      <c r="S17175" s="78">
        <v>44562</v>
      </c>
      <c r="T17175" s="40">
        <v>0.25</v>
      </c>
    </row>
    <row r="17176" spans="19:21" x14ac:dyDescent="0.25">
      <c r="S17176" s="78">
        <v>44563</v>
      </c>
      <c r="T17176" s="40">
        <v>0.25</v>
      </c>
    </row>
    <row r="17177" spans="19:21" x14ac:dyDescent="0.25">
      <c r="S17177" s="78">
        <v>44564</v>
      </c>
      <c r="T17177" s="40">
        <v>0.25</v>
      </c>
    </row>
    <row r="17178" spans="19:21" x14ac:dyDescent="0.25">
      <c r="S17178" s="78">
        <v>44565</v>
      </c>
      <c r="T17178" s="40">
        <v>0.25</v>
      </c>
    </row>
    <row r="17179" spans="19:21" x14ac:dyDescent="0.25">
      <c r="S17179" s="78">
        <v>44566</v>
      </c>
      <c r="T17179" s="40">
        <v>0.25</v>
      </c>
    </row>
    <row r="17180" spans="19:21" x14ac:dyDescent="0.25">
      <c r="S17180" s="78">
        <v>44567</v>
      </c>
      <c r="T17180" s="40">
        <v>0.25</v>
      </c>
    </row>
    <row r="17181" spans="19:21" x14ac:dyDescent="0.25">
      <c r="S17181" s="78">
        <v>44568</v>
      </c>
      <c r="T17181" s="40">
        <v>0.25</v>
      </c>
    </row>
    <row r="17182" spans="19:21" x14ac:dyDescent="0.25">
      <c r="S17182" s="78">
        <v>44569</v>
      </c>
      <c r="T17182" s="40">
        <v>0.25</v>
      </c>
    </row>
    <row r="17183" spans="19:21" x14ac:dyDescent="0.25">
      <c r="S17183" s="78">
        <v>44570</v>
      </c>
      <c r="T17183" s="40">
        <v>0.25</v>
      </c>
    </row>
    <row r="17184" spans="19:21" x14ac:dyDescent="0.25">
      <c r="S17184" s="78">
        <v>44571</v>
      </c>
      <c r="T17184" s="40">
        <v>0.25</v>
      </c>
    </row>
    <row r="17185" spans="19:20" x14ac:dyDescent="0.25">
      <c r="S17185" s="78">
        <v>44572</v>
      </c>
      <c r="T17185" s="40">
        <v>0.25</v>
      </c>
    </row>
    <row r="17186" spans="19:20" x14ac:dyDescent="0.25">
      <c r="S17186" s="78">
        <v>44573</v>
      </c>
      <c r="T17186" s="40">
        <v>0.25</v>
      </c>
    </row>
    <row r="17187" spans="19:20" x14ac:dyDescent="0.25">
      <c r="S17187" s="78">
        <v>44574</v>
      </c>
      <c r="T17187" s="40">
        <v>0.25</v>
      </c>
    </row>
    <row r="17188" spans="19:20" x14ac:dyDescent="0.25">
      <c r="S17188" s="78">
        <v>44575</v>
      </c>
      <c r="T17188" s="40">
        <v>0.25</v>
      </c>
    </row>
    <row r="17189" spans="19:20" x14ac:dyDescent="0.25">
      <c r="S17189" s="78">
        <v>44576</v>
      </c>
      <c r="T17189" s="40">
        <v>0.25</v>
      </c>
    </row>
    <row r="17190" spans="19:20" x14ac:dyDescent="0.25">
      <c r="S17190" s="78">
        <v>44577</v>
      </c>
      <c r="T17190" s="40">
        <v>0.25</v>
      </c>
    </row>
    <row r="17191" spans="19:20" x14ac:dyDescent="0.25">
      <c r="S17191" s="78">
        <v>44578</v>
      </c>
      <c r="T17191" s="40">
        <v>0.25</v>
      </c>
    </row>
    <row r="17192" spans="19:20" x14ac:dyDescent="0.25">
      <c r="S17192" s="78">
        <v>44579</v>
      </c>
      <c r="T17192" s="40">
        <v>0.25</v>
      </c>
    </row>
    <row r="17193" spans="19:20" x14ac:dyDescent="0.25">
      <c r="S17193" s="78">
        <v>44580</v>
      </c>
      <c r="T17193" s="40">
        <v>0.25</v>
      </c>
    </row>
    <row r="17194" spans="19:20" x14ac:dyDescent="0.25">
      <c r="S17194" s="78">
        <v>44581</v>
      </c>
      <c r="T17194" s="40">
        <v>0.25</v>
      </c>
    </row>
    <row r="17195" spans="19:20" x14ac:dyDescent="0.25">
      <c r="S17195" s="78">
        <v>44582</v>
      </c>
      <c r="T17195" s="40">
        <v>0.25</v>
      </c>
    </row>
    <row r="17196" spans="19:20" x14ac:dyDescent="0.25">
      <c r="S17196" s="78">
        <v>44583</v>
      </c>
      <c r="T17196" s="40">
        <v>0.25</v>
      </c>
    </row>
    <row r="17197" spans="19:20" x14ac:dyDescent="0.25">
      <c r="S17197" s="78">
        <v>44584</v>
      </c>
      <c r="T17197" s="40">
        <v>0.25</v>
      </c>
    </row>
    <row r="17198" spans="19:20" x14ac:dyDescent="0.25">
      <c r="S17198" s="78">
        <v>44585</v>
      </c>
      <c r="T17198" s="40">
        <v>0.25</v>
      </c>
    </row>
    <row r="17199" spans="19:20" x14ac:dyDescent="0.25">
      <c r="S17199" s="78">
        <v>44586</v>
      </c>
      <c r="T17199" s="40">
        <v>0.25</v>
      </c>
    </row>
    <row r="17200" spans="19:20" x14ac:dyDescent="0.25">
      <c r="S17200" s="78">
        <v>44587</v>
      </c>
      <c r="T17200" s="40">
        <v>0.25</v>
      </c>
    </row>
    <row r="17201" spans="19:20" x14ac:dyDescent="0.25">
      <c r="S17201" s="78">
        <v>44588</v>
      </c>
      <c r="T17201" s="40">
        <v>0.25</v>
      </c>
    </row>
    <row r="17202" spans="19:20" x14ac:dyDescent="0.25">
      <c r="S17202" s="78">
        <v>44589</v>
      </c>
      <c r="T17202" s="40">
        <v>0.25</v>
      </c>
    </row>
    <row r="17203" spans="19:20" x14ac:dyDescent="0.25">
      <c r="S17203" s="78">
        <v>44590</v>
      </c>
      <c r="T17203" s="40">
        <v>0.25</v>
      </c>
    </row>
    <row r="17204" spans="19:20" x14ac:dyDescent="0.25">
      <c r="S17204" s="78">
        <v>44591</v>
      </c>
      <c r="T17204" s="40">
        <v>0.25</v>
      </c>
    </row>
    <row r="17205" spans="19:20" x14ac:dyDescent="0.25">
      <c r="S17205" s="78">
        <v>44592</v>
      </c>
      <c r="T17205" s="40">
        <v>0.25</v>
      </c>
    </row>
    <row r="17206" spans="19:20" x14ac:dyDescent="0.25">
      <c r="S17206" s="78">
        <v>44593</v>
      </c>
      <c r="T17206" s="40">
        <v>0.25</v>
      </c>
    </row>
    <row r="17207" spans="19:20" x14ac:dyDescent="0.25">
      <c r="S17207" s="78">
        <v>44594</v>
      </c>
      <c r="T17207" s="40">
        <v>0.25</v>
      </c>
    </row>
    <row r="17208" spans="19:20" x14ac:dyDescent="0.25">
      <c r="S17208" s="78">
        <v>44595</v>
      </c>
      <c r="T17208" s="40">
        <v>0.5</v>
      </c>
    </row>
    <row r="17209" spans="19:20" x14ac:dyDescent="0.25">
      <c r="S17209" s="78">
        <v>44596</v>
      </c>
      <c r="T17209" s="40">
        <v>0.5</v>
      </c>
    </row>
    <row r="17210" spans="19:20" x14ac:dyDescent="0.25">
      <c r="S17210" s="78">
        <v>44597</v>
      </c>
      <c r="T17210" s="40">
        <v>0.5</v>
      </c>
    </row>
    <row r="17211" spans="19:20" x14ac:dyDescent="0.25">
      <c r="S17211" s="78">
        <v>44598</v>
      </c>
      <c r="T17211" s="40">
        <v>0.5</v>
      </c>
    </row>
    <row r="17212" spans="19:20" x14ac:dyDescent="0.25">
      <c r="S17212" s="78">
        <v>44599</v>
      </c>
      <c r="T17212" s="40">
        <v>0.5</v>
      </c>
    </row>
    <row r="17213" spans="19:20" x14ac:dyDescent="0.25">
      <c r="S17213" s="78">
        <v>44600</v>
      </c>
      <c r="T17213" s="40">
        <v>0.5</v>
      </c>
    </row>
    <row r="17214" spans="19:20" x14ac:dyDescent="0.25">
      <c r="S17214" s="78">
        <v>44601</v>
      </c>
      <c r="T17214" s="40">
        <v>0.5</v>
      </c>
    </row>
    <row r="17215" spans="19:20" x14ac:dyDescent="0.25">
      <c r="S17215" s="78">
        <v>44602</v>
      </c>
      <c r="T17215" s="40">
        <v>0.5</v>
      </c>
    </row>
    <row r="17216" spans="19:20" x14ac:dyDescent="0.25">
      <c r="S17216" s="78">
        <v>44603</v>
      </c>
      <c r="T17216" s="40">
        <v>0.5</v>
      </c>
    </row>
    <row r="17217" spans="19:20" x14ac:dyDescent="0.25">
      <c r="S17217" s="78">
        <v>44604</v>
      </c>
      <c r="T17217" s="40">
        <v>0.5</v>
      </c>
    </row>
    <row r="17218" spans="19:20" x14ac:dyDescent="0.25">
      <c r="S17218" s="78">
        <v>44605</v>
      </c>
      <c r="T17218" s="40">
        <v>0.5</v>
      </c>
    </row>
    <row r="17219" spans="19:20" x14ac:dyDescent="0.25">
      <c r="S17219" s="78">
        <v>44606</v>
      </c>
      <c r="T17219" s="40">
        <v>0.5</v>
      </c>
    </row>
    <row r="17220" spans="19:20" x14ac:dyDescent="0.25">
      <c r="S17220" s="78">
        <v>44607</v>
      </c>
      <c r="T17220" s="40">
        <v>0.5</v>
      </c>
    </row>
    <row r="17221" spans="19:20" x14ac:dyDescent="0.25">
      <c r="S17221" s="78">
        <v>44608</v>
      </c>
      <c r="T17221" s="40">
        <v>0.5</v>
      </c>
    </row>
    <row r="17222" spans="19:20" x14ac:dyDescent="0.25">
      <c r="S17222" s="78">
        <v>44609</v>
      </c>
      <c r="T17222" s="40">
        <v>0.5</v>
      </c>
    </row>
    <row r="17223" spans="19:20" x14ac:dyDescent="0.25">
      <c r="S17223" s="78">
        <v>44610</v>
      </c>
      <c r="T17223" s="40">
        <v>0.5</v>
      </c>
    </row>
    <row r="17224" spans="19:20" x14ac:dyDescent="0.25">
      <c r="S17224" s="78">
        <v>44611</v>
      </c>
      <c r="T17224" s="40">
        <v>0.5</v>
      </c>
    </row>
    <row r="17225" spans="19:20" x14ac:dyDescent="0.25">
      <c r="S17225" s="78">
        <v>44612</v>
      </c>
      <c r="T17225" s="40">
        <v>0.5</v>
      </c>
    </row>
    <row r="17226" spans="19:20" x14ac:dyDescent="0.25">
      <c r="S17226" s="78">
        <v>44613</v>
      </c>
      <c r="T17226" s="40">
        <v>0.5</v>
      </c>
    </row>
    <row r="17227" spans="19:20" x14ac:dyDescent="0.25">
      <c r="S17227" s="78">
        <v>44614</v>
      </c>
      <c r="T17227" s="40">
        <v>0.5</v>
      </c>
    </row>
    <row r="17228" spans="19:20" x14ac:dyDescent="0.25">
      <c r="S17228" s="78">
        <v>44615</v>
      </c>
      <c r="T17228" s="40">
        <v>0.5</v>
      </c>
    </row>
    <row r="17229" spans="19:20" x14ac:dyDescent="0.25">
      <c r="S17229" s="78">
        <v>44616</v>
      </c>
      <c r="T17229" s="40">
        <v>0.5</v>
      </c>
    </row>
    <row r="17230" spans="19:20" x14ac:dyDescent="0.25">
      <c r="S17230" s="78">
        <v>44617</v>
      </c>
      <c r="T17230" s="40">
        <v>0.5</v>
      </c>
    </row>
    <row r="17231" spans="19:20" x14ac:dyDescent="0.25">
      <c r="S17231" s="78">
        <v>44618</v>
      </c>
      <c r="T17231" s="40">
        <v>0.5</v>
      </c>
    </row>
    <row r="17232" spans="19:20" x14ac:dyDescent="0.25">
      <c r="S17232" s="78">
        <v>44619</v>
      </c>
      <c r="T17232" s="40">
        <v>0.5</v>
      </c>
    </row>
    <row r="17233" spans="19:20" x14ac:dyDescent="0.25">
      <c r="S17233" s="78">
        <v>44620</v>
      </c>
      <c r="T17233" s="40">
        <v>0.5</v>
      </c>
    </row>
    <row r="17234" spans="19:20" x14ac:dyDescent="0.25">
      <c r="S17234" s="78">
        <v>44621</v>
      </c>
      <c r="T17234" s="40">
        <v>0.5</v>
      </c>
    </row>
    <row r="17235" spans="19:20" x14ac:dyDescent="0.25">
      <c r="S17235" s="78">
        <v>44622</v>
      </c>
      <c r="T17235" s="40">
        <v>0.5</v>
      </c>
    </row>
    <row r="17236" spans="19:20" x14ac:dyDescent="0.25">
      <c r="S17236" s="78">
        <v>44623</v>
      </c>
      <c r="T17236" s="40">
        <v>0.5</v>
      </c>
    </row>
    <row r="17237" spans="19:20" x14ac:dyDescent="0.25">
      <c r="S17237" s="78">
        <v>44624</v>
      </c>
      <c r="T17237" s="40">
        <v>0.5</v>
      </c>
    </row>
    <row r="17238" spans="19:20" x14ac:dyDescent="0.25">
      <c r="S17238" s="78">
        <v>44625</v>
      </c>
      <c r="T17238" s="40">
        <v>0.5</v>
      </c>
    </row>
    <row r="17239" spans="19:20" x14ac:dyDescent="0.25">
      <c r="S17239" s="78">
        <v>44626</v>
      </c>
      <c r="T17239" s="40">
        <v>0.5</v>
      </c>
    </row>
    <row r="17240" spans="19:20" x14ac:dyDescent="0.25">
      <c r="S17240" s="78">
        <v>44627</v>
      </c>
      <c r="T17240" s="40">
        <v>0.5</v>
      </c>
    </row>
    <row r="17241" spans="19:20" x14ac:dyDescent="0.25">
      <c r="S17241" s="78">
        <v>44628</v>
      </c>
      <c r="T17241" s="40">
        <v>0.5</v>
      </c>
    </row>
    <row r="17242" spans="19:20" x14ac:dyDescent="0.25">
      <c r="S17242" s="78">
        <v>44629</v>
      </c>
      <c r="T17242" s="40">
        <v>0.5</v>
      </c>
    </row>
    <row r="17243" spans="19:20" x14ac:dyDescent="0.25">
      <c r="S17243" s="78">
        <v>44630</v>
      </c>
      <c r="T17243" s="40">
        <v>0.5</v>
      </c>
    </row>
    <row r="17244" spans="19:20" x14ac:dyDescent="0.25">
      <c r="S17244" s="78">
        <v>44631</v>
      </c>
      <c r="T17244" s="40">
        <v>0.5</v>
      </c>
    </row>
    <row r="17245" spans="19:20" x14ac:dyDescent="0.25">
      <c r="S17245" s="78">
        <v>44632</v>
      </c>
      <c r="T17245" s="40">
        <v>0.5</v>
      </c>
    </row>
    <row r="17246" spans="19:20" x14ac:dyDescent="0.25">
      <c r="S17246" s="78">
        <v>44633</v>
      </c>
      <c r="T17246" s="40">
        <v>0.5</v>
      </c>
    </row>
    <row r="17247" spans="19:20" x14ac:dyDescent="0.25">
      <c r="S17247" s="78">
        <v>44634</v>
      </c>
      <c r="T17247" s="40">
        <v>0.5</v>
      </c>
    </row>
    <row r="17248" spans="19:20" x14ac:dyDescent="0.25">
      <c r="S17248" s="78">
        <v>44635</v>
      </c>
      <c r="T17248" s="40">
        <v>0.5</v>
      </c>
    </row>
    <row r="17249" spans="19:21" x14ac:dyDescent="0.25">
      <c r="S17249" s="78">
        <v>44636</v>
      </c>
      <c r="T17249" s="40">
        <v>0.5</v>
      </c>
    </row>
    <row r="17250" spans="19:21" x14ac:dyDescent="0.25">
      <c r="S17250" s="78">
        <v>44637</v>
      </c>
      <c r="T17250" s="40">
        <v>0.75</v>
      </c>
    </row>
    <row r="17251" spans="19:21" x14ac:dyDescent="0.25">
      <c r="S17251" s="78">
        <v>44638</v>
      </c>
      <c r="T17251" s="40">
        <v>0.75</v>
      </c>
    </row>
    <row r="17252" spans="19:21" x14ac:dyDescent="0.25">
      <c r="S17252" s="78">
        <v>44639</v>
      </c>
      <c r="T17252" s="40">
        <v>0.75</v>
      </c>
    </row>
    <row r="17253" spans="19:21" x14ac:dyDescent="0.25">
      <c r="S17253" s="78">
        <v>44640</v>
      </c>
      <c r="T17253" s="40">
        <v>0.75</v>
      </c>
    </row>
    <row r="17254" spans="19:21" x14ac:dyDescent="0.25">
      <c r="S17254" s="78">
        <v>44641</v>
      </c>
      <c r="T17254" s="40">
        <v>0.75</v>
      </c>
    </row>
    <row r="17255" spans="19:21" x14ac:dyDescent="0.25">
      <c r="S17255" s="78">
        <v>44642</v>
      </c>
      <c r="T17255" s="40">
        <v>0.75</v>
      </c>
    </row>
    <row r="17256" spans="19:21" x14ac:dyDescent="0.25">
      <c r="S17256" s="78">
        <v>44643</v>
      </c>
      <c r="T17256" s="40">
        <v>0.75</v>
      </c>
    </row>
    <row r="17257" spans="19:21" x14ac:dyDescent="0.25">
      <c r="S17257" s="78">
        <v>44644</v>
      </c>
      <c r="T17257" s="40">
        <v>0.75</v>
      </c>
    </row>
    <row r="17258" spans="19:21" x14ac:dyDescent="0.25">
      <c r="S17258" s="78">
        <v>44645</v>
      </c>
      <c r="T17258" s="40">
        <v>0.75</v>
      </c>
    </row>
    <row r="17259" spans="19:21" x14ac:dyDescent="0.25">
      <c r="S17259" s="78">
        <v>44646</v>
      </c>
      <c r="T17259" s="40">
        <v>0.75</v>
      </c>
    </row>
    <row r="17260" spans="19:21" x14ac:dyDescent="0.25">
      <c r="S17260" s="78">
        <v>44647</v>
      </c>
      <c r="T17260" s="40">
        <v>0.75</v>
      </c>
    </row>
    <row r="17261" spans="19:21" x14ac:dyDescent="0.25">
      <c r="S17261" s="78">
        <v>44648</v>
      </c>
      <c r="T17261" s="40">
        <v>0.75</v>
      </c>
    </row>
    <row r="17262" spans="19:21" x14ac:dyDescent="0.25">
      <c r="S17262" s="78">
        <v>44649</v>
      </c>
      <c r="T17262" s="40">
        <v>0.75</v>
      </c>
    </row>
    <row r="17263" spans="19:21" x14ac:dyDescent="0.25">
      <c r="S17263" s="78">
        <v>44650</v>
      </c>
      <c r="T17263" s="40">
        <v>0.75</v>
      </c>
    </row>
    <row r="17264" spans="19:21" x14ac:dyDescent="0.25">
      <c r="S17264" s="78">
        <v>44651</v>
      </c>
      <c r="T17264" s="40">
        <v>0.75</v>
      </c>
      <c r="U17264" s="40">
        <f>AVERAGE(T17175:T17264)</f>
        <v>0.45</v>
      </c>
    </row>
    <row r="17265" spans="19:20" x14ac:dyDescent="0.25">
      <c r="S17265" s="78">
        <v>44652</v>
      </c>
      <c r="T17265" s="40">
        <v>0.75</v>
      </c>
    </row>
    <row r="17266" spans="19:20" x14ac:dyDescent="0.25">
      <c r="S17266" s="78">
        <v>44653</v>
      </c>
      <c r="T17266" s="40">
        <v>0.75</v>
      </c>
    </row>
    <row r="17267" spans="19:20" x14ac:dyDescent="0.25">
      <c r="S17267" s="78">
        <v>44654</v>
      </c>
      <c r="T17267" s="40">
        <v>0.75</v>
      </c>
    </row>
    <row r="17268" spans="19:20" x14ac:dyDescent="0.25">
      <c r="S17268" s="78">
        <v>44655</v>
      </c>
      <c r="T17268" s="40">
        <v>0.75</v>
      </c>
    </row>
    <row r="17269" spans="19:20" x14ac:dyDescent="0.25">
      <c r="S17269" s="78">
        <v>44656</v>
      </c>
      <c r="T17269" s="40">
        <v>0.75</v>
      </c>
    </row>
    <row r="17270" spans="19:20" x14ac:dyDescent="0.25">
      <c r="S17270" s="78">
        <v>44657</v>
      </c>
      <c r="T17270" s="40">
        <v>0.75</v>
      </c>
    </row>
    <row r="17271" spans="19:20" x14ac:dyDescent="0.25">
      <c r="S17271" s="78">
        <v>44658</v>
      </c>
      <c r="T17271" s="40">
        <v>0.75</v>
      </c>
    </row>
    <row r="17272" spans="19:20" x14ac:dyDescent="0.25">
      <c r="S17272" s="78">
        <v>44659</v>
      </c>
      <c r="T17272" s="40">
        <v>0.75</v>
      </c>
    </row>
    <row r="17273" spans="19:20" x14ac:dyDescent="0.25">
      <c r="S17273" s="78">
        <v>44660</v>
      </c>
      <c r="T17273" s="40">
        <v>0.75</v>
      </c>
    </row>
    <row r="17274" spans="19:20" x14ac:dyDescent="0.25">
      <c r="S17274" s="78">
        <v>44661</v>
      </c>
      <c r="T17274" s="40">
        <v>0.75</v>
      </c>
    </row>
    <row r="17275" spans="19:20" x14ac:dyDescent="0.25">
      <c r="S17275" s="78">
        <v>44662</v>
      </c>
      <c r="T17275" s="40">
        <v>0.75</v>
      </c>
    </row>
    <row r="17276" spans="19:20" x14ac:dyDescent="0.25">
      <c r="S17276" s="78">
        <v>44663</v>
      </c>
      <c r="T17276" s="40">
        <v>0.75</v>
      </c>
    </row>
    <row r="17277" spans="19:20" x14ac:dyDescent="0.25">
      <c r="S17277" s="78">
        <v>44664</v>
      </c>
      <c r="T17277" s="40">
        <v>0.75</v>
      </c>
    </row>
    <row r="17278" spans="19:20" x14ac:dyDescent="0.25">
      <c r="S17278" s="78">
        <v>44665</v>
      </c>
      <c r="T17278" s="40">
        <v>0.75</v>
      </c>
    </row>
    <row r="17279" spans="19:20" x14ac:dyDescent="0.25">
      <c r="S17279" s="78">
        <v>44666</v>
      </c>
      <c r="T17279" s="40">
        <v>0.75</v>
      </c>
    </row>
    <row r="17280" spans="19:20" x14ac:dyDescent="0.25">
      <c r="S17280" s="78">
        <v>44667</v>
      </c>
      <c r="T17280" s="40">
        <v>0.75</v>
      </c>
    </row>
    <row r="17281" spans="19:20" x14ac:dyDescent="0.25">
      <c r="S17281" s="78">
        <v>44668</v>
      </c>
      <c r="T17281" s="40">
        <v>0.75</v>
      </c>
    </row>
    <row r="17282" spans="19:20" x14ac:dyDescent="0.25">
      <c r="S17282" s="78">
        <v>44669</v>
      </c>
      <c r="T17282" s="40">
        <v>0.75</v>
      </c>
    </row>
    <row r="17283" spans="19:20" x14ac:dyDescent="0.25">
      <c r="S17283" s="78">
        <v>44670</v>
      </c>
      <c r="T17283" s="40">
        <v>0.75</v>
      </c>
    </row>
    <row r="17284" spans="19:20" x14ac:dyDescent="0.25">
      <c r="S17284" s="78">
        <v>44671</v>
      </c>
      <c r="T17284" s="40">
        <v>0.75</v>
      </c>
    </row>
    <row r="17285" spans="19:20" x14ac:dyDescent="0.25">
      <c r="S17285" s="78">
        <v>44672</v>
      </c>
      <c r="T17285" s="40">
        <v>0.75</v>
      </c>
    </row>
    <row r="17286" spans="19:20" x14ac:dyDescent="0.25">
      <c r="S17286" s="78">
        <v>44673</v>
      </c>
      <c r="T17286" s="40">
        <v>0.75</v>
      </c>
    </row>
    <row r="17287" spans="19:20" x14ac:dyDescent="0.25">
      <c r="S17287" s="78">
        <v>44674</v>
      </c>
      <c r="T17287" s="40">
        <v>0.75</v>
      </c>
    </row>
    <row r="17288" spans="19:20" x14ac:dyDescent="0.25">
      <c r="S17288" s="78">
        <v>44675</v>
      </c>
      <c r="T17288" s="40">
        <v>0.75</v>
      </c>
    </row>
    <row r="17289" spans="19:20" x14ac:dyDescent="0.25">
      <c r="S17289" s="78">
        <v>44676</v>
      </c>
      <c r="T17289" s="40">
        <v>0.75</v>
      </c>
    </row>
    <row r="17290" spans="19:20" x14ac:dyDescent="0.25">
      <c r="S17290" s="78">
        <v>44677</v>
      </c>
      <c r="T17290" s="40">
        <v>0.75</v>
      </c>
    </row>
    <row r="17291" spans="19:20" x14ac:dyDescent="0.25">
      <c r="S17291" s="78">
        <v>44678</v>
      </c>
      <c r="T17291" s="40">
        <v>0.75</v>
      </c>
    </row>
    <row r="17292" spans="19:20" x14ac:dyDescent="0.25">
      <c r="S17292" s="78">
        <v>44679</v>
      </c>
      <c r="T17292" s="40">
        <v>0.75</v>
      </c>
    </row>
    <row r="17293" spans="19:20" x14ac:dyDescent="0.25">
      <c r="S17293" s="78">
        <v>44680</v>
      </c>
      <c r="T17293" s="40">
        <v>0.75</v>
      </c>
    </row>
    <row r="17294" spans="19:20" x14ac:dyDescent="0.25">
      <c r="S17294" s="78">
        <v>44681</v>
      </c>
      <c r="T17294" s="40">
        <v>0.75</v>
      </c>
    </row>
    <row r="17295" spans="19:20" x14ac:dyDescent="0.25">
      <c r="S17295" s="78">
        <v>44682</v>
      </c>
      <c r="T17295" s="40">
        <v>0.75</v>
      </c>
    </row>
    <row r="17296" spans="19:20" x14ac:dyDescent="0.25">
      <c r="S17296" s="78">
        <v>44683</v>
      </c>
      <c r="T17296" s="40">
        <v>0.75</v>
      </c>
    </row>
    <row r="17297" spans="19:20" x14ac:dyDescent="0.25">
      <c r="S17297" s="78">
        <v>44684</v>
      </c>
      <c r="T17297" s="40">
        <v>0.75</v>
      </c>
    </row>
    <row r="17298" spans="19:20" x14ac:dyDescent="0.25">
      <c r="S17298" s="78">
        <v>44685</v>
      </c>
      <c r="T17298" s="40">
        <v>0.75</v>
      </c>
    </row>
    <row r="17299" spans="19:20" x14ac:dyDescent="0.25">
      <c r="S17299" s="78">
        <v>44686</v>
      </c>
      <c r="T17299" s="40">
        <v>1</v>
      </c>
    </row>
    <row r="17300" spans="19:20" x14ac:dyDescent="0.25">
      <c r="S17300" s="78">
        <v>44687</v>
      </c>
      <c r="T17300" s="40">
        <v>1</v>
      </c>
    </row>
    <row r="17301" spans="19:20" x14ac:dyDescent="0.25">
      <c r="S17301" s="78">
        <v>44688</v>
      </c>
      <c r="T17301" s="40">
        <v>1</v>
      </c>
    </row>
    <row r="17302" spans="19:20" x14ac:dyDescent="0.25">
      <c r="S17302" s="78">
        <v>44689</v>
      </c>
      <c r="T17302" s="40">
        <v>1</v>
      </c>
    </row>
    <row r="17303" spans="19:20" x14ac:dyDescent="0.25">
      <c r="S17303" s="78">
        <v>44690</v>
      </c>
      <c r="T17303" s="40">
        <v>1</v>
      </c>
    </row>
    <row r="17304" spans="19:20" x14ac:dyDescent="0.25">
      <c r="S17304" s="78">
        <v>44691</v>
      </c>
      <c r="T17304" s="40">
        <v>1</v>
      </c>
    </row>
    <row r="17305" spans="19:20" x14ac:dyDescent="0.25">
      <c r="S17305" s="78">
        <v>44692</v>
      </c>
      <c r="T17305" s="40">
        <v>1</v>
      </c>
    </row>
    <row r="17306" spans="19:20" x14ac:dyDescent="0.25">
      <c r="S17306" s="78">
        <v>44693</v>
      </c>
      <c r="T17306" s="40">
        <v>1</v>
      </c>
    </row>
    <row r="17307" spans="19:20" x14ac:dyDescent="0.25">
      <c r="S17307" s="78">
        <v>44694</v>
      </c>
      <c r="T17307" s="40">
        <v>1</v>
      </c>
    </row>
    <row r="17308" spans="19:20" x14ac:dyDescent="0.25">
      <c r="S17308" s="78">
        <v>44695</v>
      </c>
      <c r="T17308" s="40">
        <v>1</v>
      </c>
    </row>
    <row r="17309" spans="19:20" x14ac:dyDescent="0.25">
      <c r="S17309" s="78">
        <v>44696</v>
      </c>
      <c r="T17309" s="40">
        <v>1</v>
      </c>
    </row>
    <row r="17310" spans="19:20" x14ac:dyDescent="0.25">
      <c r="S17310" s="78">
        <v>44697</v>
      </c>
      <c r="T17310" s="40">
        <v>1</v>
      </c>
    </row>
    <row r="17311" spans="19:20" x14ac:dyDescent="0.25">
      <c r="S17311" s="78">
        <v>44698</v>
      </c>
      <c r="T17311" s="40">
        <v>1</v>
      </c>
    </row>
    <row r="17312" spans="19:20" x14ac:dyDescent="0.25">
      <c r="S17312" s="78">
        <v>44699</v>
      </c>
      <c r="T17312" s="40">
        <v>1</v>
      </c>
    </row>
    <row r="17313" spans="19:20" x14ac:dyDescent="0.25">
      <c r="S17313" s="78">
        <v>44700</v>
      </c>
      <c r="T17313" s="40">
        <v>1</v>
      </c>
    </row>
    <row r="17314" spans="19:20" x14ac:dyDescent="0.25">
      <c r="S17314" s="78">
        <v>44701</v>
      </c>
      <c r="T17314" s="40">
        <v>1</v>
      </c>
    </row>
    <row r="17315" spans="19:20" x14ac:dyDescent="0.25">
      <c r="S17315" s="78">
        <v>44702</v>
      </c>
      <c r="T17315" s="40">
        <v>1</v>
      </c>
    </row>
    <row r="17316" spans="19:20" x14ac:dyDescent="0.25">
      <c r="S17316" s="78">
        <v>44703</v>
      </c>
      <c r="T17316" s="40">
        <v>1</v>
      </c>
    </row>
    <row r="17317" spans="19:20" x14ac:dyDescent="0.25">
      <c r="S17317" s="78">
        <v>44704</v>
      </c>
      <c r="T17317" s="40">
        <v>1</v>
      </c>
    </row>
    <row r="17318" spans="19:20" x14ac:dyDescent="0.25">
      <c r="S17318" s="78">
        <v>44705</v>
      </c>
      <c r="T17318" s="40">
        <v>1</v>
      </c>
    </row>
    <row r="17319" spans="19:20" x14ac:dyDescent="0.25">
      <c r="S17319" s="78">
        <v>44706</v>
      </c>
      <c r="T17319" s="40">
        <v>1</v>
      </c>
    </row>
    <row r="17320" spans="19:20" x14ac:dyDescent="0.25">
      <c r="S17320" s="78">
        <v>44707</v>
      </c>
      <c r="T17320" s="40">
        <v>1</v>
      </c>
    </row>
    <row r="17321" spans="19:20" x14ac:dyDescent="0.25">
      <c r="S17321" s="78">
        <v>44708</v>
      </c>
      <c r="T17321" s="40">
        <v>1</v>
      </c>
    </row>
    <row r="17322" spans="19:20" x14ac:dyDescent="0.25">
      <c r="S17322" s="78">
        <v>44709</v>
      </c>
      <c r="T17322" s="40">
        <v>1</v>
      </c>
    </row>
    <row r="17323" spans="19:20" x14ac:dyDescent="0.25">
      <c r="S17323" s="78">
        <v>44710</v>
      </c>
      <c r="T17323" s="40">
        <v>1</v>
      </c>
    </row>
    <row r="17324" spans="19:20" x14ac:dyDescent="0.25">
      <c r="S17324" s="78">
        <v>44711</v>
      </c>
      <c r="T17324" s="40">
        <v>1</v>
      </c>
    </row>
    <row r="17325" spans="19:20" x14ac:dyDescent="0.25">
      <c r="S17325" s="78">
        <v>44712</v>
      </c>
      <c r="T17325" s="40">
        <v>1</v>
      </c>
    </row>
    <row r="17326" spans="19:20" x14ac:dyDescent="0.25">
      <c r="S17326" s="78">
        <v>44713</v>
      </c>
      <c r="T17326" s="40">
        <v>1</v>
      </c>
    </row>
    <row r="17327" spans="19:20" x14ac:dyDescent="0.25">
      <c r="S17327" s="78">
        <v>44714</v>
      </c>
      <c r="T17327" s="40">
        <v>1</v>
      </c>
    </row>
    <row r="17328" spans="19:20" x14ac:dyDescent="0.25">
      <c r="S17328" s="78">
        <v>44715</v>
      </c>
      <c r="T17328" s="40">
        <v>1</v>
      </c>
    </row>
    <row r="17329" spans="19:20" x14ac:dyDescent="0.25">
      <c r="S17329" s="78">
        <v>44716</v>
      </c>
      <c r="T17329" s="40">
        <v>1</v>
      </c>
    </row>
    <row r="17330" spans="19:20" x14ac:dyDescent="0.25">
      <c r="S17330" s="78">
        <v>44717</v>
      </c>
      <c r="T17330" s="40">
        <v>1</v>
      </c>
    </row>
    <row r="17331" spans="19:20" x14ac:dyDescent="0.25">
      <c r="S17331" s="78">
        <v>44718</v>
      </c>
      <c r="T17331" s="40">
        <v>1</v>
      </c>
    </row>
    <row r="17332" spans="19:20" x14ac:dyDescent="0.25">
      <c r="S17332" s="78">
        <v>44719</v>
      </c>
      <c r="T17332" s="40">
        <v>1</v>
      </c>
    </row>
    <row r="17333" spans="19:20" x14ac:dyDescent="0.25">
      <c r="S17333" s="78">
        <v>44720</v>
      </c>
      <c r="T17333" s="40">
        <v>1</v>
      </c>
    </row>
    <row r="17334" spans="19:20" x14ac:dyDescent="0.25">
      <c r="S17334" s="78">
        <v>44721</v>
      </c>
      <c r="T17334" s="40">
        <v>1</v>
      </c>
    </row>
    <row r="17335" spans="19:20" x14ac:dyDescent="0.25">
      <c r="S17335" s="78">
        <v>44722</v>
      </c>
      <c r="T17335" s="40">
        <v>1</v>
      </c>
    </row>
    <row r="17336" spans="19:20" x14ac:dyDescent="0.25">
      <c r="S17336" s="78">
        <v>44723</v>
      </c>
      <c r="T17336" s="40">
        <v>1</v>
      </c>
    </row>
    <row r="17337" spans="19:20" x14ac:dyDescent="0.25">
      <c r="S17337" s="78">
        <v>44724</v>
      </c>
      <c r="T17337" s="40">
        <v>1</v>
      </c>
    </row>
    <row r="17338" spans="19:20" x14ac:dyDescent="0.25">
      <c r="S17338" s="78">
        <v>44725</v>
      </c>
      <c r="T17338" s="40">
        <v>1</v>
      </c>
    </row>
    <row r="17339" spans="19:20" x14ac:dyDescent="0.25">
      <c r="S17339" s="78">
        <v>44726</v>
      </c>
      <c r="T17339" s="40">
        <v>1</v>
      </c>
    </row>
    <row r="17340" spans="19:20" x14ac:dyDescent="0.25">
      <c r="S17340" s="78">
        <v>44727</v>
      </c>
      <c r="T17340" s="40">
        <v>1</v>
      </c>
    </row>
    <row r="17341" spans="19:20" x14ac:dyDescent="0.25">
      <c r="S17341" s="78">
        <v>44728</v>
      </c>
      <c r="T17341" s="40">
        <v>1.25</v>
      </c>
    </row>
    <row r="17342" spans="19:20" x14ac:dyDescent="0.25">
      <c r="S17342" s="78">
        <v>44729</v>
      </c>
      <c r="T17342" s="40">
        <v>1.25</v>
      </c>
    </row>
    <row r="17343" spans="19:20" x14ac:dyDescent="0.25">
      <c r="S17343" s="78">
        <v>44730</v>
      </c>
      <c r="T17343" s="40">
        <v>1.25</v>
      </c>
    </row>
    <row r="17344" spans="19:20" x14ac:dyDescent="0.25">
      <c r="S17344" s="78">
        <v>44731</v>
      </c>
      <c r="T17344" s="40">
        <v>1.25</v>
      </c>
    </row>
    <row r="17345" spans="19:21" x14ac:dyDescent="0.25">
      <c r="S17345" s="78">
        <v>44732</v>
      </c>
      <c r="T17345" s="40">
        <v>1.25</v>
      </c>
    </row>
    <row r="17346" spans="19:21" x14ac:dyDescent="0.25">
      <c r="S17346" s="78">
        <v>44733</v>
      </c>
      <c r="T17346" s="40">
        <v>1.25</v>
      </c>
    </row>
    <row r="17347" spans="19:21" x14ac:dyDescent="0.25">
      <c r="S17347" s="78">
        <v>44734</v>
      </c>
      <c r="T17347" s="40">
        <v>1.25</v>
      </c>
    </row>
    <row r="17348" spans="19:21" x14ac:dyDescent="0.25">
      <c r="S17348" s="78">
        <v>44735</v>
      </c>
      <c r="T17348" s="40">
        <v>1.25</v>
      </c>
    </row>
    <row r="17349" spans="19:21" x14ac:dyDescent="0.25">
      <c r="S17349" s="78">
        <v>44736</v>
      </c>
      <c r="T17349" s="40">
        <v>1.25</v>
      </c>
    </row>
    <row r="17350" spans="19:21" x14ac:dyDescent="0.25">
      <c r="S17350" s="78">
        <v>44737</v>
      </c>
      <c r="T17350" s="40">
        <v>1.25</v>
      </c>
    </row>
    <row r="17351" spans="19:21" x14ac:dyDescent="0.25">
      <c r="S17351" s="78">
        <v>44738</v>
      </c>
      <c r="T17351" s="40">
        <v>1.25</v>
      </c>
    </row>
    <row r="17352" spans="19:21" x14ac:dyDescent="0.25">
      <c r="S17352" s="78">
        <v>44739</v>
      </c>
      <c r="T17352" s="40">
        <v>1.25</v>
      </c>
    </row>
    <row r="17353" spans="19:21" x14ac:dyDescent="0.25">
      <c r="S17353" s="78">
        <v>44740</v>
      </c>
      <c r="T17353" s="40">
        <v>1.25</v>
      </c>
    </row>
    <row r="17354" spans="19:21" x14ac:dyDescent="0.25">
      <c r="S17354" s="78">
        <v>44741</v>
      </c>
      <c r="T17354" s="40">
        <v>1.25</v>
      </c>
    </row>
    <row r="17355" spans="19:21" x14ac:dyDescent="0.25">
      <c r="S17355" s="78">
        <v>44742</v>
      </c>
      <c r="T17355" s="40">
        <v>1.25</v>
      </c>
      <c r="U17355" s="40">
        <f>AVERAGE(T17265:T17355)</f>
        <v>0.94780219780219777</v>
      </c>
    </row>
    <row r="17356" spans="19:21" x14ac:dyDescent="0.25">
      <c r="S17356" s="78"/>
    </row>
    <row r="17357" spans="19:21" x14ac:dyDescent="0.25">
      <c r="S17357" s="78"/>
    </row>
  </sheetData>
  <autoFilter ref="S7:U17355" xr:uid="{28060D7F-FB19-4C00-A238-E2D843ABBF9D}"/>
  <hyperlinks>
    <hyperlink ref="D6" r:id="rId1" display="https://www.bankofengland.co.uk/boeapps/database/Bank-Rate.asp" xr:uid="{FD3BA60F-0553-4D38-90D1-6DEB4231A62F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024D9-AB68-4EE5-B399-6AA81E0673AF}">
  <dimension ref="B3:J199"/>
  <sheetViews>
    <sheetView zoomScale="75" zoomScaleNormal="75" workbookViewId="0">
      <selection activeCell="U27" sqref="U27"/>
    </sheetView>
  </sheetViews>
  <sheetFormatPr defaultRowHeight="15" x14ac:dyDescent="0.25"/>
  <cols>
    <col min="1" max="1" width="2.7109375" customWidth="1"/>
    <col min="2" max="2" width="8.7109375" customWidth="1"/>
    <col min="3" max="3" width="4.7109375" customWidth="1"/>
    <col min="4" max="7" width="15.7109375" customWidth="1"/>
    <col min="8" max="8" width="15.7109375" style="95" customWidth="1"/>
    <col min="9" max="10" width="15.7109375" customWidth="1"/>
    <col min="11" max="11" width="2.7109375" customWidth="1"/>
  </cols>
  <sheetData>
    <row r="3" spans="2:10" x14ac:dyDescent="0.25">
      <c r="D3" t="s">
        <v>4</v>
      </c>
      <c r="E3" t="s">
        <v>5</v>
      </c>
      <c r="F3" t="s">
        <v>6</v>
      </c>
      <c r="G3" t="s">
        <v>18</v>
      </c>
      <c r="H3" s="95" t="s">
        <v>7</v>
      </c>
      <c r="I3" t="s">
        <v>8</v>
      </c>
      <c r="J3" t="s">
        <v>9</v>
      </c>
    </row>
    <row r="4" spans="2:10" ht="135" customHeight="1" x14ac:dyDescent="0.25">
      <c r="B4" s="2" t="s">
        <v>17</v>
      </c>
      <c r="C4" s="2"/>
      <c r="D4" s="3" t="s">
        <v>348</v>
      </c>
      <c r="E4" s="3" t="s">
        <v>349</v>
      </c>
      <c r="F4" s="22"/>
      <c r="G4" s="3"/>
      <c r="H4" s="96" t="s">
        <v>344</v>
      </c>
      <c r="I4" s="2"/>
      <c r="J4" s="2"/>
    </row>
    <row r="5" spans="2:10" ht="45" customHeight="1" x14ac:dyDescent="0.25">
      <c r="B5" s="2" t="s">
        <v>16</v>
      </c>
      <c r="C5" s="2"/>
      <c r="D5" s="3" t="s">
        <v>353</v>
      </c>
      <c r="E5" s="3" t="s">
        <v>345</v>
      </c>
      <c r="F5" s="3"/>
      <c r="G5" s="3"/>
      <c r="H5" s="99" t="s">
        <v>351</v>
      </c>
      <c r="I5" s="2" t="s">
        <v>352</v>
      </c>
      <c r="J5" s="2"/>
    </row>
    <row r="6" spans="2:10" ht="15.75" customHeight="1" x14ac:dyDescent="0.25">
      <c r="B6" s="2" t="s">
        <v>13</v>
      </c>
      <c r="C6" s="2"/>
      <c r="D6" s="20" t="s">
        <v>343</v>
      </c>
      <c r="E6" s="20"/>
      <c r="F6" s="23"/>
      <c r="G6" s="28"/>
      <c r="H6" s="97"/>
      <c r="I6" s="2"/>
      <c r="J6" s="2"/>
    </row>
    <row r="7" spans="2:10" ht="15.75" customHeight="1" x14ac:dyDescent="0.25">
      <c r="B7" s="2" t="s">
        <v>15</v>
      </c>
      <c r="C7" s="2"/>
      <c r="D7" s="3"/>
      <c r="E7" s="3"/>
      <c r="F7" s="3"/>
      <c r="G7" s="3"/>
      <c r="J7" s="2"/>
    </row>
    <row r="8" spans="2:10" x14ac:dyDescent="0.25">
      <c r="B8">
        <v>1975</v>
      </c>
      <c r="C8" s="4" t="s">
        <v>0</v>
      </c>
      <c r="D8" s="19">
        <v>137874</v>
      </c>
      <c r="E8" s="19">
        <v>18231</v>
      </c>
      <c r="H8" s="98">
        <f>E8/D8*100</f>
        <v>13.222942686800993</v>
      </c>
      <c r="I8" s="75">
        <v>14.784839951263203</v>
      </c>
      <c r="J8" s="103">
        <f>H8-I8</f>
        <v>-1.5618972644622104</v>
      </c>
    </row>
    <row r="9" spans="2:10" x14ac:dyDescent="0.25">
      <c r="C9" s="4" t="s">
        <v>1</v>
      </c>
      <c r="D9" s="19">
        <v>133846</v>
      </c>
      <c r="E9" s="19">
        <v>18617</v>
      </c>
      <c r="H9" s="98">
        <f t="shared" ref="H9:H72" si="0">E9/D9*100</f>
        <v>13.909268861228577</v>
      </c>
      <c r="I9" s="75">
        <v>15.586287332861248</v>
      </c>
      <c r="J9" s="103">
        <f t="shared" ref="J9:J72" si="1">H9-I9</f>
        <v>-1.677018471632671</v>
      </c>
    </row>
    <row r="10" spans="2:10" x14ac:dyDescent="0.25">
      <c r="C10" s="4" t="s">
        <v>2</v>
      </c>
      <c r="D10" s="19">
        <v>135538</v>
      </c>
      <c r="E10" s="19">
        <v>19568</v>
      </c>
      <c r="H10" s="98">
        <f t="shared" si="0"/>
        <v>14.437279582109813</v>
      </c>
      <c r="I10" s="75">
        <v>16.210534992993157</v>
      </c>
      <c r="J10" s="103">
        <f t="shared" si="1"/>
        <v>-1.773255410883344</v>
      </c>
    </row>
    <row r="11" spans="2:10" x14ac:dyDescent="0.25">
      <c r="C11" s="4" t="s">
        <v>3</v>
      </c>
      <c r="D11" s="19">
        <v>133270</v>
      </c>
      <c r="E11" s="19">
        <v>20196</v>
      </c>
      <c r="H11" s="98">
        <f t="shared" si="0"/>
        <v>15.154198244165979</v>
      </c>
      <c r="I11" s="75">
        <v>17.033271253838024</v>
      </c>
      <c r="J11" s="103">
        <f t="shared" si="1"/>
        <v>-1.8790730096720445</v>
      </c>
    </row>
    <row r="12" spans="2:10" x14ac:dyDescent="0.25">
      <c r="B12">
        <v>1976</v>
      </c>
      <c r="C12" s="4" t="s">
        <v>0</v>
      </c>
      <c r="D12" s="19">
        <v>135164</v>
      </c>
      <c r="E12" s="19">
        <v>21297</v>
      </c>
      <c r="H12" s="98">
        <f t="shared" si="0"/>
        <v>15.756414429877777</v>
      </c>
      <c r="I12" s="75">
        <v>17.71408667960392</v>
      </c>
      <c r="J12" s="103">
        <f t="shared" si="1"/>
        <v>-1.9576722497261425</v>
      </c>
    </row>
    <row r="13" spans="2:10" x14ac:dyDescent="0.25">
      <c r="C13" s="4" t="s">
        <v>1</v>
      </c>
      <c r="D13" s="19">
        <v>133533</v>
      </c>
      <c r="E13" s="19">
        <v>21572</v>
      </c>
      <c r="H13" s="98">
        <f t="shared" si="0"/>
        <v>16.154808174758301</v>
      </c>
      <c r="I13" s="75">
        <v>18.147579623711383</v>
      </c>
      <c r="J13" s="103">
        <f t="shared" si="1"/>
        <v>-1.9927714489530821</v>
      </c>
    </row>
    <row r="14" spans="2:10" x14ac:dyDescent="0.25">
      <c r="C14" s="4" t="s">
        <v>2</v>
      </c>
      <c r="D14" s="19">
        <v>137523</v>
      </c>
      <c r="E14" s="19">
        <v>22880</v>
      </c>
      <c r="H14" s="98">
        <f t="shared" si="0"/>
        <v>16.637217047330267</v>
      </c>
      <c r="I14" s="75">
        <v>18.640226168619105</v>
      </c>
      <c r="J14" s="103">
        <f t="shared" si="1"/>
        <v>-2.0030091212888372</v>
      </c>
    </row>
    <row r="15" spans="2:10" x14ac:dyDescent="0.25">
      <c r="C15" s="4" t="s">
        <v>3</v>
      </c>
      <c r="D15" s="19">
        <v>133454</v>
      </c>
      <c r="E15" s="19">
        <v>23452</v>
      </c>
      <c r="H15" s="98">
        <f t="shared" si="0"/>
        <v>17.573096347805237</v>
      </c>
      <c r="I15" s="75">
        <v>19.612306153076538</v>
      </c>
      <c r="J15" s="103">
        <f t="shared" si="1"/>
        <v>-2.0392098052713017</v>
      </c>
    </row>
    <row r="16" spans="2:10" x14ac:dyDescent="0.25">
      <c r="B16">
        <v>1977</v>
      </c>
      <c r="C16" s="4" t="s">
        <v>0</v>
      </c>
      <c r="D16" s="19">
        <v>130916</v>
      </c>
      <c r="E16" s="19">
        <v>23884</v>
      </c>
      <c r="H16" s="98">
        <f t="shared" si="0"/>
        <v>18.243759357145038</v>
      </c>
      <c r="I16" s="75">
        <v>20.504240515537145</v>
      </c>
      <c r="J16" s="103">
        <f t="shared" si="1"/>
        <v>-2.2604811583921069</v>
      </c>
    </row>
    <row r="17" spans="2:10" x14ac:dyDescent="0.25">
      <c r="C17" s="4" t="s">
        <v>1</v>
      </c>
      <c r="D17" s="19">
        <v>129464</v>
      </c>
      <c r="E17" s="19">
        <v>24513</v>
      </c>
      <c r="H17" s="98">
        <f t="shared" si="0"/>
        <v>18.934221096212074</v>
      </c>
      <c r="I17" s="75">
        <v>21.202711794234848</v>
      </c>
      <c r="J17" s="103">
        <f t="shared" si="1"/>
        <v>-2.2684906980227737</v>
      </c>
    </row>
    <row r="18" spans="2:10" x14ac:dyDescent="0.25">
      <c r="C18" s="4" t="s">
        <v>2</v>
      </c>
      <c r="D18" s="19">
        <v>131751</v>
      </c>
      <c r="E18" s="19">
        <v>25443</v>
      </c>
      <c r="H18" s="98">
        <f t="shared" si="0"/>
        <v>19.311428376255208</v>
      </c>
      <c r="I18" s="75">
        <v>21.588649842217915</v>
      </c>
      <c r="J18" s="103">
        <f t="shared" si="1"/>
        <v>-2.2772214659627075</v>
      </c>
    </row>
    <row r="19" spans="2:10" x14ac:dyDescent="0.25">
      <c r="C19" s="4" t="s">
        <v>3</v>
      </c>
      <c r="D19" s="19">
        <v>137135</v>
      </c>
      <c r="E19" s="19">
        <v>26944</v>
      </c>
      <c r="H19" s="98">
        <f t="shared" si="0"/>
        <v>19.64779232143508</v>
      </c>
      <c r="I19" s="75">
        <v>21.95859199791985</v>
      </c>
      <c r="J19" s="103">
        <f t="shared" si="1"/>
        <v>-2.3107996764847698</v>
      </c>
    </row>
    <row r="20" spans="2:10" x14ac:dyDescent="0.25">
      <c r="B20" s="5">
        <v>1978</v>
      </c>
      <c r="C20" s="4" t="s">
        <v>0</v>
      </c>
      <c r="D20" s="19">
        <v>136777</v>
      </c>
      <c r="E20" s="19">
        <v>27799</v>
      </c>
      <c r="F20" s="14"/>
      <c r="G20" s="15"/>
      <c r="H20" s="98">
        <f t="shared" si="0"/>
        <v>20.324323533927487</v>
      </c>
      <c r="I20" s="75">
        <v>22.662608242724136</v>
      </c>
      <c r="J20" s="103">
        <f t="shared" si="1"/>
        <v>-2.3382847087966496</v>
      </c>
    </row>
    <row r="21" spans="2:10" x14ac:dyDescent="0.25">
      <c r="B21" s="5"/>
      <c r="C21" s="4" t="s">
        <v>1</v>
      </c>
      <c r="D21" s="19">
        <v>140847</v>
      </c>
      <c r="E21" s="19">
        <v>29146</v>
      </c>
      <c r="F21" s="14"/>
      <c r="G21" s="15"/>
      <c r="H21" s="98">
        <f t="shared" si="0"/>
        <v>20.693376500741937</v>
      </c>
      <c r="I21" s="75">
        <v>23.085560651589436</v>
      </c>
      <c r="J21" s="103">
        <f t="shared" si="1"/>
        <v>-2.3921841508474984</v>
      </c>
    </row>
    <row r="22" spans="2:10" x14ac:dyDescent="0.25">
      <c r="B22" s="5"/>
      <c r="C22" s="4" t="s">
        <v>2</v>
      </c>
      <c r="D22" s="19">
        <v>144584</v>
      </c>
      <c r="E22" s="19">
        <v>30469</v>
      </c>
      <c r="F22" s="14"/>
      <c r="G22" s="15"/>
      <c r="H22" s="98">
        <f t="shared" si="0"/>
        <v>21.073562773197587</v>
      </c>
      <c r="I22" s="75">
        <v>23.530591001966151</v>
      </c>
      <c r="J22" s="103">
        <f t="shared" si="1"/>
        <v>-2.4570282287685643</v>
      </c>
    </row>
    <row r="23" spans="2:10" x14ac:dyDescent="0.25">
      <c r="B23" s="5"/>
      <c r="C23" s="4" t="s">
        <v>3</v>
      </c>
      <c r="D23" s="19">
        <v>144501</v>
      </c>
      <c r="E23" s="19">
        <v>31467</v>
      </c>
      <c r="F23" s="14"/>
      <c r="G23" s="15"/>
      <c r="H23" s="98">
        <f t="shared" si="0"/>
        <v>21.776319887059607</v>
      </c>
      <c r="I23" s="75">
        <v>24.318279967919057</v>
      </c>
      <c r="J23" s="103">
        <f t="shared" si="1"/>
        <v>-2.5419600808594502</v>
      </c>
    </row>
    <row r="24" spans="2:10" x14ac:dyDescent="0.25">
      <c r="B24" s="5">
        <v>1979</v>
      </c>
      <c r="C24" s="4" t="s">
        <v>0</v>
      </c>
      <c r="D24" s="19">
        <v>146093</v>
      </c>
      <c r="E24" s="19">
        <v>32865</v>
      </c>
      <c r="F24" s="14"/>
      <c r="G24" s="15"/>
      <c r="H24" s="98">
        <f t="shared" si="0"/>
        <v>22.495944364206359</v>
      </c>
      <c r="I24" s="75">
        <v>25.058601479497096</v>
      </c>
      <c r="J24" s="103">
        <f t="shared" si="1"/>
        <v>-2.5626571152907367</v>
      </c>
    </row>
    <row r="25" spans="2:10" x14ac:dyDescent="0.25">
      <c r="B25" s="5"/>
      <c r="C25" s="4" t="s">
        <v>1</v>
      </c>
      <c r="D25" s="19">
        <v>148612</v>
      </c>
      <c r="E25" s="19">
        <v>34145</v>
      </c>
      <c r="F25" s="14"/>
      <c r="G25" s="15"/>
      <c r="H25" s="98">
        <f t="shared" si="0"/>
        <v>22.975937340187873</v>
      </c>
      <c r="I25" s="75">
        <v>25.577587367098829</v>
      </c>
      <c r="J25" s="103">
        <f t="shared" si="1"/>
        <v>-2.6016500269109564</v>
      </c>
    </row>
    <row r="26" spans="2:10" x14ac:dyDescent="0.25">
      <c r="B26" s="5"/>
      <c r="C26" s="4" t="s">
        <v>2</v>
      </c>
      <c r="D26" s="19">
        <v>148613</v>
      </c>
      <c r="E26" s="19">
        <v>36471</v>
      </c>
      <c r="F26" s="14"/>
      <c r="G26" s="15"/>
      <c r="H26" s="98">
        <f t="shared" si="0"/>
        <v>24.540921722864084</v>
      </c>
      <c r="I26" s="75">
        <v>27.291465955683016</v>
      </c>
      <c r="J26" s="103">
        <f t="shared" si="1"/>
        <v>-2.7505442328189318</v>
      </c>
    </row>
    <row r="27" spans="2:10" x14ac:dyDescent="0.25">
      <c r="B27" s="5"/>
      <c r="C27" s="4" t="s">
        <v>3</v>
      </c>
      <c r="D27" s="19">
        <v>155340</v>
      </c>
      <c r="E27" s="19">
        <v>39786</v>
      </c>
      <c r="F27" s="14"/>
      <c r="G27" s="15"/>
      <c r="H27" s="98">
        <f t="shared" si="0"/>
        <v>25.612205484743143</v>
      </c>
      <c r="I27" s="75">
        <v>28.493608990306253</v>
      </c>
      <c r="J27" s="103">
        <f t="shared" si="1"/>
        <v>-2.8814035055631102</v>
      </c>
    </row>
    <row r="28" spans="2:10" x14ac:dyDescent="0.25">
      <c r="B28" s="5">
        <v>1980</v>
      </c>
      <c r="C28" s="4" t="s">
        <v>0</v>
      </c>
      <c r="D28" s="19">
        <v>150565</v>
      </c>
      <c r="E28" s="19">
        <v>40242</v>
      </c>
      <c r="F28" s="14"/>
      <c r="G28" s="15"/>
      <c r="H28" s="98">
        <f t="shared" si="0"/>
        <v>26.727327068043707</v>
      </c>
      <c r="I28" s="75">
        <v>29.655314423550692</v>
      </c>
      <c r="J28" s="103">
        <f t="shared" si="1"/>
        <v>-2.9279873555069855</v>
      </c>
    </row>
    <row r="29" spans="2:10" x14ac:dyDescent="0.25">
      <c r="B29" s="5"/>
      <c r="C29" s="4" t="s">
        <v>1</v>
      </c>
      <c r="D29" s="19">
        <v>150941</v>
      </c>
      <c r="E29" s="19">
        <v>41768</v>
      </c>
      <c r="F29" s="14"/>
      <c r="G29" s="15"/>
      <c r="H29" s="98">
        <f t="shared" si="0"/>
        <v>27.671739288861207</v>
      </c>
      <c r="I29" s="75">
        <v>30.71086848052596</v>
      </c>
      <c r="J29" s="103">
        <f t="shared" si="1"/>
        <v>-3.0391291916647525</v>
      </c>
    </row>
    <row r="30" spans="2:10" x14ac:dyDescent="0.25">
      <c r="B30" s="5"/>
      <c r="C30" s="4" t="s">
        <v>2</v>
      </c>
      <c r="D30" s="19">
        <v>153176</v>
      </c>
      <c r="E30" s="19">
        <v>43385</v>
      </c>
      <c r="F30" s="14"/>
      <c r="G30" s="15"/>
      <c r="H30" s="98">
        <f t="shared" si="0"/>
        <v>28.323627722358598</v>
      </c>
      <c r="I30" s="75">
        <v>31.431690512510933</v>
      </c>
      <c r="J30" s="103">
        <f t="shared" si="1"/>
        <v>-3.108062790152335</v>
      </c>
    </row>
    <row r="31" spans="2:10" x14ac:dyDescent="0.25">
      <c r="B31" s="5"/>
      <c r="C31" s="4" t="s">
        <v>3</v>
      </c>
      <c r="D31" s="19">
        <v>151565</v>
      </c>
      <c r="E31" s="19">
        <v>44816</v>
      </c>
      <c r="F31" s="14"/>
      <c r="G31" s="15"/>
      <c r="H31" s="98">
        <f t="shared" si="0"/>
        <v>29.568831854319928</v>
      </c>
      <c r="I31" s="75">
        <v>32.767549746163269</v>
      </c>
      <c r="J31" s="103">
        <f t="shared" si="1"/>
        <v>-3.1987178918433408</v>
      </c>
    </row>
    <row r="32" spans="2:10" x14ac:dyDescent="0.25">
      <c r="B32" s="5">
        <v>1981</v>
      </c>
      <c r="C32" s="4" t="s">
        <v>0</v>
      </c>
      <c r="D32" s="19">
        <v>152206</v>
      </c>
      <c r="E32" s="19">
        <v>46336</v>
      </c>
      <c r="F32" s="14"/>
      <c r="G32" s="15"/>
      <c r="H32" s="98">
        <f t="shared" si="0"/>
        <v>30.442952314626233</v>
      </c>
      <c r="I32" s="75">
        <v>33.690541834750562</v>
      </c>
      <c r="J32" s="103">
        <f t="shared" si="1"/>
        <v>-3.247589520124329</v>
      </c>
    </row>
    <row r="33" spans="2:10" x14ac:dyDescent="0.25">
      <c r="B33" s="5"/>
      <c r="C33" s="4" t="s">
        <v>1</v>
      </c>
      <c r="D33" s="19">
        <v>149759</v>
      </c>
      <c r="E33" s="19">
        <v>46816</v>
      </c>
      <c r="F33" s="14"/>
      <c r="G33" s="15"/>
      <c r="H33" s="98">
        <f t="shared" si="0"/>
        <v>31.260892500617661</v>
      </c>
      <c r="I33" s="75">
        <v>34.524124937442963</v>
      </c>
      <c r="J33" s="103">
        <f t="shared" si="1"/>
        <v>-3.2632324368253016</v>
      </c>
    </row>
    <row r="34" spans="2:10" x14ac:dyDescent="0.25">
      <c r="B34" s="5"/>
      <c r="C34" s="4" t="s">
        <v>2</v>
      </c>
      <c r="D34" s="19">
        <v>149212</v>
      </c>
      <c r="E34" s="19">
        <v>47698</v>
      </c>
      <c r="F34" s="14"/>
      <c r="G34" s="15"/>
      <c r="H34" s="98">
        <f t="shared" si="0"/>
        <v>31.966597860761869</v>
      </c>
      <c r="I34" s="75">
        <v>35.280397974698488</v>
      </c>
      <c r="J34" s="103">
        <f t="shared" si="1"/>
        <v>-3.3138001139366189</v>
      </c>
    </row>
    <row r="35" spans="2:10" x14ac:dyDescent="0.25">
      <c r="B35" s="5"/>
      <c r="C35" s="4" t="s">
        <v>3</v>
      </c>
      <c r="D35" s="19">
        <v>150082</v>
      </c>
      <c r="E35" s="19">
        <v>49617</v>
      </c>
      <c r="F35" s="14"/>
      <c r="G35" s="15"/>
      <c r="H35" s="98">
        <f t="shared" si="0"/>
        <v>33.05992723977559</v>
      </c>
      <c r="I35" s="75">
        <v>36.464947138437175</v>
      </c>
      <c r="J35" s="103">
        <f t="shared" si="1"/>
        <v>-3.4050198986615854</v>
      </c>
    </row>
    <row r="36" spans="2:10" x14ac:dyDescent="0.25">
      <c r="B36" s="5">
        <v>1982</v>
      </c>
      <c r="C36" s="4" t="s">
        <v>0</v>
      </c>
      <c r="D36" s="19">
        <v>148370</v>
      </c>
      <c r="E36" s="19">
        <v>50445</v>
      </c>
      <c r="F36" s="14"/>
      <c r="G36" s="15"/>
      <c r="H36" s="98">
        <f t="shared" si="0"/>
        <v>33.999460807440855</v>
      </c>
      <c r="I36" s="75">
        <v>37.424588986846096</v>
      </c>
      <c r="J36" s="103">
        <f t="shared" si="1"/>
        <v>-3.4251281794052417</v>
      </c>
    </row>
    <row r="37" spans="2:10" x14ac:dyDescent="0.25">
      <c r="B37" s="5"/>
      <c r="C37" s="4" t="s">
        <v>1</v>
      </c>
      <c r="D37" s="19">
        <v>150930</v>
      </c>
      <c r="E37" s="19">
        <v>51986</v>
      </c>
      <c r="F37" s="14"/>
      <c r="G37" s="15"/>
      <c r="H37" s="98">
        <f t="shared" si="0"/>
        <v>34.443781885642352</v>
      </c>
      <c r="I37" s="75">
        <v>37.843826738931426</v>
      </c>
      <c r="J37" s="103">
        <f t="shared" si="1"/>
        <v>-3.4000448532890744</v>
      </c>
    </row>
    <row r="38" spans="2:10" x14ac:dyDescent="0.25">
      <c r="B38" s="5"/>
      <c r="C38" s="4" t="s">
        <v>2</v>
      </c>
      <c r="D38" s="19">
        <v>149876</v>
      </c>
      <c r="E38" s="19">
        <v>52217</v>
      </c>
      <c r="F38" s="14"/>
      <c r="G38" s="15"/>
      <c r="H38" s="98">
        <f t="shared" si="0"/>
        <v>34.84013451119592</v>
      </c>
      <c r="I38" s="75">
        <v>38.280421151214945</v>
      </c>
      <c r="J38" s="103">
        <f t="shared" si="1"/>
        <v>-3.4402866400190248</v>
      </c>
    </row>
    <row r="39" spans="2:10" x14ac:dyDescent="0.25">
      <c r="B39" s="5"/>
      <c r="C39" s="4" t="s">
        <v>3</v>
      </c>
      <c r="D39" s="19">
        <v>150147</v>
      </c>
      <c r="E39" s="19">
        <v>53560</v>
      </c>
      <c r="F39" s="14"/>
      <c r="G39" s="15"/>
      <c r="H39" s="98">
        <f t="shared" si="0"/>
        <v>35.671708392442078</v>
      </c>
      <c r="I39" s="75">
        <v>39.125174024913804</v>
      </c>
      <c r="J39" s="103">
        <f t="shared" si="1"/>
        <v>-3.4534656324717261</v>
      </c>
    </row>
    <row r="40" spans="2:10" x14ac:dyDescent="0.25">
      <c r="B40" s="5">
        <v>1983</v>
      </c>
      <c r="C40" s="4" t="s">
        <v>0</v>
      </c>
      <c r="D40" s="19">
        <v>149047</v>
      </c>
      <c r="E40" s="19">
        <v>54244</v>
      </c>
      <c r="F40" s="14"/>
      <c r="G40" s="15"/>
      <c r="H40" s="98">
        <f t="shared" si="0"/>
        <v>36.393889175897534</v>
      </c>
      <c r="I40" s="75">
        <v>39.81430632134672</v>
      </c>
      <c r="J40" s="103">
        <f t="shared" si="1"/>
        <v>-3.4204171454491856</v>
      </c>
    </row>
    <row r="41" spans="2:10" x14ac:dyDescent="0.25">
      <c r="B41" s="5"/>
      <c r="C41" s="4" t="s">
        <v>1</v>
      </c>
      <c r="D41" s="19">
        <v>156082</v>
      </c>
      <c r="E41" s="19">
        <v>56864</v>
      </c>
      <c r="F41" s="14"/>
      <c r="G41" s="15"/>
      <c r="H41" s="98">
        <f t="shared" si="0"/>
        <v>36.432131828141614</v>
      </c>
      <c r="I41" s="75">
        <v>40.118129083126831</v>
      </c>
      <c r="J41" s="103">
        <f t="shared" si="1"/>
        <v>-3.6859972549852174</v>
      </c>
    </row>
    <row r="42" spans="2:10" x14ac:dyDescent="0.25">
      <c r="B42" s="5"/>
      <c r="C42" s="4" t="s">
        <v>2</v>
      </c>
      <c r="D42" s="19">
        <v>152323</v>
      </c>
      <c r="E42" s="19">
        <v>56839</v>
      </c>
      <c r="F42" s="14"/>
      <c r="G42" s="15"/>
      <c r="H42" s="98">
        <f t="shared" si="0"/>
        <v>37.314785029181415</v>
      </c>
      <c r="I42" s="75">
        <v>40.497789026176221</v>
      </c>
      <c r="J42" s="103">
        <f t="shared" si="1"/>
        <v>-3.1830039969948061</v>
      </c>
    </row>
    <row r="43" spans="2:10" x14ac:dyDescent="0.25">
      <c r="B43" s="5"/>
      <c r="C43" s="4" t="s">
        <v>3</v>
      </c>
      <c r="D43" s="19">
        <v>153973</v>
      </c>
      <c r="E43" s="19">
        <v>57922</v>
      </c>
      <c r="F43" s="14"/>
      <c r="G43" s="15"/>
      <c r="H43" s="98">
        <f t="shared" si="0"/>
        <v>37.618283725068679</v>
      </c>
      <c r="I43" s="75">
        <v>41.09191538151218</v>
      </c>
      <c r="J43" s="103">
        <f t="shared" si="1"/>
        <v>-3.4736316564435015</v>
      </c>
    </row>
    <row r="44" spans="2:10" x14ac:dyDescent="0.25">
      <c r="B44" s="5">
        <v>1984</v>
      </c>
      <c r="C44" s="4" t="s">
        <v>0</v>
      </c>
      <c r="D44" s="19">
        <v>156311</v>
      </c>
      <c r="E44" s="19">
        <v>59641</v>
      </c>
      <c r="F44" s="14"/>
      <c r="G44" s="15"/>
      <c r="H44" s="98">
        <f t="shared" si="0"/>
        <v>38.155344153642417</v>
      </c>
      <c r="I44" s="75">
        <v>41.582188206644631</v>
      </c>
      <c r="J44" s="103">
        <f t="shared" si="1"/>
        <v>-3.4268440530022133</v>
      </c>
    </row>
    <row r="45" spans="2:10" x14ac:dyDescent="0.25">
      <c r="B45" s="5"/>
      <c r="C45" s="4" t="s">
        <v>1</v>
      </c>
      <c r="D45" s="19">
        <v>154770</v>
      </c>
      <c r="E45" s="19">
        <v>59936</v>
      </c>
      <c r="F45" s="14"/>
      <c r="G45" s="15"/>
      <c r="H45" s="98">
        <f t="shared" si="0"/>
        <v>38.725851263164692</v>
      </c>
      <c r="I45" s="75">
        <v>42.305714989964436</v>
      </c>
      <c r="J45" s="103">
        <f t="shared" si="1"/>
        <v>-3.5798637267997435</v>
      </c>
    </row>
    <row r="46" spans="2:10" x14ac:dyDescent="0.25">
      <c r="B46" s="5"/>
      <c r="C46" s="4" t="s">
        <v>2</v>
      </c>
      <c r="D46" s="19">
        <v>157723</v>
      </c>
      <c r="E46" s="19">
        <v>62344</v>
      </c>
      <c r="F46" s="14"/>
      <c r="G46" s="15"/>
      <c r="H46" s="98">
        <f t="shared" si="0"/>
        <v>39.527526105894509</v>
      </c>
      <c r="I46" s="75">
        <v>42.783286312963924</v>
      </c>
      <c r="J46" s="103">
        <f t="shared" si="1"/>
        <v>-3.2557602070694145</v>
      </c>
    </row>
    <row r="47" spans="2:10" x14ac:dyDescent="0.25">
      <c r="B47" s="5"/>
      <c r="C47" s="4" t="s">
        <v>3</v>
      </c>
      <c r="D47" s="19">
        <v>161367</v>
      </c>
      <c r="E47" s="19">
        <v>64545</v>
      </c>
      <c r="F47" s="14"/>
      <c r="G47" s="15"/>
      <c r="H47" s="98">
        <f t="shared" si="0"/>
        <v>39.998884530294298</v>
      </c>
      <c r="I47" s="75">
        <v>43.335230125523012</v>
      </c>
      <c r="J47" s="103">
        <f t="shared" si="1"/>
        <v>-3.336345595228714</v>
      </c>
    </row>
    <row r="48" spans="2:10" x14ac:dyDescent="0.25">
      <c r="B48" s="5">
        <v>1985</v>
      </c>
      <c r="C48" s="4" t="s">
        <v>0</v>
      </c>
      <c r="D48" s="19">
        <v>161907</v>
      </c>
      <c r="E48" s="19">
        <v>65225</v>
      </c>
      <c r="F48" s="14"/>
      <c r="G48" s="15"/>
      <c r="H48" s="98">
        <f t="shared" si="0"/>
        <v>40.285472524350396</v>
      </c>
      <c r="I48" s="75">
        <v>43.268441809375076</v>
      </c>
      <c r="J48" s="103">
        <f t="shared" si="1"/>
        <v>-2.9829692850246801</v>
      </c>
    </row>
    <row r="49" spans="2:10" x14ac:dyDescent="0.25">
      <c r="B49" s="5"/>
      <c r="C49" s="4" t="s">
        <v>1</v>
      </c>
      <c r="D49" s="19">
        <v>165521</v>
      </c>
      <c r="E49" s="19">
        <v>66396</v>
      </c>
      <c r="F49" s="14"/>
      <c r="G49" s="15"/>
      <c r="H49" s="98">
        <f t="shared" si="0"/>
        <v>40.113339092924768</v>
      </c>
      <c r="I49" s="75">
        <v>43.93470325361568</v>
      </c>
      <c r="J49" s="103">
        <f t="shared" si="1"/>
        <v>-3.8213641606909121</v>
      </c>
    </row>
    <row r="50" spans="2:10" x14ac:dyDescent="0.25">
      <c r="B50" s="5"/>
      <c r="C50" s="4" t="s">
        <v>2</v>
      </c>
      <c r="D50" s="19">
        <v>162436</v>
      </c>
      <c r="E50" s="19">
        <v>67479</v>
      </c>
      <c r="F50" s="14"/>
      <c r="G50" s="15"/>
      <c r="H50" s="98">
        <f t="shared" si="0"/>
        <v>41.541899578911078</v>
      </c>
      <c r="I50" s="75">
        <v>44.560742492408423</v>
      </c>
      <c r="J50" s="103">
        <f t="shared" si="1"/>
        <v>-3.0188429134973447</v>
      </c>
    </row>
    <row r="51" spans="2:10" x14ac:dyDescent="0.25">
      <c r="B51" s="5"/>
      <c r="C51" s="4" t="s">
        <v>3</v>
      </c>
      <c r="D51" s="19">
        <v>164361</v>
      </c>
      <c r="E51" s="19">
        <v>68969</v>
      </c>
      <c r="F51" s="14"/>
      <c r="G51" s="15"/>
      <c r="H51" s="98">
        <f t="shared" si="0"/>
        <v>41.961900937570348</v>
      </c>
      <c r="I51" s="75">
        <v>45.229208474144187</v>
      </c>
      <c r="J51" s="103">
        <f t="shared" si="1"/>
        <v>-3.2673075365738384</v>
      </c>
    </row>
    <row r="52" spans="2:10" x14ac:dyDescent="0.25">
      <c r="B52" s="5">
        <v>1986</v>
      </c>
      <c r="C52" s="4" t="s">
        <v>0</v>
      </c>
      <c r="D52" s="19">
        <v>166220</v>
      </c>
      <c r="E52" s="19">
        <v>70315</v>
      </c>
      <c r="F52" s="14"/>
      <c r="G52" s="15"/>
      <c r="H52" s="98">
        <f t="shared" si="0"/>
        <v>42.30237035254482</v>
      </c>
      <c r="I52" s="75">
        <v>45.445114564808371</v>
      </c>
      <c r="J52" s="103">
        <f t="shared" si="1"/>
        <v>-3.1427442122635512</v>
      </c>
    </row>
    <row r="53" spans="2:10" x14ac:dyDescent="0.25">
      <c r="B53" s="5"/>
      <c r="C53" s="4" t="s">
        <v>1</v>
      </c>
      <c r="D53" s="19">
        <v>173839</v>
      </c>
      <c r="E53" s="19">
        <v>73709</v>
      </c>
      <c r="F53" s="14"/>
      <c r="G53" s="15"/>
      <c r="H53" s="98">
        <f t="shared" si="0"/>
        <v>42.400727109566901</v>
      </c>
      <c r="I53" s="75">
        <v>45.865804626228531</v>
      </c>
      <c r="J53" s="103">
        <f t="shared" si="1"/>
        <v>-3.4650775166616299</v>
      </c>
    </row>
    <row r="54" spans="2:10" x14ac:dyDescent="0.25">
      <c r="B54" s="5"/>
      <c r="C54" s="4" t="s">
        <v>2</v>
      </c>
      <c r="D54" s="19">
        <v>169356</v>
      </c>
      <c r="E54" s="19">
        <v>73119</v>
      </c>
      <c r="F54" s="14"/>
      <c r="G54" s="15"/>
      <c r="H54" s="98">
        <f t="shared" si="0"/>
        <v>43.174732516119889</v>
      </c>
      <c r="I54" s="75">
        <v>46.364498388014411</v>
      </c>
      <c r="J54" s="103">
        <f t="shared" si="1"/>
        <v>-3.1897658718945223</v>
      </c>
    </row>
    <row r="55" spans="2:10" x14ac:dyDescent="0.25">
      <c r="B55" s="5"/>
      <c r="C55" s="4" t="s">
        <v>3</v>
      </c>
      <c r="D55" s="19">
        <v>168232</v>
      </c>
      <c r="E55" s="19">
        <v>74157</v>
      </c>
      <c r="F55" s="14"/>
      <c r="G55" s="15"/>
      <c r="H55" s="98">
        <f t="shared" si="0"/>
        <v>44.080198773122831</v>
      </c>
      <c r="I55" s="75">
        <v>46.938041709246434</v>
      </c>
      <c r="J55" s="103">
        <f t="shared" si="1"/>
        <v>-2.8578429361236033</v>
      </c>
    </row>
    <row r="56" spans="2:10" x14ac:dyDescent="0.25">
      <c r="B56" s="5">
        <v>1987</v>
      </c>
      <c r="C56" s="4" t="s">
        <v>0</v>
      </c>
      <c r="D56" s="19">
        <v>165809</v>
      </c>
      <c r="E56" s="19">
        <v>74135</v>
      </c>
      <c r="F56" s="14"/>
      <c r="G56" s="15"/>
      <c r="H56" s="98">
        <f t="shared" si="0"/>
        <v>44.71108323432383</v>
      </c>
      <c r="I56" s="75">
        <v>47.592991554021843</v>
      </c>
      <c r="J56" s="103">
        <f t="shared" si="1"/>
        <v>-2.8819083196980131</v>
      </c>
    </row>
    <row r="57" spans="2:10" x14ac:dyDescent="0.25">
      <c r="B57" s="5"/>
      <c r="C57" s="4" t="s">
        <v>1</v>
      </c>
      <c r="D57" s="19">
        <v>170664</v>
      </c>
      <c r="E57" s="19">
        <v>76557</v>
      </c>
      <c r="F57" s="14"/>
      <c r="G57" s="15"/>
      <c r="H57" s="98">
        <f t="shared" si="0"/>
        <v>44.858318098720289</v>
      </c>
      <c r="I57" s="75">
        <v>48.059877635951423</v>
      </c>
      <c r="J57" s="103">
        <f t="shared" si="1"/>
        <v>-3.2015595372311338</v>
      </c>
    </row>
    <row r="58" spans="2:10" x14ac:dyDescent="0.25">
      <c r="B58" s="5"/>
      <c r="C58" s="4" t="s">
        <v>2</v>
      </c>
      <c r="D58" s="19">
        <v>172318</v>
      </c>
      <c r="E58" s="19">
        <v>78288</v>
      </c>
      <c r="F58" s="14"/>
      <c r="G58" s="15"/>
      <c r="H58" s="98">
        <f t="shared" si="0"/>
        <v>45.432282175976972</v>
      </c>
      <c r="I58" s="75">
        <v>48.486149355149301</v>
      </c>
      <c r="J58" s="103">
        <f t="shared" si="1"/>
        <v>-3.0538671791723289</v>
      </c>
    </row>
    <row r="59" spans="2:10" x14ac:dyDescent="0.25">
      <c r="B59" s="5"/>
      <c r="C59" s="4" t="s">
        <v>3</v>
      </c>
      <c r="D59" s="19">
        <v>175407</v>
      </c>
      <c r="E59" s="19">
        <v>79789</v>
      </c>
      <c r="F59" s="14"/>
      <c r="G59" s="15"/>
      <c r="H59" s="98">
        <f t="shared" si="0"/>
        <v>45.487922374819703</v>
      </c>
      <c r="I59" s="75">
        <v>49.063791204444634</v>
      </c>
      <c r="J59" s="103">
        <f t="shared" si="1"/>
        <v>-3.5758688296249304</v>
      </c>
    </row>
    <row r="60" spans="2:10" x14ac:dyDescent="0.25">
      <c r="B60" s="5">
        <v>1988</v>
      </c>
      <c r="C60" s="4" t="s">
        <v>0</v>
      </c>
      <c r="D60" s="19">
        <v>176973</v>
      </c>
      <c r="E60" s="19">
        <v>82268</v>
      </c>
      <c r="F60" s="14"/>
      <c r="G60" s="15"/>
      <c r="H60" s="98">
        <f t="shared" si="0"/>
        <v>46.486187158493102</v>
      </c>
      <c r="I60" s="75">
        <v>49.811212197490022</v>
      </c>
      <c r="J60" s="103">
        <f t="shared" si="1"/>
        <v>-3.3250250389969196</v>
      </c>
    </row>
    <row r="61" spans="2:10" x14ac:dyDescent="0.25">
      <c r="B61" s="5"/>
      <c r="C61" s="4" t="s">
        <v>1</v>
      </c>
      <c r="D61" s="19">
        <v>178237</v>
      </c>
      <c r="E61" s="19">
        <v>84814</v>
      </c>
      <c r="F61" s="14"/>
      <c r="G61" s="15"/>
      <c r="H61" s="98">
        <f t="shared" si="0"/>
        <v>47.584957107671244</v>
      </c>
      <c r="I61" s="75">
        <v>50.474048076130352</v>
      </c>
      <c r="J61" s="103">
        <f t="shared" si="1"/>
        <v>-2.889090968459108</v>
      </c>
    </row>
    <row r="62" spans="2:10" x14ac:dyDescent="0.25">
      <c r="B62" s="5"/>
      <c r="C62" s="4" t="s">
        <v>2</v>
      </c>
      <c r="D62" s="19">
        <v>180765</v>
      </c>
      <c r="E62" s="19">
        <v>86563</v>
      </c>
      <c r="F62" s="14"/>
      <c r="G62" s="15"/>
      <c r="H62" s="98">
        <f t="shared" si="0"/>
        <v>47.887035654025944</v>
      </c>
      <c r="I62" s="75">
        <v>50.948275862068968</v>
      </c>
      <c r="J62" s="103">
        <f t="shared" si="1"/>
        <v>-3.0612402080430243</v>
      </c>
    </row>
    <row r="63" spans="2:10" x14ac:dyDescent="0.25">
      <c r="B63" s="5"/>
      <c r="C63" s="4" t="s">
        <v>3</v>
      </c>
      <c r="D63" s="19">
        <v>182942</v>
      </c>
      <c r="E63" s="19">
        <v>88239</v>
      </c>
      <c r="F63" s="14"/>
      <c r="G63" s="15"/>
      <c r="H63" s="98">
        <f t="shared" si="0"/>
        <v>48.233319850007106</v>
      </c>
      <c r="I63" s="75">
        <v>51.523867278870306</v>
      </c>
      <c r="J63" s="103">
        <f t="shared" si="1"/>
        <v>-3.2905474288631993</v>
      </c>
    </row>
    <row r="64" spans="2:10" x14ac:dyDescent="0.25">
      <c r="B64" s="5">
        <v>1989</v>
      </c>
      <c r="C64" s="4" t="s">
        <v>0</v>
      </c>
      <c r="D64" s="19">
        <v>184742</v>
      </c>
      <c r="E64" s="19">
        <v>90551</v>
      </c>
      <c r="F64" s="14"/>
      <c r="G64" s="15"/>
      <c r="H64" s="98">
        <f t="shared" si="0"/>
        <v>49.014842320641762</v>
      </c>
      <c r="I64" s="75">
        <v>52.152458446583125</v>
      </c>
      <c r="J64" s="103">
        <f t="shared" si="1"/>
        <v>-3.1376161259413635</v>
      </c>
    </row>
    <row r="65" spans="2:10" x14ac:dyDescent="0.25">
      <c r="B65" s="5"/>
      <c r="C65" s="4" t="s">
        <v>1</v>
      </c>
      <c r="D65" s="19">
        <v>185769</v>
      </c>
      <c r="E65" s="19">
        <v>93362</v>
      </c>
      <c r="F65" s="14"/>
      <c r="G65" s="15"/>
      <c r="H65" s="98">
        <f t="shared" si="0"/>
        <v>50.257039656778048</v>
      </c>
      <c r="I65" s="75">
        <v>53.019217801753207</v>
      </c>
      <c r="J65" s="103">
        <f t="shared" si="1"/>
        <v>-2.7621781449751595</v>
      </c>
    </row>
    <row r="66" spans="2:10" x14ac:dyDescent="0.25">
      <c r="B66" s="5"/>
      <c r="C66" s="4" t="s">
        <v>2</v>
      </c>
      <c r="D66" s="19">
        <v>192369</v>
      </c>
      <c r="E66" s="19">
        <v>97497</v>
      </c>
      <c r="F66" s="14"/>
      <c r="G66" s="15"/>
      <c r="H66" s="98">
        <f t="shared" si="0"/>
        <v>50.682282488342715</v>
      </c>
      <c r="I66" s="75">
        <v>53.875343791521544</v>
      </c>
      <c r="J66" s="103">
        <f t="shared" si="1"/>
        <v>-3.1930613031788297</v>
      </c>
    </row>
    <row r="67" spans="2:10" x14ac:dyDescent="0.25">
      <c r="B67" s="5"/>
      <c r="C67" s="4" t="s">
        <v>3</v>
      </c>
      <c r="D67" s="19">
        <v>189995</v>
      </c>
      <c r="E67" s="19">
        <v>98363</v>
      </c>
      <c r="F67" s="14"/>
      <c r="G67" s="15"/>
      <c r="H67" s="98">
        <f t="shared" si="0"/>
        <v>51.771362404273802</v>
      </c>
      <c r="I67" s="75">
        <v>54.85599205473406</v>
      </c>
      <c r="J67" s="103">
        <f t="shared" si="1"/>
        <v>-3.0846296504602577</v>
      </c>
    </row>
    <row r="68" spans="2:10" x14ac:dyDescent="0.25">
      <c r="B68" s="5">
        <v>1990</v>
      </c>
      <c r="C68" s="4" t="s">
        <v>0</v>
      </c>
      <c r="D68" s="19">
        <v>193719</v>
      </c>
      <c r="E68" s="19">
        <v>102904</v>
      </c>
      <c r="F68" s="14"/>
      <c r="G68" s="15"/>
      <c r="H68" s="98">
        <f t="shared" si="0"/>
        <v>53.120241174071722</v>
      </c>
      <c r="I68" s="75">
        <v>55.731049590008084</v>
      </c>
      <c r="J68" s="103">
        <f t="shared" si="1"/>
        <v>-2.6108084159363614</v>
      </c>
    </row>
    <row r="69" spans="2:10" x14ac:dyDescent="0.25">
      <c r="B69" s="5"/>
      <c r="C69" s="4" t="s">
        <v>1</v>
      </c>
      <c r="D69" s="19">
        <v>193944</v>
      </c>
      <c r="E69" s="19">
        <v>103913</v>
      </c>
      <c r="F69" s="14"/>
      <c r="G69" s="15"/>
      <c r="H69" s="98">
        <f t="shared" si="0"/>
        <v>53.578868126881986</v>
      </c>
      <c r="I69" s="75">
        <v>56.942954656265229</v>
      </c>
      <c r="J69" s="103">
        <f t="shared" si="1"/>
        <v>-3.3640865293832434</v>
      </c>
    </row>
    <row r="70" spans="2:10" x14ac:dyDescent="0.25">
      <c r="B70" s="5"/>
      <c r="C70" s="4" t="s">
        <v>2</v>
      </c>
      <c r="D70" s="19">
        <v>196373</v>
      </c>
      <c r="E70" s="19">
        <v>107142</v>
      </c>
      <c r="F70" s="14"/>
      <c r="G70" s="15"/>
      <c r="H70" s="98">
        <f t="shared" si="0"/>
        <v>54.560453830210875</v>
      </c>
      <c r="I70" s="75">
        <v>58.155050076752147</v>
      </c>
      <c r="J70" s="103">
        <f t="shared" si="1"/>
        <v>-3.594596246541272</v>
      </c>
    </row>
    <row r="71" spans="2:10" x14ac:dyDescent="0.25">
      <c r="B71" s="5"/>
      <c r="C71" s="4" t="s">
        <v>3</v>
      </c>
      <c r="D71" s="19">
        <v>198794</v>
      </c>
      <c r="E71" s="19">
        <v>110528</v>
      </c>
      <c r="F71" s="14"/>
      <c r="G71" s="15"/>
      <c r="H71" s="98">
        <f t="shared" si="0"/>
        <v>55.599263559262354</v>
      </c>
      <c r="I71" s="75">
        <v>59.061849460547592</v>
      </c>
      <c r="J71" s="103">
        <f t="shared" si="1"/>
        <v>-3.4625859012852374</v>
      </c>
    </row>
    <row r="72" spans="2:10" x14ac:dyDescent="0.25">
      <c r="B72" s="5">
        <v>1991</v>
      </c>
      <c r="C72" s="4" t="s">
        <v>0</v>
      </c>
      <c r="D72" s="19">
        <v>198792</v>
      </c>
      <c r="E72" s="19">
        <v>113138</v>
      </c>
      <c r="F72" s="14"/>
      <c r="G72" s="15"/>
      <c r="H72" s="98">
        <f t="shared" si="0"/>
        <v>56.912753028290872</v>
      </c>
      <c r="I72" s="75">
        <v>60.05407675749462</v>
      </c>
      <c r="J72" s="103">
        <f t="shared" si="1"/>
        <v>-3.1413237292037479</v>
      </c>
    </row>
    <row r="73" spans="2:10" x14ac:dyDescent="0.25">
      <c r="B73" s="5"/>
      <c r="C73" s="4" t="s">
        <v>1</v>
      </c>
      <c r="D73" s="19">
        <v>195858</v>
      </c>
      <c r="E73" s="19">
        <v>113715</v>
      </c>
      <c r="F73" s="14"/>
      <c r="G73" s="15"/>
      <c r="H73" s="98">
        <f t="shared" ref="H73:H136" si="2">E73/D73*100</f>
        <v>58.059920963146773</v>
      </c>
      <c r="I73" s="75">
        <v>61.4573868798837</v>
      </c>
      <c r="J73" s="103">
        <f t="shared" ref="J73:J136" si="3">H73-I73</f>
        <v>-3.3974659167369268</v>
      </c>
    </row>
    <row r="74" spans="2:10" x14ac:dyDescent="0.25">
      <c r="B74" s="5"/>
      <c r="C74" s="4" t="s">
        <v>2</v>
      </c>
      <c r="D74" s="19">
        <v>198891</v>
      </c>
      <c r="E74" s="19">
        <v>118516</v>
      </c>
      <c r="F74" s="14"/>
      <c r="G74" s="15"/>
      <c r="H74" s="98">
        <f t="shared" si="2"/>
        <v>59.588417776571092</v>
      </c>
      <c r="I74" s="75">
        <v>62.197059373247775</v>
      </c>
      <c r="J74" s="103">
        <f t="shared" si="3"/>
        <v>-2.6086415966766836</v>
      </c>
    </row>
    <row r="75" spans="2:10" x14ac:dyDescent="0.25">
      <c r="B75" s="5"/>
      <c r="C75" s="4" t="s">
        <v>3</v>
      </c>
      <c r="D75" s="19">
        <v>200640</v>
      </c>
      <c r="E75" s="19">
        <v>119682</v>
      </c>
      <c r="F75" s="14"/>
      <c r="G75" s="15"/>
      <c r="H75" s="98">
        <f t="shared" si="2"/>
        <v>59.650119617224881</v>
      </c>
      <c r="I75" s="75">
        <v>62.949776965797952</v>
      </c>
      <c r="J75" s="103">
        <f t="shared" si="3"/>
        <v>-3.2996573485730707</v>
      </c>
    </row>
    <row r="76" spans="2:10" x14ac:dyDescent="0.25">
      <c r="B76" s="5">
        <v>1992</v>
      </c>
      <c r="C76" s="4" t="s">
        <v>0</v>
      </c>
      <c r="D76" s="19">
        <v>201312</v>
      </c>
      <c r="E76" s="19">
        <v>121804</v>
      </c>
      <c r="F76" s="14"/>
      <c r="G76" s="15"/>
      <c r="H76" s="98">
        <f t="shared" si="2"/>
        <v>60.505086631696074</v>
      </c>
      <c r="I76" s="75">
        <v>63.595065454564249</v>
      </c>
      <c r="J76" s="103">
        <f t="shared" si="3"/>
        <v>-3.0899788228681757</v>
      </c>
    </row>
    <row r="77" spans="2:10" x14ac:dyDescent="0.25">
      <c r="B77" s="5"/>
      <c r="C77" s="4" t="s">
        <v>1</v>
      </c>
      <c r="D77" s="19">
        <v>203773</v>
      </c>
      <c r="E77" s="19">
        <v>123653</v>
      </c>
      <c r="F77" s="14"/>
      <c r="G77" s="15"/>
      <c r="H77" s="98">
        <f t="shared" si="2"/>
        <v>60.681738993880444</v>
      </c>
      <c r="I77" s="75">
        <v>63.908132953621667</v>
      </c>
      <c r="J77" s="103">
        <f t="shared" si="3"/>
        <v>-3.2263939597412232</v>
      </c>
    </row>
    <row r="78" spans="2:10" x14ac:dyDescent="0.25">
      <c r="B78" s="5"/>
      <c r="C78" s="4" t="s">
        <v>2</v>
      </c>
      <c r="D78" s="19">
        <v>203375</v>
      </c>
      <c r="E78" s="19">
        <v>125269</v>
      </c>
      <c r="F78" s="14"/>
      <c r="G78" s="15"/>
      <c r="H78" s="98">
        <f t="shared" si="2"/>
        <v>61.595082974800242</v>
      </c>
      <c r="I78" s="75">
        <v>64.208358484536447</v>
      </c>
      <c r="J78" s="103">
        <f t="shared" si="3"/>
        <v>-2.613275509736205</v>
      </c>
    </row>
    <row r="79" spans="2:10" x14ac:dyDescent="0.25">
      <c r="B79" s="5"/>
      <c r="C79" s="4" t="s">
        <v>3</v>
      </c>
      <c r="D79" s="19">
        <v>204437</v>
      </c>
      <c r="E79" s="19">
        <v>126305</v>
      </c>
      <c r="F79" s="14"/>
      <c r="G79" s="15"/>
      <c r="H79" s="98">
        <f t="shared" si="2"/>
        <v>61.781869231107869</v>
      </c>
      <c r="I79" s="75">
        <v>64.760170991313515</v>
      </c>
      <c r="J79" s="103">
        <f t="shared" si="3"/>
        <v>-2.9783017602056461</v>
      </c>
    </row>
    <row r="80" spans="2:10" x14ac:dyDescent="0.25">
      <c r="B80" s="5">
        <v>1993</v>
      </c>
      <c r="C80" s="4" t="s">
        <v>0</v>
      </c>
      <c r="D80" s="19">
        <v>205130</v>
      </c>
      <c r="E80" s="19">
        <v>127257</v>
      </c>
      <c r="F80" s="14"/>
      <c r="G80" s="15"/>
      <c r="H80" s="98">
        <f t="shared" si="2"/>
        <v>62.037244674109104</v>
      </c>
      <c r="I80" s="75">
        <v>65.662100456621005</v>
      </c>
      <c r="J80" s="103">
        <f t="shared" si="3"/>
        <v>-3.6248557825119008</v>
      </c>
    </row>
    <row r="81" spans="2:10" x14ac:dyDescent="0.25">
      <c r="B81" s="5"/>
      <c r="C81" s="4" t="s">
        <v>1</v>
      </c>
      <c r="D81" s="19">
        <v>193040</v>
      </c>
      <c r="E81" s="19">
        <v>131721</v>
      </c>
      <c r="F81" s="14"/>
      <c r="G81" s="15"/>
      <c r="H81" s="98">
        <f t="shared" si="2"/>
        <v>68.235080812266887</v>
      </c>
      <c r="I81" s="75">
        <v>66.057111123231707</v>
      </c>
      <c r="J81" s="103">
        <f t="shared" si="3"/>
        <v>2.1779696890351801</v>
      </c>
    </row>
    <row r="82" spans="2:10" x14ac:dyDescent="0.25">
      <c r="B82" s="5"/>
      <c r="C82" s="4" t="s">
        <v>2</v>
      </c>
      <c r="D82" s="19">
        <v>223779</v>
      </c>
      <c r="E82" s="19">
        <v>133453</v>
      </c>
      <c r="F82" s="14"/>
      <c r="G82" s="15"/>
      <c r="H82" s="98">
        <f t="shared" si="2"/>
        <v>59.636069515012579</v>
      </c>
      <c r="I82" s="75">
        <v>66.315748066341811</v>
      </c>
      <c r="J82" s="103">
        <f t="shared" si="3"/>
        <v>-6.6796785513292321</v>
      </c>
    </row>
    <row r="83" spans="2:10" x14ac:dyDescent="0.25">
      <c r="B83" s="5"/>
      <c r="C83" s="4" t="s">
        <v>3</v>
      </c>
      <c r="D83" s="19">
        <v>210322</v>
      </c>
      <c r="E83" s="19">
        <v>134977</v>
      </c>
      <c r="F83" s="14"/>
      <c r="G83" s="15"/>
      <c r="H83" s="98">
        <f t="shared" si="2"/>
        <v>64.176358155589995</v>
      </c>
      <c r="I83" s="75">
        <v>66.79266716283442</v>
      </c>
      <c r="J83" s="103">
        <f t="shared" si="3"/>
        <v>-2.6163090072444248</v>
      </c>
    </row>
    <row r="84" spans="2:10" x14ac:dyDescent="0.25">
      <c r="B84" s="5">
        <v>1994</v>
      </c>
      <c r="C84" s="4" t="s">
        <v>0</v>
      </c>
      <c r="D84" s="19">
        <v>210768</v>
      </c>
      <c r="E84" s="19">
        <v>134646</v>
      </c>
      <c r="F84" s="14"/>
      <c r="G84" s="15"/>
      <c r="H84" s="98">
        <f t="shared" si="2"/>
        <v>63.883511728535638</v>
      </c>
      <c r="I84" s="75">
        <v>66.750009805075109</v>
      </c>
      <c r="J84" s="103">
        <f t="shared" si="3"/>
        <v>-2.8664980765394716</v>
      </c>
    </row>
    <row r="85" spans="2:10" x14ac:dyDescent="0.25">
      <c r="B85" s="5"/>
      <c r="C85" s="4" t="s">
        <v>1</v>
      </c>
      <c r="D85" s="19">
        <v>212600</v>
      </c>
      <c r="E85" s="19">
        <v>135245</v>
      </c>
      <c r="F85" s="14"/>
      <c r="G85" s="15"/>
      <c r="H85" s="98">
        <f t="shared" si="2"/>
        <v>63.614769520225778</v>
      </c>
      <c r="I85" s="75">
        <v>67.145529441223118</v>
      </c>
      <c r="J85" s="103">
        <f t="shared" si="3"/>
        <v>-3.5307599209973404</v>
      </c>
    </row>
    <row r="86" spans="2:10" x14ac:dyDescent="0.25">
      <c r="B86" s="5"/>
      <c r="C86" s="4" t="s">
        <v>2</v>
      </c>
      <c r="D86" s="19">
        <v>209908</v>
      </c>
      <c r="E86" s="19">
        <v>138259</v>
      </c>
      <c r="F86" s="14"/>
      <c r="G86" s="15"/>
      <c r="H86" s="98">
        <f t="shared" si="2"/>
        <v>65.866474836595074</v>
      </c>
      <c r="I86" s="75">
        <v>67.27810337437937</v>
      </c>
      <c r="J86" s="103">
        <f t="shared" si="3"/>
        <v>-1.4116285377842956</v>
      </c>
    </row>
    <row r="87" spans="2:10" x14ac:dyDescent="0.25">
      <c r="B87" s="5"/>
      <c r="C87" s="4" t="s">
        <v>3</v>
      </c>
      <c r="D87" s="19">
        <v>215906</v>
      </c>
      <c r="E87" s="19">
        <v>138453</v>
      </c>
      <c r="F87" s="14"/>
      <c r="G87" s="15"/>
      <c r="H87" s="98">
        <f t="shared" si="2"/>
        <v>64.126518021731684</v>
      </c>
      <c r="I87" s="75">
        <v>67.788724552782554</v>
      </c>
      <c r="J87" s="103">
        <f t="shared" si="3"/>
        <v>-3.6622065310508702</v>
      </c>
    </row>
    <row r="88" spans="2:10" x14ac:dyDescent="0.25">
      <c r="B88" s="5">
        <v>1995</v>
      </c>
      <c r="C88" s="4" t="s">
        <v>0</v>
      </c>
      <c r="D88" s="19">
        <v>216820</v>
      </c>
      <c r="E88" s="19">
        <v>141934</v>
      </c>
      <c r="F88" s="14"/>
      <c r="G88" s="15"/>
      <c r="H88" s="98">
        <f t="shared" si="2"/>
        <v>65.461673277372938</v>
      </c>
      <c r="I88" s="75">
        <v>68.285968747469838</v>
      </c>
      <c r="J88" s="103">
        <f t="shared" si="3"/>
        <v>-2.8242954700968994</v>
      </c>
    </row>
    <row r="89" spans="2:10" x14ac:dyDescent="0.25">
      <c r="B89" s="5"/>
      <c r="C89" s="4" t="s">
        <v>1</v>
      </c>
      <c r="D89" s="19">
        <v>215918</v>
      </c>
      <c r="E89" s="19">
        <v>143377</v>
      </c>
      <c r="F89" s="14"/>
      <c r="G89" s="15"/>
      <c r="H89" s="98">
        <f t="shared" si="2"/>
        <v>66.403449457664493</v>
      </c>
      <c r="I89" s="75">
        <v>68.923927472036013</v>
      </c>
      <c r="J89" s="103">
        <f t="shared" si="3"/>
        <v>-2.5204780143715197</v>
      </c>
    </row>
    <row r="90" spans="2:10" x14ac:dyDescent="0.25">
      <c r="B90" s="5"/>
      <c r="C90" s="4" t="s">
        <v>2</v>
      </c>
      <c r="D90" s="19">
        <v>220034</v>
      </c>
      <c r="E90" s="19">
        <v>146523</v>
      </c>
      <c r="F90" s="14"/>
      <c r="G90" s="15"/>
      <c r="H90" s="98">
        <f t="shared" si="2"/>
        <v>66.591072288828087</v>
      </c>
      <c r="I90" s="75">
        <v>69.755694948827994</v>
      </c>
      <c r="J90" s="103">
        <f t="shared" si="3"/>
        <v>-3.1646226599999068</v>
      </c>
    </row>
    <row r="91" spans="2:10" x14ac:dyDescent="0.25">
      <c r="B91" s="5"/>
      <c r="C91" s="4" t="s">
        <v>3</v>
      </c>
      <c r="D91" s="19">
        <v>218441</v>
      </c>
      <c r="E91" s="19">
        <v>147820</v>
      </c>
      <c r="F91" s="14"/>
      <c r="G91" s="15"/>
      <c r="H91" s="98">
        <f t="shared" si="2"/>
        <v>67.670446482116446</v>
      </c>
      <c r="I91" s="75">
        <v>70.056571441984929</v>
      </c>
      <c r="J91" s="103">
        <f t="shared" si="3"/>
        <v>-2.3861249598684822</v>
      </c>
    </row>
    <row r="92" spans="2:10" x14ac:dyDescent="0.25">
      <c r="B92" s="5">
        <v>1996</v>
      </c>
      <c r="C92" s="4" t="s">
        <v>0</v>
      </c>
      <c r="D92" s="19">
        <v>221835</v>
      </c>
      <c r="E92" s="19">
        <v>151668</v>
      </c>
      <c r="F92" s="14"/>
      <c r="G92" s="15"/>
      <c r="H92" s="98">
        <f t="shared" si="2"/>
        <v>68.36973426195145</v>
      </c>
      <c r="I92" s="75">
        <v>70.485171480642848</v>
      </c>
      <c r="J92" s="103">
        <f t="shared" si="3"/>
        <v>-2.1154372186913974</v>
      </c>
    </row>
    <row r="93" spans="2:10" x14ac:dyDescent="0.25">
      <c r="B93" s="5"/>
      <c r="C93" s="4" t="s">
        <v>1</v>
      </c>
      <c r="D93" s="19">
        <v>221601</v>
      </c>
      <c r="E93" s="19">
        <v>153604</v>
      </c>
      <c r="F93" s="14"/>
      <c r="G93" s="15"/>
      <c r="H93" s="98">
        <f t="shared" si="2"/>
        <v>69.315571680633212</v>
      </c>
      <c r="I93" s="75">
        <v>71.512732100381683</v>
      </c>
      <c r="J93" s="103">
        <f t="shared" si="3"/>
        <v>-2.1971604197484709</v>
      </c>
    </row>
    <row r="94" spans="2:10" x14ac:dyDescent="0.25">
      <c r="B94" s="5"/>
      <c r="C94" s="4" t="s">
        <v>2</v>
      </c>
      <c r="D94" s="19">
        <v>222885</v>
      </c>
      <c r="E94" s="19">
        <v>156436</v>
      </c>
      <c r="F94" s="14"/>
      <c r="G94" s="15"/>
      <c r="H94" s="98">
        <f t="shared" si="2"/>
        <v>70.186867667182625</v>
      </c>
      <c r="I94" s="75">
        <v>72.070111071562209</v>
      </c>
      <c r="J94" s="103">
        <f t="shared" si="3"/>
        <v>-1.8832434043795843</v>
      </c>
    </row>
    <row r="95" spans="2:10" x14ac:dyDescent="0.25">
      <c r="B95" s="5"/>
      <c r="C95" s="4" t="s">
        <v>3</v>
      </c>
      <c r="D95" s="19">
        <v>220844</v>
      </c>
      <c r="E95" s="19">
        <v>154216</v>
      </c>
      <c r="F95" s="14"/>
      <c r="G95" s="15"/>
      <c r="H95" s="98">
        <f t="shared" si="2"/>
        <v>69.830287442719751</v>
      </c>
      <c r="I95" s="75">
        <v>72.368408822627273</v>
      </c>
      <c r="J95" s="103">
        <f t="shared" si="3"/>
        <v>-2.5381213799075226</v>
      </c>
    </row>
    <row r="96" spans="2:10" x14ac:dyDescent="0.25">
      <c r="B96" s="5">
        <v>1997</v>
      </c>
      <c r="C96" s="4" t="s">
        <v>0</v>
      </c>
      <c r="D96" s="19">
        <v>222945</v>
      </c>
      <c r="E96" s="19">
        <v>156559</v>
      </c>
      <c r="F96" s="14"/>
      <c r="G96" s="15"/>
      <c r="H96" s="98">
        <f t="shared" si="2"/>
        <v>70.223149207203576</v>
      </c>
      <c r="I96" s="75">
        <v>72.37260273972602</v>
      </c>
      <c r="J96" s="103">
        <f t="shared" si="3"/>
        <v>-2.1494535325224433</v>
      </c>
    </row>
    <row r="97" spans="2:10" x14ac:dyDescent="0.25">
      <c r="B97" s="5"/>
      <c r="C97" s="4" t="s">
        <v>1</v>
      </c>
      <c r="D97" s="19">
        <v>225087</v>
      </c>
      <c r="E97" s="19">
        <v>159663</v>
      </c>
      <c r="F97" s="6"/>
      <c r="G97" s="15"/>
      <c r="H97" s="98">
        <f t="shared" si="2"/>
        <v>70.933905556518155</v>
      </c>
      <c r="I97" s="75">
        <v>72.606233423512379</v>
      </c>
      <c r="J97" s="103">
        <f t="shared" si="3"/>
        <v>-1.6723278669942232</v>
      </c>
    </row>
    <row r="98" spans="2:10" x14ac:dyDescent="0.25">
      <c r="B98" s="5"/>
      <c r="C98" s="4" t="s">
        <v>2</v>
      </c>
      <c r="D98" s="19">
        <v>227563</v>
      </c>
      <c r="E98" s="19">
        <v>162211</v>
      </c>
      <c r="F98" s="6"/>
      <c r="G98" s="15"/>
      <c r="H98" s="98">
        <f t="shared" si="2"/>
        <v>71.281798886462212</v>
      </c>
      <c r="I98" s="75">
        <v>73.185753933164648</v>
      </c>
      <c r="J98" s="103">
        <f t="shared" si="3"/>
        <v>-1.9039550467024355</v>
      </c>
    </row>
    <row r="99" spans="2:10" x14ac:dyDescent="0.25">
      <c r="B99" s="5"/>
      <c r="C99" s="4" t="s">
        <v>3</v>
      </c>
      <c r="D99" s="19">
        <v>226783</v>
      </c>
      <c r="E99" s="19">
        <v>160980</v>
      </c>
      <c r="F99" s="6"/>
      <c r="G99" s="15"/>
      <c r="H99" s="98">
        <f t="shared" si="2"/>
        <v>70.984156660772641</v>
      </c>
      <c r="I99" s="75">
        <v>73.647268957532077</v>
      </c>
      <c r="J99" s="103">
        <f t="shared" si="3"/>
        <v>-2.6631122967594365</v>
      </c>
    </row>
    <row r="100" spans="2:10" x14ac:dyDescent="0.25">
      <c r="B100" s="5">
        <v>1998</v>
      </c>
      <c r="C100" s="4" t="s">
        <v>0</v>
      </c>
      <c r="D100" s="19">
        <v>226653</v>
      </c>
      <c r="E100" s="19">
        <v>161758</v>
      </c>
      <c r="F100" s="6"/>
      <c r="G100" s="15"/>
      <c r="H100" s="98">
        <f t="shared" si="2"/>
        <v>71.368126607633698</v>
      </c>
      <c r="I100" s="75">
        <v>73.396679830722604</v>
      </c>
      <c r="J100" s="103">
        <f t="shared" si="3"/>
        <v>-2.0285532230889061</v>
      </c>
    </row>
    <row r="101" spans="2:10" x14ac:dyDescent="0.25">
      <c r="B101" s="5"/>
      <c r="C101" s="4" t="s">
        <v>1</v>
      </c>
      <c r="D101" s="19">
        <v>227698</v>
      </c>
      <c r="E101" s="19">
        <v>163323</v>
      </c>
      <c r="F101" s="6"/>
      <c r="G101" s="15"/>
      <c r="H101" s="98">
        <f t="shared" si="2"/>
        <v>71.727902748377232</v>
      </c>
      <c r="I101" s="75">
        <v>73.713693307546208</v>
      </c>
      <c r="J101" s="103">
        <f t="shared" si="3"/>
        <v>-1.9857905591689757</v>
      </c>
    </row>
    <row r="102" spans="2:10" x14ac:dyDescent="0.25">
      <c r="B102" s="5"/>
      <c r="C102" s="4" t="s">
        <v>2</v>
      </c>
      <c r="D102" s="19">
        <v>226775</v>
      </c>
      <c r="E102" s="19">
        <v>163494</v>
      </c>
      <c r="F102" s="6"/>
      <c r="G102" s="15"/>
      <c r="H102" s="98">
        <f t="shared" si="2"/>
        <v>72.095248594421776</v>
      </c>
      <c r="I102" s="75">
        <v>74.245554938185848</v>
      </c>
      <c r="J102" s="103">
        <f t="shared" si="3"/>
        <v>-2.1503063437640719</v>
      </c>
    </row>
    <row r="103" spans="2:10" x14ac:dyDescent="0.25">
      <c r="B103" s="5"/>
      <c r="C103" s="4" t="s">
        <v>3</v>
      </c>
      <c r="D103" s="19">
        <v>229690</v>
      </c>
      <c r="E103" s="19">
        <v>166158</v>
      </c>
      <c r="F103" s="6"/>
      <c r="G103" s="15"/>
      <c r="H103" s="98">
        <f t="shared" si="2"/>
        <v>72.340110583830381</v>
      </c>
      <c r="I103" s="75">
        <v>74.48091672555897</v>
      </c>
      <c r="J103" s="103">
        <f t="shared" si="3"/>
        <v>-2.1408061417285893</v>
      </c>
    </row>
    <row r="104" spans="2:10" x14ac:dyDescent="0.25">
      <c r="B104" s="5">
        <v>1999</v>
      </c>
      <c r="C104" s="4" t="s">
        <v>0</v>
      </c>
      <c r="D104" s="19">
        <v>226972</v>
      </c>
      <c r="E104" s="19">
        <v>165211</v>
      </c>
      <c r="F104" s="6"/>
      <c r="G104" s="15"/>
      <c r="H104" s="98">
        <f t="shared" si="2"/>
        <v>72.789154609379125</v>
      </c>
      <c r="I104" s="75">
        <v>74.699552760926352</v>
      </c>
      <c r="J104" s="103">
        <f t="shared" si="3"/>
        <v>-1.910398151547227</v>
      </c>
    </row>
    <row r="105" spans="2:10" x14ac:dyDescent="0.25">
      <c r="B105" s="5"/>
      <c r="C105" s="4" t="s">
        <v>1</v>
      </c>
      <c r="D105" s="19">
        <v>238468</v>
      </c>
      <c r="E105" s="19">
        <v>172733</v>
      </c>
      <c r="F105" s="6"/>
      <c r="G105" s="15"/>
      <c r="H105" s="98">
        <f t="shared" si="2"/>
        <v>72.434456614723985</v>
      </c>
      <c r="I105" s="75">
        <v>74.368655088514132</v>
      </c>
      <c r="J105" s="103">
        <f t="shared" si="3"/>
        <v>-1.934198473790147</v>
      </c>
    </row>
    <row r="106" spans="2:10" x14ac:dyDescent="0.25">
      <c r="B106" s="5"/>
      <c r="C106" s="4" t="s">
        <v>2</v>
      </c>
      <c r="D106" s="19">
        <v>239749</v>
      </c>
      <c r="E106" s="19">
        <v>172515</v>
      </c>
      <c r="F106" s="6"/>
      <c r="G106" s="15"/>
      <c r="H106" s="98">
        <f t="shared" si="2"/>
        <v>71.956504510967719</v>
      </c>
      <c r="I106" s="75">
        <v>74.089821060912939</v>
      </c>
      <c r="J106" s="103">
        <f t="shared" si="3"/>
        <v>-2.1333165499452207</v>
      </c>
    </row>
    <row r="107" spans="2:10" x14ac:dyDescent="0.25">
      <c r="B107" s="5"/>
      <c r="C107" s="4" t="s">
        <v>3</v>
      </c>
      <c r="D107" s="19">
        <v>245626</v>
      </c>
      <c r="E107" s="19">
        <v>177467</v>
      </c>
      <c r="F107" s="6"/>
      <c r="G107" s="15"/>
      <c r="H107" s="98">
        <f t="shared" si="2"/>
        <v>72.250901777499124</v>
      </c>
      <c r="I107" s="75">
        <v>74.427423024419838</v>
      </c>
      <c r="J107" s="103">
        <f t="shared" si="3"/>
        <v>-2.1765212469207142</v>
      </c>
    </row>
    <row r="108" spans="2:10" x14ac:dyDescent="0.25">
      <c r="B108" s="5">
        <v>2000</v>
      </c>
      <c r="C108" s="4" t="s">
        <v>0</v>
      </c>
      <c r="D108" s="19">
        <v>245597</v>
      </c>
      <c r="E108" s="19">
        <v>178295</v>
      </c>
      <c r="F108" s="6"/>
      <c r="G108" s="15"/>
      <c r="H108" s="98">
        <f t="shared" si="2"/>
        <v>72.596570805017976</v>
      </c>
      <c r="I108" s="75">
        <v>74.961726384364823</v>
      </c>
      <c r="J108" s="103">
        <f t="shared" si="3"/>
        <v>-2.3651555793468475</v>
      </c>
    </row>
    <row r="109" spans="2:10" x14ac:dyDescent="0.25">
      <c r="B109" s="5"/>
      <c r="C109" s="4" t="s">
        <v>1</v>
      </c>
      <c r="D109" s="19">
        <v>247677</v>
      </c>
      <c r="E109" s="19">
        <v>179760</v>
      </c>
      <c r="F109" s="6"/>
      <c r="G109" s="15"/>
      <c r="H109" s="98">
        <f t="shared" si="2"/>
        <v>72.578398478663743</v>
      </c>
      <c r="I109" s="75">
        <v>75.069930489693505</v>
      </c>
      <c r="J109" s="103">
        <f t="shared" si="3"/>
        <v>-2.4915320110297614</v>
      </c>
    </row>
    <row r="110" spans="2:10" x14ac:dyDescent="0.25">
      <c r="B110" s="5"/>
      <c r="C110" s="4" t="s">
        <v>2</v>
      </c>
      <c r="D110" s="19">
        <v>252451</v>
      </c>
      <c r="E110" s="19">
        <v>183523</v>
      </c>
      <c r="F110" s="6"/>
      <c r="G110" s="15"/>
      <c r="H110" s="98">
        <f t="shared" si="2"/>
        <v>72.696483674059522</v>
      </c>
      <c r="I110" s="75">
        <v>74.997151221045598</v>
      </c>
      <c r="J110" s="103">
        <f t="shared" si="3"/>
        <v>-2.3006675469860767</v>
      </c>
    </row>
    <row r="111" spans="2:10" x14ac:dyDescent="0.25">
      <c r="B111" s="5"/>
      <c r="C111" s="4" t="s">
        <v>3</v>
      </c>
      <c r="D111" s="19">
        <v>257355</v>
      </c>
      <c r="E111" s="19">
        <v>186554</v>
      </c>
      <c r="F111" s="6"/>
      <c r="G111" s="15"/>
      <c r="H111" s="98">
        <f t="shared" si="2"/>
        <v>72.488974373919291</v>
      </c>
      <c r="I111" s="75">
        <v>74.737331834218594</v>
      </c>
      <c r="J111" s="103">
        <f t="shared" si="3"/>
        <v>-2.2483574602993031</v>
      </c>
    </row>
    <row r="112" spans="2:10" x14ac:dyDescent="0.25">
      <c r="B112" s="5">
        <v>2001</v>
      </c>
      <c r="C112" s="4" t="s">
        <v>0</v>
      </c>
      <c r="D112" s="19">
        <v>258803</v>
      </c>
      <c r="E112" s="19">
        <v>189791</v>
      </c>
      <c r="F112" s="6"/>
      <c r="G112" s="15"/>
      <c r="H112" s="98">
        <f t="shared" si="2"/>
        <v>73.33415764114018</v>
      </c>
      <c r="I112" s="75">
        <v>75.326929441737661</v>
      </c>
      <c r="J112" s="103">
        <f t="shared" si="3"/>
        <v>-1.992771800597481</v>
      </c>
    </row>
    <row r="113" spans="2:10" x14ac:dyDescent="0.25">
      <c r="B113" s="5"/>
      <c r="C113" s="4" t="s">
        <v>1</v>
      </c>
      <c r="D113" s="19">
        <v>257733</v>
      </c>
      <c r="E113" s="19">
        <v>188960</v>
      </c>
      <c r="F113" s="6"/>
      <c r="G113" s="15"/>
      <c r="H113" s="98">
        <f t="shared" si="2"/>
        <v>73.316183802617445</v>
      </c>
      <c r="I113" s="75">
        <v>75.433434500227818</v>
      </c>
      <c r="J113" s="103">
        <f t="shared" si="3"/>
        <v>-2.1172506976103733</v>
      </c>
    </row>
    <row r="114" spans="2:10" x14ac:dyDescent="0.25">
      <c r="B114" s="5"/>
      <c r="C114" s="4" t="s">
        <v>2</v>
      </c>
      <c r="D114" s="19">
        <v>259453</v>
      </c>
      <c r="E114" s="19">
        <v>190311</v>
      </c>
      <c r="F114" s="6"/>
      <c r="G114" s="15"/>
      <c r="H114" s="98">
        <f t="shared" si="2"/>
        <v>73.3508573807202</v>
      </c>
      <c r="I114" s="75">
        <v>75.440249652836073</v>
      </c>
      <c r="J114" s="103">
        <f t="shared" si="3"/>
        <v>-2.0893922721158731</v>
      </c>
    </row>
    <row r="115" spans="2:10" x14ac:dyDescent="0.25">
      <c r="B115" s="5"/>
      <c r="C115" s="4" t="s">
        <v>3</v>
      </c>
      <c r="D115" s="19">
        <v>264178</v>
      </c>
      <c r="E115" s="19">
        <v>191666</v>
      </c>
      <c r="F115" s="6"/>
      <c r="G115" s="15"/>
      <c r="H115" s="98">
        <f t="shared" si="2"/>
        <v>72.551840047240873</v>
      </c>
      <c r="I115" s="75">
        <v>74.699800117224484</v>
      </c>
      <c r="J115" s="103">
        <f t="shared" si="3"/>
        <v>-2.1479600699836112</v>
      </c>
    </row>
    <row r="116" spans="2:10" x14ac:dyDescent="0.25">
      <c r="B116" s="5">
        <v>2002</v>
      </c>
      <c r="C116" s="4" t="s">
        <v>0</v>
      </c>
      <c r="D116" s="19">
        <v>265366</v>
      </c>
      <c r="E116" s="19">
        <v>194418</v>
      </c>
      <c r="F116" s="6"/>
      <c r="G116" s="15"/>
      <c r="H116" s="98">
        <f t="shared" si="2"/>
        <v>73.264095626417856</v>
      </c>
      <c r="I116" s="75">
        <v>75.372536153808866</v>
      </c>
      <c r="J116" s="103">
        <f t="shared" si="3"/>
        <v>-2.1084405273910107</v>
      </c>
    </row>
    <row r="117" spans="2:10" x14ac:dyDescent="0.25">
      <c r="B117" s="5"/>
      <c r="C117" s="4" t="s">
        <v>1</v>
      </c>
      <c r="D117" s="19">
        <v>267639</v>
      </c>
      <c r="E117" s="19">
        <v>196538</v>
      </c>
      <c r="F117" s="6"/>
      <c r="G117" s="15"/>
      <c r="H117" s="98">
        <f t="shared" si="2"/>
        <v>73.433991309188869</v>
      </c>
      <c r="I117" s="75">
        <v>75.49743502870632</v>
      </c>
      <c r="J117" s="103">
        <f t="shared" si="3"/>
        <v>-2.0634437195174513</v>
      </c>
    </row>
    <row r="118" spans="2:10" x14ac:dyDescent="0.25">
      <c r="B118" s="5"/>
      <c r="C118" s="4" t="s">
        <v>2</v>
      </c>
      <c r="D118" s="19">
        <v>267169</v>
      </c>
      <c r="E118" s="19">
        <v>196453</v>
      </c>
      <c r="F118" s="6"/>
      <c r="G118" s="15"/>
      <c r="H118" s="98">
        <f t="shared" si="2"/>
        <v>73.531360300034805</v>
      </c>
      <c r="I118" s="75">
        <v>75.678332895957539</v>
      </c>
      <c r="J118" s="103">
        <f t="shared" si="3"/>
        <v>-2.1469725959227333</v>
      </c>
    </row>
    <row r="119" spans="2:10" x14ac:dyDescent="0.25">
      <c r="B119" s="5"/>
      <c r="C119" s="4" t="s">
        <v>3</v>
      </c>
      <c r="D119" s="19">
        <v>268087</v>
      </c>
      <c r="E119" s="19">
        <v>198582</v>
      </c>
      <c r="F119" s="6"/>
      <c r="G119" s="15"/>
      <c r="H119" s="98">
        <f t="shared" si="2"/>
        <v>74.073714876140954</v>
      </c>
      <c r="I119" s="75">
        <v>76.114537608119875</v>
      </c>
      <c r="J119" s="103">
        <f t="shared" si="3"/>
        <v>-2.0408227319789205</v>
      </c>
    </row>
    <row r="120" spans="2:10" x14ac:dyDescent="0.25">
      <c r="B120" s="5">
        <v>2003</v>
      </c>
      <c r="C120" s="4" t="s">
        <v>0</v>
      </c>
      <c r="D120" s="19">
        <v>270380</v>
      </c>
      <c r="E120" s="19">
        <v>200471</v>
      </c>
      <c r="F120" s="6"/>
      <c r="G120" s="15"/>
      <c r="H120" s="98">
        <f t="shared" si="2"/>
        <v>74.144167468007993</v>
      </c>
      <c r="I120" s="75">
        <v>76.293399761980439</v>
      </c>
      <c r="J120" s="103">
        <f t="shared" si="3"/>
        <v>-2.149232293972446</v>
      </c>
    </row>
    <row r="121" spans="2:10" x14ac:dyDescent="0.25">
      <c r="B121" s="5"/>
      <c r="C121" s="4" t="s">
        <v>1</v>
      </c>
      <c r="D121" s="19">
        <v>272258</v>
      </c>
      <c r="E121" s="19">
        <v>201933</v>
      </c>
      <c r="F121" s="6"/>
      <c r="G121" s="15"/>
      <c r="H121" s="98">
        <f t="shared" si="2"/>
        <v>74.169721367232555</v>
      </c>
      <c r="I121" s="75">
        <v>76.153418161585819</v>
      </c>
      <c r="J121" s="103">
        <f t="shared" si="3"/>
        <v>-1.9836967943532642</v>
      </c>
    </row>
    <row r="122" spans="2:10" x14ac:dyDescent="0.25">
      <c r="B122" s="5"/>
      <c r="C122" s="4" t="s">
        <v>2</v>
      </c>
      <c r="D122" s="19">
        <v>273870</v>
      </c>
      <c r="E122" s="19">
        <v>204501</v>
      </c>
      <c r="F122" s="6"/>
      <c r="G122" s="15"/>
      <c r="H122" s="98">
        <f t="shared" si="2"/>
        <v>74.670829225544963</v>
      </c>
      <c r="I122" s="75">
        <v>76.672964176441056</v>
      </c>
      <c r="J122" s="103">
        <f t="shared" si="3"/>
        <v>-2.0021349508960924</v>
      </c>
    </row>
    <row r="123" spans="2:10" x14ac:dyDescent="0.25">
      <c r="B123" s="5"/>
      <c r="C123" s="4" t="s">
        <v>3</v>
      </c>
      <c r="D123" s="19">
        <v>277197</v>
      </c>
      <c r="E123" s="19">
        <v>208062</v>
      </c>
      <c r="F123" s="6"/>
      <c r="G123" s="15"/>
      <c r="H123" s="98">
        <f t="shared" si="2"/>
        <v>75.05925388802909</v>
      </c>
      <c r="I123" s="75">
        <v>77.096784590097016</v>
      </c>
      <c r="J123" s="103">
        <f t="shared" si="3"/>
        <v>-2.0375307020679259</v>
      </c>
    </row>
    <row r="124" spans="2:10" x14ac:dyDescent="0.25">
      <c r="B124" s="5">
        <v>2004</v>
      </c>
      <c r="C124" s="4" t="s">
        <v>0</v>
      </c>
      <c r="D124" s="19">
        <v>278225</v>
      </c>
      <c r="E124" s="19">
        <v>209541</v>
      </c>
      <c r="F124" s="6"/>
      <c r="G124" s="15"/>
      <c r="H124" s="98">
        <f t="shared" si="2"/>
        <v>75.31350525653697</v>
      </c>
      <c r="I124" s="75">
        <v>77.215593879212335</v>
      </c>
      <c r="J124" s="103">
        <f t="shared" si="3"/>
        <v>-1.9020886226753646</v>
      </c>
    </row>
    <row r="125" spans="2:10" x14ac:dyDescent="0.25">
      <c r="B125" s="5"/>
      <c r="C125" s="4" t="s">
        <v>1</v>
      </c>
      <c r="D125" s="19">
        <v>280596</v>
      </c>
      <c r="E125" s="19">
        <v>212379</v>
      </c>
      <c r="F125" s="6"/>
      <c r="G125" s="15"/>
      <c r="H125" s="98">
        <f t="shared" si="2"/>
        <v>75.688534405337222</v>
      </c>
      <c r="I125" s="75">
        <v>77.366075206634889</v>
      </c>
      <c r="J125" s="103">
        <f t="shared" si="3"/>
        <v>-1.6775408012976669</v>
      </c>
    </row>
    <row r="126" spans="2:10" x14ac:dyDescent="0.25">
      <c r="B126" s="5"/>
      <c r="C126" s="4" t="s">
        <v>2</v>
      </c>
      <c r="D126" s="19">
        <v>282733</v>
      </c>
      <c r="E126" s="19">
        <v>215027</v>
      </c>
      <c r="F126" s="6"/>
      <c r="G126" s="15"/>
      <c r="H126" s="98">
        <f t="shared" si="2"/>
        <v>76.053025292413693</v>
      </c>
      <c r="I126" s="75">
        <v>77.723664531963038</v>
      </c>
      <c r="J126" s="103">
        <f t="shared" si="3"/>
        <v>-1.6706392395493452</v>
      </c>
    </row>
    <row r="127" spans="2:10" x14ac:dyDescent="0.25">
      <c r="B127" s="5"/>
      <c r="C127" s="4" t="s">
        <v>3</v>
      </c>
      <c r="D127" s="19">
        <v>283475</v>
      </c>
      <c r="E127" s="19">
        <v>216836</v>
      </c>
      <c r="F127" s="6"/>
      <c r="G127" s="15"/>
      <c r="H127" s="98">
        <f t="shared" si="2"/>
        <v>76.492106887732604</v>
      </c>
      <c r="I127" s="75">
        <v>78.475954202508362</v>
      </c>
      <c r="J127" s="103">
        <f t="shared" si="3"/>
        <v>-1.9838473147757583</v>
      </c>
    </row>
    <row r="128" spans="2:10" x14ac:dyDescent="0.25">
      <c r="B128" s="5">
        <v>2005</v>
      </c>
      <c r="C128" s="4" t="s">
        <v>0</v>
      </c>
      <c r="D128" s="19">
        <v>285022</v>
      </c>
      <c r="E128" s="19">
        <v>219019</v>
      </c>
      <c r="F128" s="6"/>
      <c r="G128" s="15"/>
      <c r="H128" s="98">
        <f t="shared" si="2"/>
        <v>76.842840201808983</v>
      </c>
      <c r="I128" s="75">
        <v>78.637458602118301</v>
      </c>
      <c r="J128" s="103">
        <f t="shared" si="3"/>
        <v>-1.794618400309318</v>
      </c>
    </row>
    <row r="129" spans="2:10" x14ac:dyDescent="0.25">
      <c r="B129" s="5"/>
      <c r="C129" s="4" t="s">
        <v>1</v>
      </c>
      <c r="D129" s="19">
        <v>287751</v>
      </c>
      <c r="E129" s="19">
        <v>221682</v>
      </c>
      <c r="F129" s="6"/>
      <c r="G129" s="15"/>
      <c r="H129" s="98">
        <f t="shared" si="2"/>
        <v>77.039523754913091</v>
      </c>
      <c r="I129" s="75">
        <v>78.887391630170995</v>
      </c>
      <c r="J129" s="103">
        <f t="shared" si="3"/>
        <v>-1.8478678752579043</v>
      </c>
    </row>
    <row r="130" spans="2:10" x14ac:dyDescent="0.25">
      <c r="B130" s="5"/>
      <c r="C130" s="4" t="s">
        <v>2</v>
      </c>
      <c r="D130" s="19">
        <v>289978</v>
      </c>
      <c r="E130" s="19">
        <v>224728</v>
      </c>
      <c r="F130" s="6"/>
      <c r="G130" s="15"/>
      <c r="H130" s="98">
        <f t="shared" si="2"/>
        <v>77.498292973949745</v>
      </c>
      <c r="I130" s="75">
        <v>79.441708390073757</v>
      </c>
      <c r="J130" s="103">
        <f t="shared" si="3"/>
        <v>-1.9434154161240116</v>
      </c>
    </row>
    <row r="131" spans="2:10" x14ac:dyDescent="0.25">
      <c r="B131" s="5"/>
      <c r="C131" s="4" t="s">
        <v>3</v>
      </c>
      <c r="D131" s="19">
        <v>290001</v>
      </c>
      <c r="E131" s="19">
        <v>226866</v>
      </c>
      <c r="F131" s="6"/>
      <c r="G131" s="15"/>
      <c r="H131" s="98">
        <f t="shared" si="2"/>
        <v>78.229385415912361</v>
      </c>
      <c r="I131" s="75">
        <v>80.069682840600493</v>
      </c>
      <c r="J131" s="103">
        <f t="shared" si="3"/>
        <v>-1.8402974246881314</v>
      </c>
    </row>
    <row r="132" spans="2:10" x14ac:dyDescent="0.25">
      <c r="B132" s="5">
        <v>2006</v>
      </c>
      <c r="C132" s="4" t="s">
        <v>0</v>
      </c>
      <c r="D132" s="19">
        <v>292005</v>
      </c>
      <c r="E132" s="19">
        <v>229983</v>
      </c>
      <c r="F132" s="6"/>
      <c r="G132" s="15"/>
      <c r="H132" s="98">
        <f t="shared" si="2"/>
        <v>78.759952740535269</v>
      </c>
      <c r="I132" s="75">
        <v>80.48605361431089</v>
      </c>
      <c r="J132" s="103">
        <f t="shared" si="3"/>
        <v>-1.7261008737756214</v>
      </c>
    </row>
    <row r="133" spans="2:10" x14ac:dyDescent="0.25">
      <c r="B133" s="5"/>
      <c r="C133" s="4" t="s">
        <v>1</v>
      </c>
      <c r="D133" s="19">
        <v>291104</v>
      </c>
      <c r="E133" s="19">
        <v>231990</v>
      </c>
      <c r="F133" s="6"/>
      <c r="G133" s="15"/>
      <c r="H133" s="98">
        <f t="shared" si="2"/>
        <v>79.693168077388151</v>
      </c>
      <c r="I133" s="75">
        <v>81.149885390113113</v>
      </c>
      <c r="J133" s="103">
        <f t="shared" si="3"/>
        <v>-1.4567173127249617</v>
      </c>
    </row>
    <row r="134" spans="2:10" x14ac:dyDescent="0.25">
      <c r="B134" s="5"/>
      <c r="C134" s="4" t="s">
        <v>2</v>
      </c>
      <c r="D134" s="19">
        <v>293688</v>
      </c>
      <c r="E134" s="19">
        <v>236207</v>
      </c>
      <c r="F134" s="6"/>
      <c r="G134" s="15"/>
      <c r="H134" s="98">
        <f t="shared" si="2"/>
        <v>80.427869031080604</v>
      </c>
      <c r="I134" s="75">
        <v>81.797582575234472</v>
      </c>
      <c r="J134" s="103">
        <f t="shared" si="3"/>
        <v>-1.3697135441538677</v>
      </c>
    </row>
    <row r="135" spans="2:10" x14ac:dyDescent="0.25">
      <c r="B135" s="5"/>
      <c r="C135" s="4" t="s">
        <v>3</v>
      </c>
      <c r="D135" s="19">
        <v>295510</v>
      </c>
      <c r="E135" s="19">
        <v>238169</v>
      </c>
      <c r="F135" s="6"/>
      <c r="G135" s="15"/>
      <c r="H135" s="98">
        <f t="shared" si="2"/>
        <v>80.595918919833508</v>
      </c>
      <c r="I135" s="75">
        <v>82.557783276938878</v>
      </c>
      <c r="J135" s="103">
        <f t="shared" si="3"/>
        <v>-1.9618643571053695</v>
      </c>
    </row>
    <row r="136" spans="2:10" x14ac:dyDescent="0.25">
      <c r="B136" s="5">
        <v>2007</v>
      </c>
      <c r="C136" s="4" t="s">
        <v>0</v>
      </c>
      <c r="D136" s="19">
        <v>303409</v>
      </c>
      <c r="E136" s="19">
        <v>243353</v>
      </c>
      <c r="F136" s="6"/>
      <c r="G136" s="15"/>
      <c r="H136" s="98">
        <f t="shared" si="2"/>
        <v>80.206256241574906</v>
      </c>
      <c r="I136" s="75">
        <v>82.411686586985383</v>
      </c>
      <c r="J136" s="103">
        <f t="shared" si="3"/>
        <v>-2.2054303454104769</v>
      </c>
    </row>
    <row r="137" spans="2:10" x14ac:dyDescent="0.25">
      <c r="B137" s="5"/>
      <c r="C137" s="4" t="s">
        <v>1</v>
      </c>
      <c r="D137" s="19">
        <v>301544</v>
      </c>
      <c r="E137" s="19">
        <v>244983</v>
      </c>
      <c r="F137" s="6"/>
      <c r="G137" s="15"/>
      <c r="H137" s="98">
        <f t="shared" ref="H137:H197" si="4">E137/D137*100</f>
        <v>81.242870028917835</v>
      </c>
      <c r="I137" s="75">
        <v>83.173253608001673</v>
      </c>
      <c r="J137" s="103">
        <f t="shared" ref="J137:J183" si="5">H137-I137</f>
        <v>-1.9303835790838377</v>
      </c>
    </row>
    <row r="138" spans="2:10" x14ac:dyDescent="0.25">
      <c r="B138" s="5"/>
      <c r="C138" s="4" t="s">
        <v>2</v>
      </c>
      <c r="D138" s="19">
        <v>305751</v>
      </c>
      <c r="E138" s="19">
        <v>249248</v>
      </c>
      <c r="F138" s="6"/>
      <c r="G138" s="15"/>
      <c r="H138" s="98">
        <f t="shared" si="4"/>
        <v>81.5199296159293</v>
      </c>
      <c r="I138" s="75">
        <v>83.081531648866886</v>
      </c>
      <c r="J138" s="103">
        <f t="shared" si="5"/>
        <v>-1.5616020329375857</v>
      </c>
    </row>
    <row r="139" spans="2:10" x14ac:dyDescent="0.25">
      <c r="B139" s="5"/>
      <c r="C139" s="4" t="s">
        <v>3</v>
      </c>
      <c r="D139" s="19">
        <v>306159</v>
      </c>
      <c r="E139" s="19">
        <v>250615</v>
      </c>
      <c r="F139" s="6"/>
      <c r="G139" s="15"/>
      <c r="H139" s="98">
        <f t="shared" si="4"/>
        <v>81.857792846200823</v>
      </c>
      <c r="I139" s="75">
        <v>83.869705565880864</v>
      </c>
      <c r="J139" s="103">
        <f t="shared" si="5"/>
        <v>-2.0119127196800406</v>
      </c>
    </row>
    <row r="140" spans="2:10" x14ac:dyDescent="0.25">
      <c r="B140" s="5">
        <v>2008</v>
      </c>
      <c r="C140" s="4" t="s">
        <v>0</v>
      </c>
      <c r="D140" s="19">
        <v>301499</v>
      </c>
      <c r="E140" s="19">
        <v>250309</v>
      </c>
      <c r="F140" s="6"/>
      <c r="G140" s="15"/>
      <c r="H140" s="98">
        <f t="shared" si="4"/>
        <v>83.021502558880783</v>
      </c>
      <c r="I140" s="75">
        <v>85.144748657218884</v>
      </c>
      <c r="J140" s="103">
        <f t="shared" si="5"/>
        <v>-2.1232460983381003</v>
      </c>
    </row>
    <row r="141" spans="2:10" x14ac:dyDescent="0.25">
      <c r="B141" s="5"/>
      <c r="C141" s="4" t="s">
        <v>1</v>
      </c>
      <c r="D141" s="19">
        <v>304834</v>
      </c>
      <c r="E141" s="19">
        <v>256582</v>
      </c>
      <c r="F141" s="6"/>
      <c r="G141" s="15"/>
      <c r="H141" s="98">
        <f t="shared" si="4"/>
        <v>84.171057034320313</v>
      </c>
      <c r="I141" s="75">
        <v>85.981446418082356</v>
      </c>
      <c r="J141" s="103">
        <f t="shared" si="5"/>
        <v>-1.8103893837620433</v>
      </c>
    </row>
    <row r="142" spans="2:10" x14ac:dyDescent="0.25">
      <c r="B142" s="5"/>
      <c r="C142" s="4" t="s">
        <v>2</v>
      </c>
      <c r="D142" s="19">
        <v>299233</v>
      </c>
      <c r="E142" s="19">
        <v>256088</v>
      </c>
      <c r="F142" s="6"/>
      <c r="G142" s="15"/>
      <c r="H142" s="98">
        <f t="shared" si="4"/>
        <v>85.581469958193111</v>
      </c>
      <c r="I142" s="75">
        <v>87.040995331903943</v>
      </c>
      <c r="J142" s="103">
        <f t="shared" si="5"/>
        <v>-1.4595253737108322</v>
      </c>
    </row>
    <row r="143" spans="2:10" x14ac:dyDescent="0.25">
      <c r="B143" s="5"/>
      <c r="C143" s="4" t="s">
        <v>3</v>
      </c>
      <c r="D143" s="19">
        <v>304152</v>
      </c>
      <c r="E143" s="19">
        <v>259500</v>
      </c>
      <c r="F143" s="6"/>
      <c r="G143" s="15"/>
      <c r="H143" s="98">
        <f t="shared" si="4"/>
        <v>85.319182514006158</v>
      </c>
      <c r="I143" s="75">
        <v>87.777971987613086</v>
      </c>
      <c r="J143" s="103">
        <f t="shared" si="5"/>
        <v>-2.4587894736069273</v>
      </c>
    </row>
    <row r="144" spans="2:10" x14ac:dyDescent="0.25">
      <c r="B144" s="5">
        <v>2009</v>
      </c>
      <c r="C144" s="4" t="s">
        <v>0</v>
      </c>
      <c r="D144" s="19">
        <v>300744</v>
      </c>
      <c r="E144" s="19">
        <v>256684</v>
      </c>
      <c r="F144" s="6"/>
      <c r="G144" s="15"/>
      <c r="H144" s="98">
        <f t="shared" si="4"/>
        <v>85.349666161253424</v>
      </c>
      <c r="I144" s="75">
        <v>87.053215254507748</v>
      </c>
      <c r="J144" s="103">
        <f t="shared" si="5"/>
        <v>-1.703549093254324</v>
      </c>
    </row>
    <row r="145" spans="2:10" x14ac:dyDescent="0.25">
      <c r="B145" s="5"/>
      <c r="C145" s="4" t="s">
        <v>1</v>
      </c>
      <c r="D145" s="19">
        <v>308384</v>
      </c>
      <c r="E145" s="19">
        <v>263670</v>
      </c>
      <c r="F145" s="6"/>
      <c r="G145" s="15"/>
      <c r="H145" s="98">
        <f t="shared" si="4"/>
        <v>85.50054477534502</v>
      </c>
      <c r="I145" s="75">
        <v>87.318352156554155</v>
      </c>
      <c r="J145" s="103">
        <f t="shared" si="5"/>
        <v>-1.8178073812091355</v>
      </c>
    </row>
    <row r="146" spans="2:10" x14ac:dyDescent="0.25">
      <c r="B146" s="5"/>
      <c r="C146" s="4" t="s">
        <v>2</v>
      </c>
      <c r="D146" s="19">
        <v>307773</v>
      </c>
      <c r="E146" s="19">
        <v>263193</v>
      </c>
      <c r="F146" s="6"/>
      <c r="G146" s="15"/>
      <c r="H146" s="98">
        <f t="shared" si="4"/>
        <v>85.515298612938764</v>
      </c>
      <c r="I146" s="75">
        <v>87.191441441441441</v>
      </c>
      <c r="J146" s="103">
        <f t="shared" si="5"/>
        <v>-1.6761428285026767</v>
      </c>
    </row>
    <row r="147" spans="2:10" x14ac:dyDescent="0.25">
      <c r="B147" s="5"/>
      <c r="C147" s="4" t="s">
        <v>3</v>
      </c>
      <c r="D147" s="19">
        <v>310806</v>
      </c>
      <c r="E147" s="19">
        <v>264745</v>
      </c>
      <c r="F147" s="6"/>
      <c r="G147" s="15"/>
      <c r="H147" s="98">
        <f t="shared" si="4"/>
        <v>85.180144527454431</v>
      </c>
      <c r="I147" s="75">
        <v>87.443632654893932</v>
      </c>
      <c r="J147" s="103">
        <f t="shared" si="5"/>
        <v>-2.2634881274395013</v>
      </c>
    </row>
    <row r="148" spans="2:10" x14ac:dyDescent="0.25">
      <c r="B148" s="5">
        <v>2010</v>
      </c>
      <c r="C148" s="4" t="s">
        <v>0</v>
      </c>
      <c r="D148" s="19">
        <v>310149</v>
      </c>
      <c r="E148" s="19">
        <v>264962</v>
      </c>
      <c r="F148" s="6"/>
      <c r="G148" s="15"/>
      <c r="H148" s="98">
        <f t="shared" si="4"/>
        <v>85.430551122202559</v>
      </c>
      <c r="I148" s="75">
        <v>87.80994565961916</v>
      </c>
      <c r="J148" s="103">
        <f t="shared" si="5"/>
        <v>-2.3793945374166015</v>
      </c>
    </row>
    <row r="149" spans="2:10" x14ac:dyDescent="0.25">
      <c r="B149" s="5"/>
      <c r="C149" s="4" t="s">
        <v>1</v>
      </c>
      <c r="D149" s="19">
        <v>311197</v>
      </c>
      <c r="E149" s="19">
        <v>267764</v>
      </c>
      <c r="F149" s="6"/>
      <c r="G149" s="15"/>
      <c r="H149" s="98">
        <f t="shared" si="4"/>
        <v>86.043245918180446</v>
      </c>
      <c r="I149" s="75">
        <v>88.615943164603252</v>
      </c>
      <c r="J149" s="103">
        <f t="shared" si="5"/>
        <v>-2.5726972464228055</v>
      </c>
    </row>
    <row r="150" spans="2:10" x14ac:dyDescent="0.25">
      <c r="B150" s="5"/>
      <c r="C150" s="4" t="s">
        <v>2</v>
      </c>
      <c r="D150" s="19">
        <v>309656</v>
      </c>
      <c r="E150" s="19">
        <v>268312</v>
      </c>
      <c r="F150" s="6"/>
      <c r="G150" s="15"/>
      <c r="H150" s="98">
        <f t="shared" si="4"/>
        <v>86.648409848347839</v>
      </c>
      <c r="I150" s="75">
        <v>88.851024443603009</v>
      </c>
      <c r="J150" s="103">
        <f t="shared" si="5"/>
        <v>-2.2026145952551701</v>
      </c>
    </row>
    <row r="151" spans="2:10" x14ac:dyDescent="0.25">
      <c r="B151" s="5"/>
      <c r="C151" s="4" t="s">
        <v>3</v>
      </c>
      <c r="D151" s="19">
        <v>307947</v>
      </c>
      <c r="E151" s="19">
        <v>269210</v>
      </c>
      <c r="F151" s="6"/>
      <c r="G151" s="15"/>
      <c r="H151" s="98">
        <f t="shared" si="4"/>
        <v>87.420887360487356</v>
      </c>
      <c r="I151" s="75">
        <v>89.68092217358253</v>
      </c>
      <c r="J151" s="103">
        <f t="shared" si="5"/>
        <v>-2.2600348130951744</v>
      </c>
    </row>
    <row r="152" spans="2:10" x14ac:dyDescent="0.25">
      <c r="B152" s="5">
        <v>2011</v>
      </c>
      <c r="C152" s="4" t="s">
        <v>0</v>
      </c>
      <c r="D152" s="19">
        <v>299477</v>
      </c>
      <c r="E152" s="19">
        <v>266444</v>
      </c>
      <c r="F152" s="6"/>
      <c r="G152" s="15"/>
      <c r="H152" s="98">
        <f t="shared" si="4"/>
        <v>88.969770633471015</v>
      </c>
      <c r="I152" s="75">
        <v>91.021517599229696</v>
      </c>
      <c r="J152" s="103">
        <f t="shared" si="5"/>
        <v>-2.0517469657586815</v>
      </c>
    </row>
    <row r="153" spans="2:10" x14ac:dyDescent="0.25">
      <c r="B153" s="5"/>
      <c r="C153" s="4" t="s">
        <v>1</v>
      </c>
      <c r="D153" s="19">
        <v>304046</v>
      </c>
      <c r="E153" s="19">
        <v>271932</v>
      </c>
      <c r="F153" s="12"/>
      <c r="G153" s="15"/>
      <c r="H153" s="98">
        <f t="shared" si="4"/>
        <v>89.437782440814871</v>
      </c>
      <c r="I153" s="75">
        <v>91.888020531116638</v>
      </c>
      <c r="J153" s="103">
        <f t="shared" si="5"/>
        <v>-2.4502380903017666</v>
      </c>
    </row>
    <row r="154" spans="2:10" x14ac:dyDescent="0.25">
      <c r="B154" s="5"/>
      <c r="C154" s="4" t="s">
        <v>2</v>
      </c>
      <c r="D154" s="19">
        <v>303715</v>
      </c>
      <c r="E154" s="19">
        <v>273926</v>
      </c>
      <c r="F154" s="12"/>
      <c r="G154" s="15"/>
      <c r="H154" s="98">
        <f t="shared" si="4"/>
        <v>90.191791646774107</v>
      </c>
      <c r="I154" s="75">
        <v>92.470088692235947</v>
      </c>
      <c r="J154" s="103">
        <f t="shared" si="5"/>
        <v>-2.2782970454618408</v>
      </c>
    </row>
    <row r="155" spans="2:10" x14ac:dyDescent="0.25">
      <c r="B155" s="5"/>
      <c r="C155" s="4" t="s">
        <v>3</v>
      </c>
      <c r="D155" s="19">
        <v>302161</v>
      </c>
      <c r="E155" s="19">
        <v>273773</v>
      </c>
      <c r="F155" s="12"/>
      <c r="G155" s="15"/>
      <c r="H155" s="98">
        <f t="shared" si="4"/>
        <v>90.605008588136798</v>
      </c>
      <c r="I155" s="75">
        <v>92.889408566688658</v>
      </c>
      <c r="J155" s="103">
        <f t="shared" si="5"/>
        <v>-2.2843999785518605</v>
      </c>
    </row>
    <row r="156" spans="2:10" x14ac:dyDescent="0.25">
      <c r="B156" s="5">
        <v>2012</v>
      </c>
      <c r="C156" s="4" t="s">
        <v>0</v>
      </c>
      <c r="D156" s="19">
        <v>307743</v>
      </c>
      <c r="E156" s="19">
        <v>279457</v>
      </c>
      <c r="F156" s="12"/>
      <c r="G156" s="15"/>
      <c r="H156" s="98">
        <f t="shared" si="4"/>
        <v>90.808564289033384</v>
      </c>
      <c r="I156" s="75">
        <v>93.497590910730864</v>
      </c>
      <c r="J156" s="103">
        <f t="shared" si="5"/>
        <v>-2.6890266216974794</v>
      </c>
    </row>
    <row r="157" spans="2:10" x14ac:dyDescent="0.25">
      <c r="B157" s="5"/>
      <c r="C157" s="4" t="s">
        <v>1</v>
      </c>
      <c r="D157" s="19">
        <v>309942</v>
      </c>
      <c r="E157" s="19">
        <v>283016</v>
      </c>
      <c r="F157" s="12"/>
      <c r="G157" s="15"/>
      <c r="H157" s="98">
        <f t="shared" si="4"/>
        <v>91.312568157913418</v>
      </c>
      <c r="I157" s="75">
        <v>94.114171893814913</v>
      </c>
      <c r="J157" s="103">
        <f t="shared" si="5"/>
        <v>-2.8016037359014945</v>
      </c>
    </row>
    <row r="158" spans="2:10" x14ac:dyDescent="0.25">
      <c r="B158" s="5"/>
      <c r="C158" s="4" t="s">
        <v>2</v>
      </c>
      <c r="D158" s="19">
        <v>310460</v>
      </c>
      <c r="E158" s="19">
        <v>283230</v>
      </c>
      <c r="F158" s="12"/>
      <c r="G158" s="15"/>
      <c r="H158" s="98">
        <f t="shared" si="4"/>
        <v>91.229143851059717</v>
      </c>
      <c r="I158" s="75">
        <v>93.864602540463011</v>
      </c>
      <c r="J158" s="103">
        <f t="shared" si="5"/>
        <v>-2.6354586894032934</v>
      </c>
    </row>
    <row r="159" spans="2:10" x14ac:dyDescent="0.25">
      <c r="B159" s="5"/>
      <c r="C159" s="4" t="s">
        <v>3</v>
      </c>
      <c r="D159" s="19">
        <v>309127</v>
      </c>
      <c r="E159" s="19">
        <v>284318</v>
      </c>
      <c r="F159" s="12"/>
      <c r="G159" s="15"/>
      <c r="H159" s="98">
        <f t="shared" si="4"/>
        <v>91.974495919152972</v>
      </c>
      <c r="I159" s="75">
        <v>94.66635292904158</v>
      </c>
      <c r="J159" s="103">
        <f t="shared" si="5"/>
        <v>-2.6918570098886079</v>
      </c>
    </row>
    <row r="160" spans="2:10" x14ac:dyDescent="0.25">
      <c r="B160" s="5">
        <v>2013</v>
      </c>
      <c r="C160" s="4" t="s">
        <v>0</v>
      </c>
      <c r="D160" s="19">
        <v>306998</v>
      </c>
      <c r="E160" s="19">
        <v>284720</v>
      </c>
      <c r="F160" s="12"/>
      <c r="G160" s="15"/>
      <c r="H160" s="98">
        <f t="shared" si="4"/>
        <v>92.743275200489904</v>
      </c>
      <c r="I160" s="75">
        <v>95.49278276363755</v>
      </c>
      <c r="J160" s="103">
        <f t="shared" si="5"/>
        <v>-2.7495075631476453</v>
      </c>
    </row>
    <row r="161" spans="2:10" x14ac:dyDescent="0.25">
      <c r="B161" s="5"/>
      <c r="C161" s="4" t="s">
        <v>1</v>
      </c>
      <c r="D161" s="19">
        <v>313566</v>
      </c>
      <c r="E161" s="19">
        <v>292583</v>
      </c>
      <c r="F161" s="47"/>
      <c r="G161" s="15"/>
      <c r="H161" s="98">
        <f t="shared" si="4"/>
        <v>93.308266840154857</v>
      </c>
      <c r="I161" s="75">
        <v>96.167405093551778</v>
      </c>
      <c r="J161" s="103">
        <f t="shared" si="5"/>
        <v>-2.859138253396921</v>
      </c>
    </row>
    <row r="162" spans="2:10" x14ac:dyDescent="0.25">
      <c r="B162" s="5"/>
      <c r="C162" s="4" t="s">
        <v>2</v>
      </c>
      <c r="D162" s="19">
        <v>320246</v>
      </c>
      <c r="E162" s="19">
        <v>299252</v>
      </c>
      <c r="F162" s="47"/>
      <c r="G162" s="15"/>
      <c r="H162" s="98">
        <f t="shared" si="4"/>
        <v>93.444414606271437</v>
      </c>
      <c r="I162" s="75">
        <v>96.349470503984932</v>
      </c>
      <c r="J162" s="103">
        <f t="shared" si="5"/>
        <v>-2.9050558977134955</v>
      </c>
    </row>
    <row r="163" spans="2:10" x14ac:dyDescent="0.25">
      <c r="B163" s="5"/>
      <c r="C163" s="4" t="s">
        <v>3</v>
      </c>
      <c r="D163" s="19">
        <v>322666</v>
      </c>
      <c r="E163" s="19">
        <v>301959</v>
      </c>
      <c r="F163" s="47"/>
      <c r="G163" s="15"/>
      <c r="H163" s="98">
        <f t="shared" si="4"/>
        <v>93.582528063074506</v>
      </c>
      <c r="I163" s="75">
        <v>96.801557458268761</v>
      </c>
      <c r="J163" s="103">
        <f t="shared" si="5"/>
        <v>-3.219029395194255</v>
      </c>
    </row>
    <row r="164" spans="2:10" x14ac:dyDescent="0.25">
      <c r="B164" s="5">
        <v>2014</v>
      </c>
      <c r="C164" s="4" t="s">
        <v>0</v>
      </c>
      <c r="D164" s="19">
        <v>321768</v>
      </c>
      <c r="E164" s="19">
        <v>301986</v>
      </c>
      <c r="F164" s="47"/>
      <c r="G164" s="15"/>
      <c r="H164" s="98">
        <f t="shared" si="4"/>
        <v>93.852092190646673</v>
      </c>
      <c r="I164" s="75">
        <v>97.448437099666918</v>
      </c>
      <c r="J164" s="103">
        <f t="shared" si="5"/>
        <v>-3.596344909020246</v>
      </c>
    </row>
    <row r="165" spans="2:10" x14ac:dyDescent="0.25">
      <c r="B165" s="7"/>
      <c r="C165" s="4" t="s">
        <v>1</v>
      </c>
      <c r="D165" s="19">
        <v>323219</v>
      </c>
      <c r="E165" s="19">
        <v>305177</v>
      </c>
      <c r="F165" s="47"/>
      <c r="G165" s="15"/>
      <c r="H165" s="98">
        <f t="shared" si="4"/>
        <v>94.418026168016112</v>
      </c>
      <c r="I165" s="75">
        <v>98.149804518977618</v>
      </c>
      <c r="J165" s="103">
        <f t="shared" si="5"/>
        <v>-3.7317783509615055</v>
      </c>
    </row>
    <row r="166" spans="2:10" x14ac:dyDescent="0.25">
      <c r="B166" s="8"/>
      <c r="C166" s="9" t="s">
        <v>2</v>
      </c>
      <c r="D166" s="19">
        <v>323035</v>
      </c>
      <c r="E166" s="19">
        <v>304627</v>
      </c>
      <c r="F166" s="47"/>
      <c r="G166" s="15"/>
      <c r="H166" s="98">
        <f t="shared" si="4"/>
        <v>94.301546272075782</v>
      </c>
      <c r="I166" s="75">
        <v>98.192349188923174</v>
      </c>
      <c r="J166" s="103">
        <f t="shared" si="5"/>
        <v>-3.8908029168473917</v>
      </c>
    </row>
    <row r="167" spans="2:10" x14ac:dyDescent="0.25">
      <c r="B167" s="8"/>
      <c r="C167" s="8" t="s">
        <v>3</v>
      </c>
      <c r="D167" s="19">
        <v>326364</v>
      </c>
      <c r="E167" s="19">
        <v>308107</v>
      </c>
      <c r="F167" s="47"/>
      <c r="G167" s="15"/>
      <c r="H167" s="98">
        <f t="shared" si="4"/>
        <v>94.405939380568938</v>
      </c>
      <c r="I167" s="75">
        <v>98.500457234570675</v>
      </c>
      <c r="J167" s="103">
        <f t="shared" si="5"/>
        <v>-4.0945178540017366</v>
      </c>
    </row>
    <row r="168" spans="2:10" x14ac:dyDescent="0.25">
      <c r="B168" s="8">
        <v>2015</v>
      </c>
      <c r="C168" s="8" t="s">
        <v>0</v>
      </c>
      <c r="D168" s="19">
        <v>334106</v>
      </c>
      <c r="E168" s="19">
        <v>312914</v>
      </c>
      <c r="F168" s="47"/>
      <c r="G168" s="15"/>
      <c r="H168" s="98">
        <f t="shared" si="4"/>
        <v>93.657102835627015</v>
      </c>
      <c r="I168" s="75">
        <v>98.332959258655734</v>
      </c>
      <c r="J168" s="103">
        <f t="shared" si="5"/>
        <v>-4.6758564230287192</v>
      </c>
    </row>
    <row r="169" spans="2:10" x14ac:dyDescent="0.25">
      <c r="B169" s="8"/>
      <c r="C169" s="8" t="s">
        <v>1</v>
      </c>
      <c r="D169" s="19">
        <v>341700</v>
      </c>
      <c r="E169" s="19">
        <v>320720</v>
      </c>
      <c r="F169" s="47"/>
      <c r="G169" s="15"/>
      <c r="H169" s="98">
        <f t="shared" si="4"/>
        <v>93.860111208662573</v>
      </c>
      <c r="I169" s="75">
        <v>98.525648762824375</v>
      </c>
      <c r="J169" s="103">
        <f t="shared" si="5"/>
        <v>-4.6655375541618014</v>
      </c>
    </row>
    <row r="170" spans="2:10" x14ac:dyDescent="0.25">
      <c r="B170" s="8"/>
      <c r="C170" s="8" t="s">
        <v>2</v>
      </c>
      <c r="D170" s="19">
        <v>350818</v>
      </c>
      <c r="E170" s="19">
        <v>329448</v>
      </c>
      <c r="F170" s="47"/>
      <c r="G170" s="15"/>
      <c r="H170" s="98">
        <f t="shared" si="4"/>
        <v>93.908522367723435</v>
      </c>
      <c r="I170" s="75">
        <v>98.224199570053941</v>
      </c>
      <c r="J170" s="103">
        <f t="shared" si="5"/>
        <v>-4.3156772023305052</v>
      </c>
    </row>
    <row r="171" spans="2:10" x14ac:dyDescent="0.25">
      <c r="B171" s="8"/>
      <c r="C171" s="8" t="s">
        <v>3</v>
      </c>
      <c r="D171" s="19">
        <v>348669</v>
      </c>
      <c r="E171" s="19">
        <v>328791</v>
      </c>
      <c r="F171" s="47"/>
      <c r="G171" s="15"/>
      <c r="H171" s="98">
        <f t="shared" si="4"/>
        <v>94.298890925204134</v>
      </c>
      <c r="I171" s="75">
        <v>99.192716562427336</v>
      </c>
      <c r="J171" s="103">
        <f t="shared" si="5"/>
        <v>-4.8938256372232019</v>
      </c>
    </row>
    <row r="172" spans="2:10" x14ac:dyDescent="0.25">
      <c r="B172" s="8">
        <v>2016</v>
      </c>
      <c r="C172" s="8" t="s">
        <v>0</v>
      </c>
      <c r="D172" s="19">
        <v>347897</v>
      </c>
      <c r="E172" s="19">
        <v>327757</v>
      </c>
      <c r="F172" s="47"/>
      <c r="G172" s="15"/>
      <c r="H172" s="98">
        <f t="shared" si="4"/>
        <v>94.210930246595964</v>
      </c>
      <c r="I172" s="75">
        <v>99.399207813019686</v>
      </c>
      <c r="J172" s="103">
        <f t="shared" si="5"/>
        <v>-5.1882775664237215</v>
      </c>
    </row>
    <row r="173" spans="2:10" x14ac:dyDescent="0.25">
      <c r="B173" s="8"/>
      <c r="C173" s="8" t="s">
        <v>1</v>
      </c>
      <c r="D173" s="19">
        <v>348268</v>
      </c>
      <c r="E173" s="19">
        <v>329661</v>
      </c>
      <c r="F173" s="47"/>
      <c r="G173" s="15"/>
      <c r="H173" s="98">
        <f t="shared" si="4"/>
        <v>94.657275431564202</v>
      </c>
      <c r="I173" s="75">
        <v>99.78654453267005</v>
      </c>
      <c r="J173" s="103">
        <f t="shared" si="5"/>
        <v>-5.129269101105848</v>
      </c>
    </row>
    <row r="174" spans="2:10" x14ac:dyDescent="0.25">
      <c r="B174" s="8"/>
      <c r="C174" s="8" t="s">
        <v>2</v>
      </c>
      <c r="D174" s="19">
        <v>345978</v>
      </c>
      <c r="E174" s="19">
        <v>330112</v>
      </c>
      <c r="F174" s="47"/>
      <c r="G174" s="15"/>
      <c r="H174" s="98">
        <f t="shared" si="4"/>
        <v>95.414159281804046</v>
      </c>
      <c r="I174" s="75">
        <v>99.914290628911047</v>
      </c>
      <c r="J174" s="103">
        <f t="shared" si="5"/>
        <v>-4.5001313471070006</v>
      </c>
    </row>
    <row r="175" spans="2:10" x14ac:dyDescent="0.25">
      <c r="B175" s="8"/>
      <c r="C175" s="8" t="s">
        <v>3</v>
      </c>
      <c r="D175" s="19">
        <v>342076</v>
      </c>
      <c r="E175" s="19">
        <v>328802</v>
      </c>
      <c r="F175" s="47"/>
      <c r="G175" s="15"/>
      <c r="H175" s="98">
        <f t="shared" si="4"/>
        <v>96.119575766788671</v>
      </c>
      <c r="I175" s="75">
        <v>100.90574496766278</v>
      </c>
      <c r="J175" s="103">
        <f t="shared" si="5"/>
        <v>-4.786169200874113</v>
      </c>
    </row>
    <row r="176" spans="2:10" x14ac:dyDescent="0.25">
      <c r="B176" s="8">
        <v>2017</v>
      </c>
      <c r="C176" s="8" t="s">
        <v>0</v>
      </c>
      <c r="D176" s="19">
        <v>342771</v>
      </c>
      <c r="E176" s="19">
        <v>328884</v>
      </c>
      <c r="F176" s="47"/>
      <c r="G176" s="10"/>
      <c r="H176" s="98">
        <f t="shared" si="4"/>
        <v>95.948607087530746</v>
      </c>
      <c r="I176" s="75">
        <v>101.68032200847614</v>
      </c>
      <c r="J176" s="103">
        <f t="shared" si="5"/>
        <v>-5.731714920945393</v>
      </c>
    </row>
    <row r="177" spans="2:10" x14ac:dyDescent="0.25">
      <c r="B177" s="8"/>
      <c r="C177" s="8" t="s">
        <v>1</v>
      </c>
      <c r="D177" s="19">
        <v>351504</v>
      </c>
      <c r="E177" s="19">
        <v>339392</v>
      </c>
      <c r="F177" s="47"/>
      <c r="G177" s="10"/>
      <c r="H177" s="98">
        <f t="shared" si="4"/>
        <v>96.554235513678364</v>
      </c>
      <c r="I177" s="75">
        <v>101.8754572653894</v>
      </c>
      <c r="J177" s="103">
        <f t="shared" si="5"/>
        <v>-5.3212217517110361</v>
      </c>
    </row>
    <row r="178" spans="2:10" x14ac:dyDescent="0.25">
      <c r="B178" s="8"/>
      <c r="C178" s="8" t="s">
        <v>2</v>
      </c>
      <c r="D178" s="19">
        <v>352186</v>
      </c>
      <c r="E178" s="19">
        <v>341199</v>
      </c>
      <c r="F178" s="47"/>
      <c r="G178" s="10"/>
      <c r="H178" s="98">
        <f t="shared" si="4"/>
        <v>96.880341637657381</v>
      </c>
      <c r="I178" s="75">
        <v>102.02058960882124</v>
      </c>
      <c r="J178" s="103">
        <f t="shared" si="5"/>
        <v>-5.1402479711638591</v>
      </c>
    </row>
    <row r="179" spans="2:10" x14ac:dyDescent="0.25">
      <c r="B179" s="8"/>
      <c r="C179" s="8" t="s">
        <v>3</v>
      </c>
      <c r="D179" s="19">
        <v>352330</v>
      </c>
      <c r="E179" s="19">
        <v>343127</v>
      </c>
      <c r="F179" s="47"/>
      <c r="G179" s="10"/>
      <c r="H179" s="98">
        <f t="shared" si="4"/>
        <v>97.3879601509948</v>
      </c>
      <c r="I179" s="75">
        <v>102.75978547512518</v>
      </c>
      <c r="J179" s="103">
        <f t="shared" si="5"/>
        <v>-5.3718253241303842</v>
      </c>
    </row>
    <row r="180" spans="2:10" x14ac:dyDescent="0.25">
      <c r="B180" s="8">
        <v>2018</v>
      </c>
      <c r="C180" s="8" t="s">
        <v>0</v>
      </c>
      <c r="D180" s="19">
        <v>356398</v>
      </c>
      <c r="E180" s="19">
        <v>348818</v>
      </c>
      <c r="F180" s="47"/>
      <c r="G180" s="10"/>
      <c r="H180" s="98">
        <f t="shared" si="4"/>
        <v>97.873164271404448</v>
      </c>
      <c r="I180" s="75">
        <v>103.65270329033194</v>
      </c>
      <c r="J180" s="103">
        <f t="shared" si="5"/>
        <v>-5.779539018927494</v>
      </c>
    </row>
    <row r="181" spans="2:10" x14ac:dyDescent="0.25">
      <c r="B181" s="8"/>
      <c r="C181" s="8" t="s">
        <v>1</v>
      </c>
      <c r="D181" s="19">
        <v>355799</v>
      </c>
      <c r="E181" s="19">
        <v>349414</v>
      </c>
      <c r="F181" s="47"/>
      <c r="G181" s="10"/>
      <c r="H181" s="98">
        <f t="shared" si="4"/>
        <v>98.205447457693808</v>
      </c>
      <c r="I181" s="75">
        <v>104.06126609567774</v>
      </c>
      <c r="J181" s="103">
        <f t="shared" si="5"/>
        <v>-5.8558186379839299</v>
      </c>
    </row>
    <row r="182" spans="2:10" x14ac:dyDescent="0.25">
      <c r="B182" s="8"/>
      <c r="C182" s="8" t="s">
        <v>2</v>
      </c>
      <c r="D182" s="19">
        <v>357855</v>
      </c>
      <c r="E182" s="19">
        <v>352161</v>
      </c>
      <c r="F182" s="47"/>
      <c r="G182" s="10"/>
      <c r="H182" s="98">
        <f t="shared" si="4"/>
        <v>98.408852747621239</v>
      </c>
      <c r="I182" s="75">
        <v>104.60378020435908</v>
      </c>
      <c r="J182" s="103">
        <f t="shared" si="5"/>
        <v>-6.1949274567378438</v>
      </c>
    </row>
    <row r="183" spans="2:10" x14ac:dyDescent="0.25">
      <c r="B183" s="8"/>
      <c r="C183" s="8" t="s">
        <v>3</v>
      </c>
      <c r="D183" s="19">
        <v>362329</v>
      </c>
      <c r="E183" s="19">
        <v>358463</v>
      </c>
      <c r="F183" s="47"/>
      <c r="G183" s="10"/>
      <c r="H183" s="98">
        <f t="shared" si="4"/>
        <v>98.933013918289731</v>
      </c>
      <c r="I183" s="75">
        <v>105.21803918385334</v>
      </c>
      <c r="J183" s="103">
        <f t="shared" si="5"/>
        <v>-6.2850252655636041</v>
      </c>
    </row>
    <row r="184" spans="2:10" x14ac:dyDescent="0.25">
      <c r="B184">
        <v>2019</v>
      </c>
      <c r="C184" s="8" t="s">
        <v>0</v>
      </c>
      <c r="D184" s="19">
        <v>361096</v>
      </c>
      <c r="E184" s="19">
        <v>358176</v>
      </c>
      <c r="F184" s="47"/>
      <c r="G184" s="11"/>
      <c r="H184" s="98">
        <f t="shared" si="4"/>
        <v>99.1913507765248</v>
      </c>
    </row>
    <row r="185" spans="2:10" x14ac:dyDescent="0.25">
      <c r="C185" s="8" t="s">
        <v>1</v>
      </c>
      <c r="D185" s="19">
        <v>366935</v>
      </c>
      <c r="E185" s="19">
        <v>366169</v>
      </c>
      <c r="F185" s="47"/>
      <c r="G185" s="11"/>
      <c r="H185" s="98">
        <f t="shared" si="4"/>
        <v>99.7912436807609</v>
      </c>
    </row>
    <row r="186" spans="2:10" x14ac:dyDescent="0.25">
      <c r="C186" s="8" t="s">
        <v>2</v>
      </c>
      <c r="D186" s="19">
        <v>366845</v>
      </c>
      <c r="E186" s="19">
        <v>368023</v>
      </c>
      <c r="F186" s="47"/>
      <c r="G186" s="11"/>
      <c r="H186" s="98">
        <f t="shared" si="4"/>
        <v>100.32111654786083</v>
      </c>
    </row>
    <row r="187" spans="2:10" x14ac:dyDescent="0.25">
      <c r="C187" s="8" t="s">
        <v>3</v>
      </c>
      <c r="D187" s="19">
        <v>367404</v>
      </c>
      <c r="E187" s="19">
        <v>369912</v>
      </c>
      <c r="F187" s="47"/>
      <c r="G187" s="11"/>
      <c r="H187" s="98">
        <f t="shared" si="4"/>
        <v>100.68262729855961</v>
      </c>
    </row>
    <row r="188" spans="2:10" x14ac:dyDescent="0.25">
      <c r="B188">
        <v>2020</v>
      </c>
      <c r="C188" s="8" t="s">
        <v>0</v>
      </c>
      <c r="D188" s="19">
        <v>361400</v>
      </c>
      <c r="E188" s="19">
        <v>363376</v>
      </c>
      <c r="F188" s="47"/>
      <c r="G188" s="11"/>
      <c r="H188" s="98">
        <f t="shared" si="4"/>
        <v>100.54676258992805</v>
      </c>
    </row>
    <row r="189" spans="2:10" x14ac:dyDescent="0.25">
      <c r="C189" s="8" t="s">
        <v>1</v>
      </c>
      <c r="D189" s="19">
        <v>354718</v>
      </c>
      <c r="E189" s="19">
        <v>358675</v>
      </c>
      <c r="F189" s="47"/>
      <c r="G189" s="11"/>
      <c r="H189" s="98">
        <f t="shared" si="4"/>
        <v>101.11553402984906</v>
      </c>
    </row>
    <row r="190" spans="2:10" x14ac:dyDescent="0.25">
      <c r="C190" s="8" t="s">
        <v>2</v>
      </c>
      <c r="D190" s="19">
        <v>363668</v>
      </c>
      <c r="E190" s="19">
        <v>367891</v>
      </c>
      <c r="F190" s="47"/>
      <c r="G190" s="11"/>
      <c r="H190" s="98">
        <f t="shared" si="4"/>
        <v>101.1612239735143</v>
      </c>
    </row>
    <row r="191" spans="2:10" x14ac:dyDescent="0.25">
      <c r="C191" s="8" t="s">
        <v>3</v>
      </c>
      <c r="D191" s="19">
        <v>363789</v>
      </c>
      <c r="E191" s="19">
        <v>368088</v>
      </c>
      <c r="F191" s="47"/>
      <c r="G191" s="11"/>
      <c r="H191" s="98">
        <f t="shared" si="4"/>
        <v>101.18172896926517</v>
      </c>
    </row>
    <row r="192" spans="2:10" x14ac:dyDescent="0.25">
      <c r="B192">
        <v>2021</v>
      </c>
      <c r="C192" s="8" t="s">
        <v>0</v>
      </c>
      <c r="D192" s="19">
        <v>364392</v>
      </c>
      <c r="E192" s="19">
        <v>372608</v>
      </c>
      <c r="F192" s="47"/>
      <c r="G192" s="11"/>
      <c r="H192" s="98">
        <f t="shared" si="4"/>
        <v>102.25471470284748</v>
      </c>
    </row>
    <row r="193" spans="2:8" x14ac:dyDescent="0.25">
      <c r="C193" s="8" t="s">
        <v>1</v>
      </c>
      <c r="D193" s="19">
        <v>365764</v>
      </c>
      <c r="E193" s="19">
        <v>375158</v>
      </c>
      <c r="F193" s="47"/>
      <c r="G193" s="11"/>
      <c r="H193" s="98">
        <f t="shared" si="4"/>
        <v>102.56832274362704</v>
      </c>
    </row>
    <row r="194" spans="2:8" x14ac:dyDescent="0.25">
      <c r="C194" s="8" t="s">
        <v>2</v>
      </c>
      <c r="D194" s="19">
        <v>366206</v>
      </c>
      <c r="E194" s="19">
        <v>380402</v>
      </c>
      <c r="F194" s="47"/>
      <c r="G194" s="11"/>
      <c r="H194" s="98">
        <f t="shared" si="4"/>
        <v>103.87650666564721</v>
      </c>
    </row>
    <row r="195" spans="2:8" x14ac:dyDescent="0.25">
      <c r="C195" s="8" t="s">
        <v>3</v>
      </c>
      <c r="D195" s="19">
        <v>364442</v>
      </c>
      <c r="E195" s="19">
        <v>384406</v>
      </c>
      <c r="F195" s="47"/>
      <c r="G195" s="11"/>
      <c r="H195" s="98">
        <f t="shared" si="4"/>
        <v>105.47796357170689</v>
      </c>
    </row>
    <row r="196" spans="2:8" x14ac:dyDescent="0.25">
      <c r="B196">
        <v>2022</v>
      </c>
      <c r="C196" s="8" t="s">
        <v>0</v>
      </c>
      <c r="D196" s="19">
        <v>361785</v>
      </c>
      <c r="E196" s="19">
        <v>388052</v>
      </c>
      <c r="F196" s="47"/>
      <c r="G196" s="11"/>
      <c r="H196" s="98">
        <f t="shared" si="4"/>
        <v>107.26038945782716</v>
      </c>
    </row>
    <row r="197" spans="2:8" x14ac:dyDescent="0.25">
      <c r="C197" s="8" t="s">
        <v>1</v>
      </c>
      <c r="D197" s="19">
        <v>358446</v>
      </c>
      <c r="E197" s="19">
        <v>397314</v>
      </c>
      <c r="F197" s="47"/>
      <c r="G197" s="11"/>
      <c r="H197" s="98">
        <f t="shared" si="4"/>
        <v>110.84347433086154</v>
      </c>
    </row>
    <row r="198" spans="2:8" x14ac:dyDescent="0.25">
      <c r="E198" s="19"/>
    </row>
    <row r="199" spans="2:8" x14ac:dyDescent="0.25">
      <c r="E199" s="19"/>
    </row>
  </sheetData>
  <hyperlinks>
    <hyperlink ref="D6" r:id="rId1" display="https://www.ons.gov.uk/economy/grossdomesticproductgdp/timeseries/nrjr/ukea?referrer=search&amp;searchTerm=nrjr" xr:uid="{EC6216F8-1477-43B4-84BD-0F8BD609D62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C778-1A2C-4A1C-B7C9-CDF16CA4B351}">
  <dimension ref="B3:J197"/>
  <sheetViews>
    <sheetView zoomScale="75" zoomScaleNormal="75" workbookViewId="0">
      <selection activeCell="B8" sqref="B8:C197"/>
    </sheetView>
  </sheetViews>
  <sheetFormatPr defaultRowHeight="15" x14ac:dyDescent="0.25"/>
  <cols>
    <col min="1" max="1" width="2.7109375" customWidth="1"/>
    <col min="2" max="2" width="8.7109375" customWidth="1"/>
    <col min="3" max="3" width="4.7109375" customWidth="1"/>
    <col min="4" max="7" width="15.7109375" customWidth="1"/>
    <col min="8" max="8" width="15.7109375" style="95" customWidth="1"/>
    <col min="9" max="10" width="15.7109375" customWidth="1"/>
    <col min="11" max="11" width="2.7109375" customWidth="1"/>
  </cols>
  <sheetData>
    <row r="3" spans="2:10" x14ac:dyDescent="0.25">
      <c r="D3" t="s">
        <v>4</v>
      </c>
      <c r="E3" t="s">
        <v>5</v>
      </c>
      <c r="F3" t="s">
        <v>6</v>
      </c>
      <c r="G3" t="s">
        <v>18</v>
      </c>
      <c r="H3" s="95" t="s">
        <v>7</v>
      </c>
      <c r="I3" t="s">
        <v>8</v>
      </c>
      <c r="J3" t="s">
        <v>9</v>
      </c>
    </row>
    <row r="4" spans="2:10" ht="135" customHeight="1" x14ac:dyDescent="0.25">
      <c r="B4" s="2" t="s">
        <v>17</v>
      </c>
      <c r="C4" s="2"/>
      <c r="D4" s="3" t="s">
        <v>350</v>
      </c>
      <c r="E4" s="44"/>
      <c r="F4" s="22"/>
      <c r="G4" s="3"/>
      <c r="H4" s="96" t="s">
        <v>4</v>
      </c>
      <c r="I4" s="2"/>
      <c r="J4" s="2"/>
    </row>
    <row r="5" spans="2:10" ht="45" customHeight="1" x14ac:dyDescent="0.25">
      <c r="B5" s="2" t="s">
        <v>16</v>
      </c>
      <c r="C5" s="2"/>
      <c r="D5" s="3" t="s">
        <v>347</v>
      </c>
      <c r="E5" s="3"/>
      <c r="F5" s="3"/>
      <c r="G5" s="3"/>
      <c r="H5" s="97" t="s">
        <v>354</v>
      </c>
      <c r="I5" s="2" t="s">
        <v>355</v>
      </c>
      <c r="J5" s="2"/>
    </row>
    <row r="6" spans="2:10" ht="15.75" customHeight="1" x14ac:dyDescent="0.25">
      <c r="B6" s="2" t="s">
        <v>13</v>
      </c>
      <c r="C6" s="2"/>
      <c r="D6" s="20" t="s">
        <v>346</v>
      </c>
      <c r="E6" s="20"/>
      <c r="F6" s="23"/>
      <c r="G6" s="28"/>
      <c r="H6" s="97"/>
      <c r="I6" s="2"/>
      <c r="J6" s="2"/>
    </row>
    <row r="7" spans="2:10" ht="15.75" customHeight="1" x14ac:dyDescent="0.25">
      <c r="B7" s="2" t="s">
        <v>15</v>
      </c>
      <c r="C7" s="2"/>
      <c r="D7" s="3"/>
      <c r="E7" s="3"/>
      <c r="F7" s="3"/>
      <c r="G7" s="3"/>
      <c r="H7" s="99"/>
      <c r="I7" s="2"/>
      <c r="J7" s="2"/>
    </row>
    <row r="8" spans="2:10" x14ac:dyDescent="0.25">
      <c r="B8">
        <v>1975</v>
      </c>
      <c r="C8" s="4" t="s">
        <v>0</v>
      </c>
      <c r="D8" s="75">
        <v>10.9778</v>
      </c>
      <c r="E8" s="45"/>
      <c r="H8" s="98">
        <f>D8</f>
        <v>10.9778</v>
      </c>
      <c r="I8" s="75">
        <v>13.0061</v>
      </c>
      <c r="J8" s="102">
        <f>H8-I8</f>
        <v>-2.0282999999999998</v>
      </c>
    </row>
    <row r="9" spans="2:10" x14ac:dyDescent="0.25">
      <c r="C9" s="4" t="s">
        <v>1</v>
      </c>
      <c r="D9" s="75">
        <v>11.707100000000001</v>
      </c>
      <c r="E9" s="45"/>
      <c r="H9" s="98">
        <f t="shared" ref="H9:H72" si="0">D9</f>
        <v>11.707100000000001</v>
      </c>
      <c r="I9" s="75">
        <v>13.863799999999999</v>
      </c>
      <c r="J9" s="102">
        <f t="shared" ref="J9:J72" si="1">H9-I9</f>
        <v>-2.156699999999999</v>
      </c>
    </row>
    <row r="10" spans="2:10" x14ac:dyDescent="0.25">
      <c r="C10" s="4" t="s">
        <v>2</v>
      </c>
      <c r="D10" s="75">
        <v>12.2219</v>
      </c>
      <c r="E10" s="45"/>
      <c r="H10" s="98">
        <f t="shared" si="0"/>
        <v>12.2219</v>
      </c>
      <c r="I10" s="75">
        <v>14.4732</v>
      </c>
      <c r="J10" s="102">
        <f t="shared" si="1"/>
        <v>-2.2513000000000005</v>
      </c>
    </row>
    <row r="11" spans="2:10" x14ac:dyDescent="0.25">
      <c r="C11" s="4" t="s">
        <v>3</v>
      </c>
      <c r="D11" s="75">
        <v>12.756500000000001</v>
      </c>
      <c r="E11" s="45"/>
      <c r="H11" s="98">
        <f t="shared" si="0"/>
        <v>12.756500000000001</v>
      </c>
      <c r="I11" s="75">
        <v>15.112299999999999</v>
      </c>
      <c r="J11" s="102">
        <f t="shared" si="1"/>
        <v>-2.3557999999999986</v>
      </c>
    </row>
    <row r="12" spans="2:10" x14ac:dyDescent="0.25">
      <c r="B12">
        <v>1976</v>
      </c>
      <c r="C12" s="4" t="s">
        <v>0</v>
      </c>
      <c r="D12" s="75">
        <v>13.1829</v>
      </c>
      <c r="E12" s="45"/>
      <c r="H12" s="98">
        <f t="shared" si="0"/>
        <v>13.1829</v>
      </c>
      <c r="I12" s="75">
        <v>15.6137</v>
      </c>
      <c r="J12" s="102">
        <f t="shared" si="1"/>
        <v>-2.4307999999999996</v>
      </c>
    </row>
    <row r="13" spans="2:10" x14ac:dyDescent="0.25">
      <c r="C13" s="4" t="s">
        <v>1</v>
      </c>
      <c r="D13" s="75">
        <v>13.5525</v>
      </c>
      <c r="E13" s="45"/>
      <c r="H13" s="98">
        <f t="shared" si="0"/>
        <v>13.5525</v>
      </c>
      <c r="I13" s="75">
        <v>16.051600000000001</v>
      </c>
      <c r="J13" s="102">
        <f t="shared" si="1"/>
        <v>-2.4991000000000003</v>
      </c>
    </row>
    <row r="14" spans="2:10" x14ac:dyDescent="0.25">
      <c r="C14" s="4" t="s">
        <v>2</v>
      </c>
      <c r="D14" s="75">
        <v>13.8741</v>
      </c>
      <c r="E14" s="45"/>
      <c r="H14" s="98">
        <f t="shared" si="0"/>
        <v>13.8741</v>
      </c>
      <c r="I14" s="75">
        <v>16.432700000000001</v>
      </c>
      <c r="J14" s="102">
        <f t="shared" si="1"/>
        <v>-2.5586000000000002</v>
      </c>
    </row>
    <row r="15" spans="2:10" x14ac:dyDescent="0.25">
      <c r="C15" s="4" t="s">
        <v>3</v>
      </c>
      <c r="D15" s="75">
        <v>14.421900000000001</v>
      </c>
      <c r="E15" s="45"/>
      <c r="H15" s="98">
        <f t="shared" si="0"/>
        <v>14.421900000000001</v>
      </c>
      <c r="I15" s="75">
        <v>17.091699999999999</v>
      </c>
      <c r="J15" s="102">
        <f t="shared" si="1"/>
        <v>-2.6697999999999986</v>
      </c>
    </row>
    <row r="16" spans="2:10" x14ac:dyDescent="0.25">
      <c r="B16">
        <v>1977</v>
      </c>
      <c r="C16" s="4" t="s">
        <v>0</v>
      </c>
      <c r="D16" s="75">
        <v>14.964700000000001</v>
      </c>
      <c r="E16" s="45"/>
      <c r="H16" s="98">
        <f t="shared" si="0"/>
        <v>14.964700000000001</v>
      </c>
      <c r="I16" s="75">
        <v>17.7103</v>
      </c>
      <c r="J16" s="102">
        <f t="shared" si="1"/>
        <v>-2.7455999999999996</v>
      </c>
    </row>
    <row r="17" spans="2:10" x14ac:dyDescent="0.25">
      <c r="C17" s="4" t="s">
        <v>1</v>
      </c>
      <c r="D17" s="75">
        <v>15.552899999999999</v>
      </c>
      <c r="E17" s="45"/>
      <c r="H17" s="98">
        <f t="shared" si="0"/>
        <v>15.552899999999999</v>
      </c>
      <c r="I17" s="75">
        <v>18.4114</v>
      </c>
      <c r="J17" s="102">
        <f t="shared" si="1"/>
        <v>-2.8585000000000012</v>
      </c>
    </row>
    <row r="18" spans="2:10" x14ac:dyDescent="0.25">
      <c r="C18" s="4" t="s">
        <v>2</v>
      </c>
      <c r="D18" s="75">
        <v>15.8767</v>
      </c>
      <c r="E18" s="45"/>
      <c r="H18" s="98">
        <f t="shared" si="0"/>
        <v>15.8767</v>
      </c>
      <c r="I18" s="75">
        <v>18.7956</v>
      </c>
      <c r="J18" s="102">
        <f t="shared" si="1"/>
        <v>-2.9189000000000007</v>
      </c>
    </row>
    <row r="19" spans="2:10" x14ac:dyDescent="0.25">
      <c r="C19" s="4" t="s">
        <v>3</v>
      </c>
      <c r="D19" s="75">
        <v>16.315999999999999</v>
      </c>
      <c r="E19" s="45"/>
      <c r="H19" s="98">
        <f t="shared" si="0"/>
        <v>16.315999999999999</v>
      </c>
      <c r="I19" s="75">
        <v>19.306899999999999</v>
      </c>
      <c r="J19" s="102">
        <f t="shared" si="1"/>
        <v>-2.9908999999999999</v>
      </c>
    </row>
    <row r="20" spans="2:10" x14ac:dyDescent="0.25">
      <c r="B20" s="5">
        <v>1978</v>
      </c>
      <c r="C20" s="4" t="s">
        <v>0</v>
      </c>
      <c r="D20" s="75">
        <v>16.954499999999999</v>
      </c>
      <c r="E20" s="45"/>
      <c r="F20" s="14"/>
      <c r="G20" s="15"/>
      <c r="H20" s="98">
        <f t="shared" si="0"/>
        <v>16.954499999999999</v>
      </c>
      <c r="I20" s="75">
        <v>20.0352</v>
      </c>
      <c r="J20" s="102">
        <f t="shared" si="1"/>
        <v>-3.0807000000000002</v>
      </c>
    </row>
    <row r="21" spans="2:10" x14ac:dyDescent="0.25">
      <c r="B21" s="5"/>
      <c r="C21" s="4" t="s">
        <v>1</v>
      </c>
      <c r="D21" s="75">
        <v>17.426600000000001</v>
      </c>
      <c r="E21" s="45"/>
      <c r="F21" s="14"/>
      <c r="G21" s="15"/>
      <c r="H21" s="98">
        <f t="shared" si="0"/>
        <v>17.426600000000001</v>
      </c>
      <c r="I21" s="75">
        <v>20.5777</v>
      </c>
      <c r="J21" s="102">
        <f t="shared" si="1"/>
        <v>-3.1510999999999996</v>
      </c>
    </row>
    <row r="22" spans="2:10" x14ac:dyDescent="0.25">
      <c r="B22" s="5"/>
      <c r="C22" s="4" t="s">
        <v>2</v>
      </c>
      <c r="D22" s="75">
        <v>17.678599999999999</v>
      </c>
      <c r="E22" s="45"/>
      <c r="F22" s="14"/>
      <c r="G22" s="15"/>
      <c r="H22" s="98">
        <f t="shared" si="0"/>
        <v>17.678599999999999</v>
      </c>
      <c r="I22" s="75">
        <v>20.8782</v>
      </c>
      <c r="J22" s="102">
        <f t="shared" si="1"/>
        <v>-3.1996000000000002</v>
      </c>
    </row>
    <row r="23" spans="2:10" x14ac:dyDescent="0.25">
      <c r="B23" s="5"/>
      <c r="C23" s="4" t="s">
        <v>3</v>
      </c>
      <c r="D23" s="75">
        <v>18.153400000000001</v>
      </c>
      <c r="E23" s="45"/>
      <c r="F23" s="14"/>
      <c r="G23" s="15"/>
      <c r="H23" s="98">
        <f t="shared" si="0"/>
        <v>18.153400000000001</v>
      </c>
      <c r="I23" s="75">
        <v>21.444400000000002</v>
      </c>
      <c r="J23" s="102">
        <f t="shared" si="1"/>
        <v>-3.2910000000000004</v>
      </c>
    </row>
    <row r="24" spans="2:10" x14ac:dyDescent="0.25">
      <c r="B24" s="5">
        <v>1979</v>
      </c>
      <c r="C24" s="4" t="s">
        <v>0</v>
      </c>
      <c r="D24" s="75">
        <v>18.828700000000001</v>
      </c>
      <c r="E24" s="45"/>
      <c r="F24" s="14"/>
      <c r="G24" s="15"/>
      <c r="H24" s="98">
        <f t="shared" si="0"/>
        <v>18.828700000000001</v>
      </c>
      <c r="I24" s="75">
        <v>22.220600000000001</v>
      </c>
      <c r="J24" s="102">
        <f t="shared" si="1"/>
        <v>-3.3918999999999997</v>
      </c>
    </row>
    <row r="25" spans="2:10" x14ac:dyDescent="0.25">
      <c r="B25" s="5"/>
      <c r="C25" s="4" t="s">
        <v>1</v>
      </c>
      <c r="D25" s="75">
        <v>19.282699999999998</v>
      </c>
      <c r="E25" s="45"/>
      <c r="F25" s="14"/>
      <c r="G25" s="15"/>
      <c r="H25" s="98">
        <f t="shared" si="0"/>
        <v>19.282699999999998</v>
      </c>
      <c r="I25" s="75">
        <v>22.75</v>
      </c>
      <c r="J25" s="102">
        <f t="shared" si="1"/>
        <v>-3.4673000000000016</v>
      </c>
    </row>
    <row r="26" spans="2:10" x14ac:dyDescent="0.25">
      <c r="B26" s="5"/>
      <c r="C26" s="4" t="s">
        <v>2</v>
      </c>
      <c r="D26" s="75">
        <v>20.747699999999998</v>
      </c>
      <c r="E26" s="45"/>
      <c r="F26" s="14"/>
      <c r="G26" s="15"/>
      <c r="H26" s="98">
        <f t="shared" si="0"/>
        <v>20.747699999999998</v>
      </c>
      <c r="I26" s="75">
        <v>24.464300000000001</v>
      </c>
      <c r="J26" s="102">
        <f t="shared" si="1"/>
        <v>-3.7166000000000032</v>
      </c>
    </row>
    <row r="27" spans="2:10" x14ac:dyDescent="0.25">
      <c r="B27" s="5"/>
      <c r="C27" s="4" t="s">
        <v>3</v>
      </c>
      <c r="D27" s="75">
        <v>21.6294</v>
      </c>
      <c r="E27" s="45"/>
      <c r="F27" s="14"/>
      <c r="G27" s="15"/>
      <c r="H27" s="98">
        <f t="shared" si="0"/>
        <v>21.6294</v>
      </c>
      <c r="I27" s="75">
        <v>25.504200000000001</v>
      </c>
      <c r="J27" s="102">
        <f t="shared" si="1"/>
        <v>-3.8748000000000005</v>
      </c>
    </row>
    <row r="28" spans="2:10" x14ac:dyDescent="0.25">
      <c r="B28" s="5">
        <v>1980</v>
      </c>
      <c r="C28" s="4" t="s">
        <v>0</v>
      </c>
      <c r="D28" s="75">
        <v>22.724</v>
      </c>
      <c r="E28" s="45"/>
      <c r="F28" s="14"/>
      <c r="G28" s="15"/>
      <c r="H28" s="98">
        <f t="shared" si="0"/>
        <v>22.724</v>
      </c>
      <c r="I28" s="75">
        <v>26.769500000000001</v>
      </c>
      <c r="J28" s="102">
        <f t="shared" si="1"/>
        <v>-4.0455000000000005</v>
      </c>
    </row>
    <row r="29" spans="2:10" x14ac:dyDescent="0.25">
      <c r="B29" s="5"/>
      <c r="C29" s="4" t="s">
        <v>1</v>
      </c>
      <c r="D29" s="75">
        <v>23.7775</v>
      </c>
      <c r="E29" s="45"/>
      <c r="F29" s="14"/>
      <c r="G29" s="15"/>
      <c r="H29" s="98">
        <f t="shared" si="0"/>
        <v>23.7775</v>
      </c>
      <c r="I29" s="75">
        <v>28.007999999999999</v>
      </c>
      <c r="J29" s="102">
        <f t="shared" si="1"/>
        <v>-4.2304999999999993</v>
      </c>
    </row>
    <row r="30" spans="2:10" x14ac:dyDescent="0.25">
      <c r="B30" s="5"/>
      <c r="C30" s="4" t="s">
        <v>2</v>
      </c>
      <c r="D30" s="75">
        <v>24.671099999999999</v>
      </c>
      <c r="E30" s="45"/>
      <c r="F30" s="14"/>
      <c r="G30" s="15"/>
      <c r="H30" s="98">
        <f t="shared" si="0"/>
        <v>24.671099999999999</v>
      </c>
      <c r="I30" s="75">
        <v>29.060199999999998</v>
      </c>
      <c r="J30" s="102">
        <f t="shared" si="1"/>
        <v>-4.3890999999999991</v>
      </c>
    </row>
    <row r="31" spans="2:10" x14ac:dyDescent="0.25">
      <c r="B31" s="5"/>
      <c r="C31" s="4" t="s">
        <v>3</v>
      </c>
      <c r="D31" s="75">
        <v>25.758199999999999</v>
      </c>
      <c r="E31" s="45"/>
      <c r="F31" s="14"/>
      <c r="G31" s="15"/>
      <c r="H31" s="98">
        <f t="shared" si="0"/>
        <v>25.758199999999999</v>
      </c>
      <c r="I31" s="75">
        <v>30.322099999999999</v>
      </c>
      <c r="J31" s="102">
        <f t="shared" si="1"/>
        <v>-4.5639000000000003</v>
      </c>
    </row>
    <row r="32" spans="2:10" x14ac:dyDescent="0.25">
      <c r="B32" s="5">
        <v>1981</v>
      </c>
      <c r="C32" s="4" t="s">
        <v>0</v>
      </c>
      <c r="D32" s="75">
        <v>26.4908</v>
      </c>
      <c r="E32" s="45"/>
      <c r="F32" s="14"/>
      <c r="G32" s="15"/>
      <c r="H32" s="98">
        <f t="shared" si="0"/>
        <v>26.4908</v>
      </c>
      <c r="I32" s="75">
        <v>31.164400000000001</v>
      </c>
      <c r="J32" s="102">
        <f t="shared" si="1"/>
        <v>-4.6736000000000004</v>
      </c>
    </row>
    <row r="33" spans="2:10" x14ac:dyDescent="0.25">
      <c r="B33" s="5"/>
      <c r="C33" s="4" t="s">
        <v>1</v>
      </c>
      <c r="D33" s="75">
        <v>26.973299999999998</v>
      </c>
      <c r="E33" s="45"/>
      <c r="F33" s="14"/>
      <c r="G33" s="15"/>
      <c r="H33" s="98">
        <f t="shared" si="0"/>
        <v>26.973299999999998</v>
      </c>
      <c r="I33" s="75">
        <v>31.679300000000001</v>
      </c>
      <c r="J33" s="102">
        <f t="shared" si="1"/>
        <v>-4.7060000000000031</v>
      </c>
    </row>
    <row r="34" spans="2:10" x14ac:dyDescent="0.25">
      <c r="B34" s="5"/>
      <c r="C34" s="4" t="s">
        <v>2</v>
      </c>
      <c r="D34" s="75">
        <v>27.424199999999999</v>
      </c>
      <c r="E34" s="45"/>
      <c r="F34" s="14"/>
      <c r="G34" s="15"/>
      <c r="H34" s="98">
        <f t="shared" si="0"/>
        <v>27.424199999999999</v>
      </c>
      <c r="I34" s="75">
        <v>32.196100000000001</v>
      </c>
      <c r="J34" s="102">
        <f t="shared" si="1"/>
        <v>-4.7719000000000023</v>
      </c>
    </row>
    <row r="35" spans="2:10" x14ac:dyDescent="0.25">
      <c r="B35" s="5"/>
      <c r="C35" s="4" t="s">
        <v>3</v>
      </c>
      <c r="D35" s="75">
        <v>28.261199999999999</v>
      </c>
      <c r="E35" s="45"/>
      <c r="F35" s="14"/>
      <c r="G35" s="15"/>
      <c r="H35" s="98">
        <f t="shared" si="0"/>
        <v>28.261199999999999</v>
      </c>
      <c r="I35" s="75">
        <v>33.174300000000002</v>
      </c>
      <c r="J35" s="102">
        <f t="shared" si="1"/>
        <v>-4.9131000000000036</v>
      </c>
    </row>
    <row r="36" spans="2:10" x14ac:dyDescent="0.25">
      <c r="B36" s="5">
        <v>1982</v>
      </c>
      <c r="C36" s="4" t="s">
        <v>0</v>
      </c>
      <c r="D36" s="75">
        <v>28.956</v>
      </c>
      <c r="E36" s="45"/>
      <c r="F36" s="14"/>
      <c r="G36" s="15"/>
      <c r="H36" s="98">
        <f t="shared" si="0"/>
        <v>28.956</v>
      </c>
      <c r="I36" s="75">
        <v>33.9604</v>
      </c>
      <c r="J36" s="102">
        <f t="shared" si="1"/>
        <v>-5.0044000000000004</v>
      </c>
    </row>
    <row r="37" spans="2:10" x14ac:dyDescent="0.25">
      <c r="B37" s="5"/>
      <c r="C37" s="4" t="s">
        <v>1</v>
      </c>
      <c r="D37" s="75">
        <v>29.229700000000001</v>
      </c>
      <c r="E37" s="45"/>
      <c r="F37" s="14"/>
      <c r="G37" s="15"/>
      <c r="H37" s="98">
        <f t="shared" si="0"/>
        <v>29.229700000000001</v>
      </c>
      <c r="I37" s="75">
        <v>34.216999999999999</v>
      </c>
      <c r="J37" s="102">
        <f t="shared" si="1"/>
        <v>-4.9872999999999976</v>
      </c>
    </row>
    <row r="38" spans="2:10" x14ac:dyDescent="0.25">
      <c r="B38" s="5"/>
      <c r="C38" s="4" t="s">
        <v>2</v>
      </c>
      <c r="D38" s="75">
        <v>29.691800000000001</v>
      </c>
      <c r="E38" s="45"/>
      <c r="F38" s="14"/>
      <c r="G38" s="15"/>
      <c r="H38" s="98">
        <f t="shared" si="0"/>
        <v>29.691800000000001</v>
      </c>
      <c r="I38" s="75">
        <v>34.755099999999999</v>
      </c>
      <c r="J38" s="102">
        <f t="shared" si="1"/>
        <v>-5.0632999999999981</v>
      </c>
    </row>
    <row r="39" spans="2:10" x14ac:dyDescent="0.25">
      <c r="B39" s="5"/>
      <c r="C39" s="4" t="s">
        <v>3</v>
      </c>
      <c r="D39" s="75">
        <v>30.321100000000001</v>
      </c>
      <c r="E39" s="45"/>
      <c r="F39" s="14"/>
      <c r="G39" s="15"/>
      <c r="H39" s="98">
        <f t="shared" si="0"/>
        <v>30.321100000000001</v>
      </c>
      <c r="I39" s="75">
        <v>35.465400000000002</v>
      </c>
      <c r="J39" s="102">
        <f t="shared" si="1"/>
        <v>-5.1443000000000012</v>
      </c>
    </row>
    <row r="40" spans="2:10" x14ac:dyDescent="0.25">
      <c r="B40" s="5">
        <v>1983</v>
      </c>
      <c r="C40" s="4" t="s">
        <v>0</v>
      </c>
      <c r="D40" s="75">
        <v>30.856200000000001</v>
      </c>
      <c r="E40" s="45"/>
      <c r="F40" s="14"/>
      <c r="G40" s="15"/>
      <c r="H40" s="98">
        <f t="shared" si="0"/>
        <v>30.856200000000001</v>
      </c>
      <c r="I40" s="75">
        <v>36.118600000000001</v>
      </c>
      <c r="J40" s="102">
        <f t="shared" si="1"/>
        <v>-5.2623999999999995</v>
      </c>
    </row>
    <row r="41" spans="2:10" x14ac:dyDescent="0.25">
      <c r="B41" s="5"/>
      <c r="C41" s="4" t="s">
        <v>1</v>
      </c>
      <c r="D41" s="75">
        <v>30.934799999999999</v>
      </c>
      <c r="E41" s="45"/>
      <c r="F41" s="14"/>
      <c r="G41" s="15"/>
      <c r="H41" s="98">
        <f t="shared" si="0"/>
        <v>30.934799999999999</v>
      </c>
      <c r="I41" s="75">
        <v>36.122399999999999</v>
      </c>
      <c r="J41" s="102">
        <f t="shared" si="1"/>
        <v>-5.1875999999999998</v>
      </c>
    </row>
    <row r="42" spans="2:10" x14ac:dyDescent="0.25">
      <c r="B42" s="5"/>
      <c r="C42" s="4" t="s">
        <v>2</v>
      </c>
      <c r="D42" s="75">
        <v>31.375599999999999</v>
      </c>
      <c r="E42" s="45"/>
      <c r="F42" s="14"/>
      <c r="G42" s="15"/>
      <c r="H42" s="98">
        <f t="shared" si="0"/>
        <v>31.375599999999999</v>
      </c>
      <c r="I42" s="75">
        <v>36.6038</v>
      </c>
      <c r="J42" s="102">
        <f t="shared" si="1"/>
        <v>-5.2282000000000011</v>
      </c>
    </row>
    <row r="43" spans="2:10" x14ac:dyDescent="0.25">
      <c r="B43" s="5"/>
      <c r="C43" s="4" t="s">
        <v>3</v>
      </c>
      <c r="D43" s="75">
        <v>31.945</v>
      </c>
      <c r="E43" s="45"/>
      <c r="F43" s="14"/>
      <c r="G43" s="15"/>
      <c r="H43" s="98">
        <f t="shared" si="0"/>
        <v>31.945</v>
      </c>
      <c r="I43" s="75">
        <v>37.215499999999999</v>
      </c>
      <c r="J43" s="102">
        <f t="shared" si="1"/>
        <v>-5.2704999999999984</v>
      </c>
    </row>
    <row r="44" spans="2:10" x14ac:dyDescent="0.25">
      <c r="B44" s="5">
        <v>1984</v>
      </c>
      <c r="C44" s="4" t="s">
        <v>0</v>
      </c>
      <c r="D44" s="75">
        <v>32.019500000000001</v>
      </c>
      <c r="E44" s="45"/>
      <c r="F44" s="14"/>
      <c r="G44" s="15"/>
      <c r="H44" s="98">
        <f t="shared" si="0"/>
        <v>32.019500000000001</v>
      </c>
      <c r="I44" s="75">
        <v>37.295999999999999</v>
      </c>
      <c r="J44" s="102">
        <f t="shared" si="1"/>
        <v>-5.2764999999999986</v>
      </c>
    </row>
    <row r="45" spans="2:10" x14ac:dyDescent="0.25">
      <c r="B45" s="5"/>
      <c r="C45" s="4" t="s">
        <v>1</v>
      </c>
      <c r="D45" s="75">
        <v>33.008000000000003</v>
      </c>
      <c r="E45" s="45"/>
      <c r="F45" s="14"/>
      <c r="G45" s="15"/>
      <c r="H45" s="98">
        <f t="shared" si="0"/>
        <v>33.008000000000003</v>
      </c>
      <c r="I45" s="75">
        <v>38.384599999999999</v>
      </c>
      <c r="J45" s="102">
        <f t="shared" si="1"/>
        <v>-5.3765999999999963</v>
      </c>
    </row>
    <row r="46" spans="2:10" x14ac:dyDescent="0.25">
      <c r="B46" s="5"/>
      <c r="C46" s="4" t="s">
        <v>2</v>
      </c>
      <c r="D46" s="75">
        <v>33.264600000000002</v>
      </c>
      <c r="E46" s="45"/>
      <c r="F46" s="14"/>
      <c r="G46" s="15"/>
      <c r="H46" s="98">
        <f t="shared" si="0"/>
        <v>33.264600000000002</v>
      </c>
      <c r="I46" s="75">
        <v>38.670999999999999</v>
      </c>
      <c r="J46" s="102">
        <f t="shared" si="1"/>
        <v>-5.4063999999999979</v>
      </c>
    </row>
    <row r="47" spans="2:10" x14ac:dyDescent="0.25">
      <c r="B47" s="5"/>
      <c r="C47" s="4" t="s">
        <v>3</v>
      </c>
      <c r="D47" s="75">
        <v>33.768099999999997</v>
      </c>
      <c r="E47" s="45"/>
      <c r="F47" s="14"/>
      <c r="G47" s="15"/>
      <c r="H47" s="98">
        <f t="shared" si="0"/>
        <v>33.768099999999997</v>
      </c>
      <c r="I47" s="75">
        <v>39.228400000000001</v>
      </c>
      <c r="J47" s="102">
        <f t="shared" si="1"/>
        <v>-5.4603000000000037</v>
      </c>
    </row>
    <row r="48" spans="2:10" x14ac:dyDescent="0.25">
      <c r="B48" s="5">
        <v>1985</v>
      </c>
      <c r="C48" s="4" t="s">
        <v>0</v>
      </c>
      <c r="D48" s="75">
        <v>33.829700000000003</v>
      </c>
      <c r="E48" s="45"/>
      <c r="F48" s="14"/>
      <c r="G48" s="15"/>
      <c r="H48" s="98">
        <f t="shared" si="0"/>
        <v>33.829700000000003</v>
      </c>
      <c r="I48" s="75">
        <v>39.256799999999998</v>
      </c>
      <c r="J48" s="102">
        <f t="shared" si="1"/>
        <v>-5.4270999999999958</v>
      </c>
    </row>
    <row r="49" spans="2:10" x14ac:dyDescent="0.25">
      <c r="B49" s="5"/>
      <c r="C49" s="4" t="s">
        <v>1</v>
      </c>
      <c r="D49" s="75">
        <v>34.7102</v>
      </c>
      <c r="E49" s="45"/>
      <c r="F49" s="14"/>
      <c r="G49" s="15"/>
      <c r="H49" s="98">
        <f t="shared" si="0"/>
        <v>34.7102</v>
      </c>
      <c r="I49" s="75">
        <v>40.183500000000002</v>
      </c>
      <c r="J49" s="102">
        <f t="shared" si="1"/>
        <v>-5.4733000000000018</v>
      </c>
    </row>
    <row r="50" spans="2:10" x14ac:dyDescent="0.25">
      <c r="B50" s="5"/>
      <c r="C50" s="4" t="s">
        <v>2</v>
      </c>
      <c r="D50" s="75">
        <v>35.213700000000003</v>
      </c>
      <c r="E50" s="45"/>
      <c r="F50" s="14"/>
      <c r="G50" s="15"/>
      <c r="H50" s="98">
        <f t="shared" si="0"/>
        <v>35.213700000000003</v>
      </c>
      <c r="I50" s="75">
        <v>40.760399999999997</v>
      </c>
      <c r="J50" s="102">
        <f t="shared" si="1"/>
        <v>-5.5466999999999942</v>
      </c>
    </row>
    <row r="51" spans="2:10" x14ac:dyDescent="0.25">
      <c r="B51" s="5"/>
      <c r="C51" s="4" t="s">
        <v>3</v>
      </c>
      <c r="D51" s="75">
        <v>35.910400000000003</v>
      </c>
      <c r="E51" s="45"/>
      <c r="F51" s="14"/>
      <c r="G51" s="15"/>
      <c r="H51" s="98">
        <f t="shared" si="0"/>
        <v>35.910400000000003</v>
      </c>
      <c r="I51" s="75">
        <v>41.528399999999998</v>
      </c>
      <c r="J51" s="102">
        <f t="shared" si="1"/>
        <v>-5.617999999999995</v>
      </c>
    </row>
    <row r="52" spans="2:10" x14ac:dyDescent="0.25">
      <c r="B52" s="5">
        <v>1986</v>
      </c>
      <c r="C52" s="4" t="s">
        <v>0</v>
      </c>
      <c r="D52" s="75">
        <v>35.994900000000001</v>
      </c>
      <c r="E52" s="45"/>
      <c r="F52" s="14"/>
      <c r="G52" s="15"/>
      <c r="H52" s="98">
        <f t="shared" si="0"/>
        <v>35.994900000000001</v>
      </c>
      <c r="I52" s="75">
        <v>41.610799999999998</v>
      </c>
      <c r="J52" s="102">
        <f t="shared" si="1"/>
        <v>-5.6158999999999963</v>
      </c>
    </row>
    <row r="53" spans="2:10" x14ac:dyDescent="0.25">
      <c r="B53" s="5"/>
      <c r="C53" s="4" t="s">
        <v>1</v>
      </c>
      <c r="D53" s="75">
        <v>36.412799999999997</v>
      </c>
      <c r="E53" s="45"/>
      <c r="F53" s="14"/>
      <c r="G53" s="15"/>
      <c r="H53" s="98">
        <f t="shared" si="0"/>
        <v>36.412799999999997</v>
      </c>
      <c r="I53" s="75">
        <v>41.941299999999998</v>
      </c>
      <c r="J53" s="102">
        <f t="shared" si="1"/>
        <v>-5.5285000000000011</v>
      </c>
    </row>
    <row r="54" spans="2:10" x14ac:dyDescent="0.25">
      <c r="B54" s="5"/>
      <c r="C54" s="4" t="s">
        <v>2</v>
      </c>
      <c r="D54" s="75">
        <v>36.857300000000002</v>
      </c>
      <c r="E54" s="45"/>
      <c r="F54" s="14"/>
      <c r="G54" s="15"/>
      <c r="H54" s="98">
        <f t="shared" si="0"/>
        <v>36.857300000000002</v>
      </c>
      <c r="I54" s="75">
        <v>42.438000000000002</v>
      </c>
      <c r="J54" s="102">
        <f t="shared" si="1"/>
        <v>-5.5807000000000002</v>
      </c>
    </row>
    <row r="55" spans="2:10" x14ac:dyDescent="0.25">
      <c r="B55" s="5"/>
      <c r="C55" s="4" t="s">
        <v>3</v>
      </c>
      <c r="D55" s="75">
        <v>37.418900000000001</v>
      </c>
      <c r="E55" s="45"/>
      <c r="F55" s="14"/>
      <c r="G55" s="15"/>
      <c r="H55" s="98">
        <f t="shared" si="0"/>
        <v>37.418900000000001</v>
      </c>
      <c r="I55" s="75">
        <v>42.965400000000002</v>
      </c>
      <c r="J55" s="102">
        <f t="shared" si="1"/>
        <v>-5.5465000000000018</v>
      </c>
    </row>
    <row r="56" spans="2:10" x14ac:dyDescent="0.25">
      <c r="B56" s="5">
        <v>1987</v>
      </c>
      <c r="C56" s="4" t="s">
        <v>0</v>
      </c>
      <c r="D56" s="75">
        <v>37.869399999999999</v>
      </c>
      <c r="E56" s="45"/>
      <c r="F56" s="14"/>
      <c r="G56" s="15"/>
      <c r="H56" s="98">
        <f t="shared" si="0"/>
        <v>37.869399999999999</v>
      </c>
      <c r="I56" s="75">
        <v>43.528199999999998</v>
      </c>
      <c r="J56" s="102">
        <f t="shared" si="1"/>
        <v>-5.6587999999999994</v>
      </c>
    </row>
    <row r="57" spans="2:10" x14ac:dyDescent="0.25">
      <c r="B57" s="5"/>
      <c r="C57" s="4" t="s">
        <v>1</v>
      </c>
      <c r="D57" s="75">
        <v>38.5077</v>
      </c>
      <c r="E57" s="45"/>
      <c r="F57" s="14"/>
      <c r="G57" s="15"/>
      <c r="H57" s="98">
        <f t="shared" si="0"/>
        <v>38.5077</v>
      </c>
      <c r="I57" s="75">
        <v>44.244100000000003</v>
      </c>
      <c r="J57" s="102">
        <f t="shared" si="1"/>
        <v>-5.7364000000000033</v>
      </c>
    </row>
    <row r="58" spans="2:10" x14ac:dyDescent="0.25">
      <c r="B58" s="5"/>
      <c r="C58" s="4" t="s">
        <v>2</v>
      </c>
      <c r="D58" s="75">
        <v>39.152500000000003</v>
      </c>
      <c r="E58" s="45"/>
      <c r="F58" s="14"/>
      <c r="G58" s="15"/>
      <c r="H58" s="98">
        <f t="shared" si="0"/>
        <v>39.152500000000003</v>
      </c>
      <c r="I58" s="75">
        <v>44.930599999999998</v>
      </c>
      <c r="J58" s="102">
        <f t="shared" si="1"/>
        <v>-5.7780999999999949</v>
      </c>
    </row>
    <row r="59" spans="2:10" x14ac:dyDescent="0.25">
      <c r="B59" s="5"/>
      <c r="C59" s="4" t="s">
        <v>3</v>
      </c>
      <c r="D59" s="75">
        <v>39.565300000000001</v>
      </c>
      <c r="E59" s="45"/>
      <c r="F59" s="14"/>
      <c r="G59" s="15"/>
      <c r="H59" s="98">
        <f t="shared" si="0"/>
        <v>39.565300000000001</v>
      </c>
      <c r="I59" s="75">
        <v>45.371299999999998</v>
      </c>
      <c r="J59" s="102">
        <f t="shared" si="1"/>
        <v>-5.8059999999999974</v>
      </c>
    </row>
    <row r="60" spans="2:10" x14ac:dyDescent="0.25">
      <c r="B60" s="5">
        <v>1988</v>
      </c>
      <c r="C60" s="4" t="s">
        <v>0</v>
      </c>
      <c r="D60" s="75">
        <v>39.954999999999998</v>
      </c>
      <c r="E60" s="45"/>
      <c r="F60" s="14"/>
      <c r="G60" s="15"/>
      <c r="H60" s="98">
        <f t="shared" si="0"/>
        <v>39.954999999999998</v>
      </c>
      <c r="I60" s="75">
        <v>45.8827</v>
      </c>
      <c r="J60" s="102">
        <f t="shared" si="1"/>
        <v>-5.9277000000000015</v>
      </c>
    </row>
    <row r="61" spans="2:10" x14ac:dyDescent="0.25">
      <c r="B61" s="5"/>
      <c r="C61" s="4" t="s">
        <v>1</v>
      </c>
      <c r="D61" s="75">
        <v>40.776400000000002</v>
      </c>
      <c r="E61" s="45"/>
      <c r="F61" s="14"/>
      <c r="G61" s="15"/>
      <c r="H61" s="98">
        <f t="shared" si="0"/>
        <v>40.776400000000002</v>
      </c>
      <c r="I61" s="75">
        <v>46.579300000000003</v>
      </c>
      <c r="J61" s="102">
        <f t="shared" si="1"/>
        <v>-5.8029000000000011</v>
      </c>
    </row>
    <row r="62" spans="2:10" x14ac:dyDescent="0.25">
      <c r="B62" s="5"/>
      <c r="C62" s="4" t="s">
        <v>2</v>
      </c>
      <c r="D62" s="75">
        <v>41.627099999999999</v>
      </c>
      <c r="E62" s="45"/>
      <c r="F62" s="14"/>
      <c r="G62" s="15"/>
      <c r="H62" s="98">
        <f t="shared" si="0"/>
        <v>41.627099999999999</v>
      </c>
      <c r="I62" s="75">
        <v>47.456800000000001</v>
      </c>
      <c r="J62" s="102">
        <f t="shared" si="1"/>
        <v>-5.8297000000000025</v>
      </c>
    </row>
    <row r="63" spans="2:10" x14ac:dyDescent="0.25">
      <c r="B63" s="5"/>
      <c r="C63" s="4" t="s">
        <v>3</v>
      </c>
      <c r="D63" s="75">
        <v>42.632800000000003</v>
      </c>
      <c r="E63" s="45"/>
      <c r="F63" s="14"/>
      <c r="G63" s="15"/>
      <c r="H63" s="98">
        <f t="shared" si="0"/>
        <v>42.632800000000003</v>
      </c>
      <c r="I63" s="75">
        <v>48.639499999999998</v>
      </c>
      <c r="J63" s="102">
        <f t="shared" si="1"/>
        <v>-6.006699999999995</v>
      </c>
    </row>
    <row r="64" spans="2:10" x14ac:dyDescent="0.25">
      <c r="B64" s="5">
        <v>1989</v>
      </c>
      <c r="C64" s="4" t="s">
        <v>0</v>
      </c>
      <c r="D64" s="75">
        <v>43.347299999999997</v>
      </c>
      <c r="E64" s="45"/>
      <c r="F64" s="14"/>
      <c r="G64" s="15"/>
      <c r="H64" s="98">
        <f t="shared" si="0"/>
        <v>43.347299999999997</v>
      </c>
      <c r="I64" s="75">
        <v>49.446399999999997</v>
      </c>
      <c r="J64" s="102">
        <f t="shared" si="1"/>
        <v>-6.0991</v>
      </c>
    </row>
    <row r="65" spans="2:10" x14ac:dyDescent="0.25">
      <c r="B65" s="5"/>
      <c r="C65" s="4" t="s">
        <v>1</v>
      </c>
      <c r="D65" s="75">
        <v>43.999400000000001</v>
      </c>
      <c r="E65" s="45"/>
      <c r="F65" s="14"/>
      <c r="G65" s="15"/>
      <c r="H65" s="98">
        <f t="shared" si="0"/>
        <v>43.999400000000001</v>
      </c>
      <c r="I65" s="75">
        <v>50.003599999999999</v>
      </c>
      <c r="J65" s="102">
        <f t="shared" si="1"/>
        <v>-6.0041999999999973</v>
      </c>
    </row>
    <row r="66" spans="2:10" x14ac:dyDescent="0.25">
      <c r="B66" s="5"/>
      <c r="C66" s="4" t="s">
        <v>2</v>
      </c>
      <c r="D66" s="75">
        <v>45.210099999999997</v>
      </c>
      <c r="E66" s="45"/>
      <c r="F66" s="14"/>
      <c r="G66" s="15"/>
      <c r="H66" s="98">
        <f t="shared" si="0"/>
        <v>45.210099999999997</v>
      </c>
      <c r="I66" s="75">
        <v>51.351100000000002</v>
      </c>
      <c r="J66" s="102">
        <f t="shared" si="1"/>
        <v>-6.1410000000000053</v>
      </c>
    </row>
    <row r="67" spans="2:10" x14ac:dyDescent="0.25">
      <c r="B67" s="5"/>
      <c r="C67" s="4" t="s">
        <v>3</v>
      </c>
      <c r="D67" s="75">
        <v>46.138800000000003</v>
      </c>
      <c r="E67" s="45"/>
      <c r="F67" s="14"/>
      <c r="G67" s="15"/>
      <c r="H67" s="98">
        <f t="shared" si="0"/>
        <v>46.138800000000003</v>
      </c>
      <c r="I67" s="75">
        <v>52.450200000000002</v>
      </c>
      <c r="J67" s="102">
        <f t="shared" si="1"/>
        <v>-6.311399999999999</v>
      </c>
    </row>
    <row r="68" spans="2:10" x14ac:dyDescent="0.25">
      <c r="B68" s="5">
        <v>1990</v>
      </c>
      <c r="C68" s="4" t="s">
        <v>0</v>
      </c>
      <c r="D68" s="75">
        <v>46.918799999999997</v>
      </c>
      <c r="E68" s="45"/>
      <c r="F68" s="14"/>
      <c r="G68" s="15"/>
      <c r="H68" s="98">
        <f t="shared" si="0"/>
        <v>46.918799999999997</v>
      </c>
      <c r="I68" s="75">
        <v>53.116999999999997</v>
      </c>
      <c r="J68" s="102">
        <f t="shared" si="1"/>
        <v>-6.1981999999999999</v>
      </c>
    </row>
    <row r="69" spans="2:10" x14ac:dyDescent="0.25">
      <c r="B69" s="5"/>
      <c r="C69" s="4" t="s">
        <v>1</v>
      </c>
      <c r="D69" s="75">
        <v>47.891300000000001</v>
      </c>
      <c r="E69" s="45"/>
      <c r="F69" s="14"/>
      <c r="G69" s="15"/>
      <c r="H69" s="98">
        <f t="shared" si="0"/>
        <v>47.891300000000001</v>
      </c>
      <c r="I69" s="75">
        <v>54.302199999999999</v>
      </c>
      <c r="J69" s="102">
        <f t="shared" si="1"/>
        <v>-6.410899999999998</v>
      </c>
    </row>
    <row r="70" spans="2:10" x14ac:dyDescent="0.25">
      <c r="B70" s="5"/>
      <c r="C70" s="4" t="s">
        <v>2</v>
      </c>
      <c r="D70" s="75">
        <v>49.366599999999998</v>
      </c>
      <c r="E70" s="45"/>
      <c r="F70" s="14"/>
      <c r="G70" s="15"/>
      <c r="H70" s="98">
        <f t="shared" si="0"/>
        <v>49.366599999999998</v>
      </c>
      <c r="I70" s="75">
        <v>55.9026</v>
      </c>
      <c r="J70" s="102">
        <f t="shared" si="1"/>
        <v>-6.5360000000000014</v>
      </c>
    </row>
    <row r="71" spans="2:10" x14ac:dyDescent="0.25">
      <c r="B71" s="5"/>
      <c r="C71" s="4" t="s">
        <v>3</v>
      </c>
      <c r="D71" s="75">
        <v>49.666600000000003</v>
      </c>
      <c r="E71" s="45"/>
      <c r="F71" s="14"/>
      <c r="G71" s="15"/>
      <c r="H71" s="98">
        <f t="shared" si="0"/>
        <v>49.666600000000003</v>
      </c>
      <c r="I71" s="75">
        <v>56.251399999999997</v>
      </c>
      <c r="J71" s="102">
        <f t="shared" si="1"/>
        <v>-6.5847999999999942</v>
      </c>
    </row>
    <row r="72" spans="2:10" x14ac:dyDescent="0.25">
      <c r="B72" s="5">
        <v>1991</v>
      </c>
      <c r="C72" s="4" t="s">
        <v>0</v>
      </c>
      <c r="D72" s="75">
        <v>50.812199999999997</v>
      </c>
      <c r="E72" s="45"/>
      <c r="F72" s="14"/>
      <c r="G72" s="15"/>
      <c r="H72" s="98">
        <f t="shared" si="0"/>
        <v>50.812199999999997</v>
      </c>
      <c r="I72" s="75">
        <v>57.423000000000002</v>
      </c>
      <c r="J72" s="102">
        <f t="shared" si="1"/>
        <v>-6.6108000000000047</v>
      </c>
    </row>
    <row r="73" spans="2:10" x14ac:dyDescent="0.25">
      <c r="B73" s="5"/>
      <c r="C73" s="4" t="s">
        <v>1</v>
      </c>
      <c r="D73" s="75">
        <v>51.578699999999998</v>
      </c>
      <c r="E73" s="45"/>
      <c r="F73" s="14"/>
      <c r="G73" s="15"/>
      <c r="H73" s="98">
        <f t="shared" ref="H73:H136" si="2">D73</f>
        <v>51.578699999999998</v>
      </c>
      <c r="I73" s="75">
        <v>58.178800000000003</v>
      </c>
      <c r="J73" s="102">
        <f t="shared" ref="J73:J136" si="3">H73-I73</f>
        <v>-6.6001000000000047</v>
      </c>
    </row>
    <row r="74" spans="2:10" x14ac:dyDescent="0.25">
      <c r="B74" s="5"/>
      <c r="C74" s="4" t="s">
        <v>2</v>
      </c>
      <c r="D74" s="75">
        <v>52.207099999999997</v>
      </c>
      <c r="E74" s="45"/>
      <c r="F74" s="14"/>
      <c r="G74" s="15"/>
      <c r="H74" s="98">
        <f t="shared" si="2"/>
        <v>52.207099999999997</v>
      </c>
      <c r="I74" s="75">
        <v>58.8416</v>
      </c>
      <c r="J74" s="102">
        <f t="shared" si="3"/>
        <v>-6.6345000000000027</v>
      </c>
    </row>
    <row r="75" spans="2:10" x14ac:dyDescent="0.25">
      <c r="B75" s="5"/>
      <c r="C75" s="4" t="s">
        <v>3</v>
      </c>
      <c r="D75" s="75">
        <v>52.892600000000002</v>
      </c>
      <c r="E75" s="45"/>
      <c r="F75" s="14"/>
      <c r="G75" s="15"/>
      <c r="H75" s="98">
        <f t="shared" si="2"/>
        <v>52.892600000000002</v>
      </c>
      <c r="I75" s="75">
        <v>59.597299999999997</v>
      </c>
      <c r="J75" s="102">
        <f t="shared" si="3"/>
        <v>-6.7046999999999954</v>
      </c>
    </row>
    <row r="76" spans="2:10" x14ac:dyDescent="0.25">
      <c r="B76" s="5">
        <v>1992</v>
      </c>
      <c r="C76" s="4" t="s">
        <v>0</v>
      </c>
      <c r="D76" s="75">
        <v>53.4255</v>
      </c>
      <c r="E76" s="45"/>
      <c r="F76" s="14"/>
      <c r="G76" s="15"/>
      <c r="H76" s="98">
        <f t="shared" si="2"/>
        <v>53.4255</v>
      </c>
      <c r="I76" s="75">
        <v>60.120699999999999</v>
      </c>
      <c r="J76" s="102">
        <f t="shared" si="3"/>
        <v>-6.6951999999999998</v>
      </c>
    </row>
    <row r="77" spans="2:10" x14ac:dyDescent="0.25">
      <c r="B77" s="5"/>
      <c r="C77" s="4" t="s">
        <v>1</v>
      </c>
      <c r="D77" s="75">
        <v>53.718000000000004</v>
      </c>
      <c r="E77" s="45"/>
      <c r="F77" s="14"/>
      <c r="G77" s="15"/>
      <c r="H77" s="98">
        <f t="shared" si="2"/>
        <v>53.718000000000004</v>
      </c>
      <c r="I77" s="75">
        <v>60.323300000000003</v>
      </c>
      <c r="J77" s="102">
        <f t="shared" si="3"/>
        <v>-6.6052999999999997</v>
      </c>
    </row>
    <row r="78" spans="2:10" x14ac:dyDescent="0.25">
      <c r="B78" s="5"/>
      <c r="C78" s="4" t="s">
        <v>2</v>
      </c>
      <c r="D78" s="75">
        <v>53.547699999999999</v>
      </c>
      <c r="E78" s="45"/>
      <c r="F78" s="14"/>
      <c r="G78" s="15"/>
      <c r="H78" s="98">
        <f t="shared" si="2"/>
        <v>53.547699999999999</v>
      </c>
      <c r="I78" s="75">
        <v>60.096200000000003</v>
      </c>
      <c r="J78" s="102">
        <f t="shared" si="3"/>
        <v>-6.5485000000000042</v>
      </c>
    </row>
    <row r="79" spans="2:10" x14ac:dyDescent="0.25">
      <c r="B79" s="5"/>
      <c r="C79" s="4" t="s">
        <v>3</v>
      </c>
      <c r="D79" s="75">
        <v>54.103400000000001</v>
      </c>
      <c r="E79" s="45"/>
      <c r="F79" s="14"/>
      <c r="G79" s="15"/>
      <c r="H79" s="98">
        <f t="shared" si="2"/>
        <v>54.103400000000001</v>
      </c>
      <c r="I79" s="75">
        <v>60.659799999999997</v>
      </c>
      <c r="J79" s="102">
        <f t="shared" si="3"/>
        <v>-6.5563999999999965</v>
      </c>
    </row>
    <row r="80" spans="2:10" x14ac:dyDescent="0.25">
      <c r="B80" s="5">
        <v>1993</v>
      </c>
      <c r="C80" s="4" t="s">
        <v>0</v>
      </c>
      <c r="D80" s="75">
        <v>55.116399999999999</v>
      </c>
      <c r="E80" s="45"/>
      <c r="F80" s="14"/>
      <c r="G80" s="15"/>
      <c r="H80" s="98">
        <f t="shared" si="2"/>
        <v>55.116399999999999</v>
      </c>
      <c r="I80" s="75">
        <v>61.6492</v>
      </c>
      <c r="J80" s="102">
        <f t="shared" si="3"/>
        <v>-6.5328000000000017</v>
      </c>
    </row>
    <row r="81" spans="2:10" x14ac:dyDescent="0.25">
      <c r="B81" s="5"/>
      <c r="C81" s="4" t="s">
        <v>1</v>
      </c>
      <c r="D81" s="75">
        <v>54.987200000000001</v>
      </c>
      <c r="E81" s="45"/>
      <c r="F81" s="14"/>
      <c r="G81" s="15"/>
      <c r="H81" s="98">
        <f t="shared" si="2"/>
        <v>54.987200000000001</v>
      </c>
      <c r="I81" s="75">
        <v>61.490299999999998</v>
      </c>
      <c r="J81" s="102">
        <f t="shared" si="3"/>
        <v>-6.5030999999999963</v>
      </c>
    </row>
    <row r="82" spans="2:10" x14ac:dyDescent="0.25">
      <c r="B82" s="5"/>
      <c r="C82" s="4" t="s">
        <v>2</v>
      </c>
      <c r="D82" s="75">
        <v>55.565100000000001</v>
      </c>
      <c r="E82" s="45"/>
      <c r="F82" s="14"/>
      <c r="G82" s="15"/>
      <c r="H82" s="98">
        <f t="shared" si="2"/>
        <v>55.565100000000001</v>
      </c>
      <c r="I82" s="75">
        <v>62.101100000000002</v>
      </c>
      <c r="J82" s="102">
        <f t="shared" si="3"/>
        <v>-6.5360000000000014</v>
      </c>
    </row>
    <row r="83" spans="2:10" x14ac:dyDescent="0.25">
      <c r="B83" s="5"/>
      <c r="C83" s="4" t="s">
        <v>3</v>
      </c>
      <c r="D83" s="75">
        <v>55.924199999999999</v>
      </c>
      <c r="E83" s="45"/>
      <c r="F83" s="14"/>
      <c r="G83" s="15"/>
      <c r="H83" s="98">
        <f t="shared" si="2"/>
        <v>55.924199999999999</v>
      </c>
      <c r="I83" s="75">
        <v>62.432699999999997</v>
      </c>
      <c r="J83" s="102">
        <f t="shared" si="3"/>
        <v>-6.508499999999998</v>
      </c>
    </row>
    <row r="84" spans="2:10" x14ac:dyDescent="0.25">
      <c r="B84" s="5">
        <v>1994</v>
      </c>
      <c r="C84" s="4" t="s">
        <v>0</v>
      </c>
      <c r="D84" s="75">
        <v>56.262300000000003</v>
      </c>
      <c r="E84" s="45"/>
      <c r="F84" s="14"/>
      <c r="G84" s="15"/>
      <c r="H84" s="98">
        <f t="shared" si="2"/>
        <v>56.262300000000003</v>
      </c>
      <c r="I84" s="75">
        <v>62.607599999999998</v>
      </c>
      <c r="J84" s="102">
        <f t="shared" si="3"/>
        <v>-6.3452999999999946</v>
      </c>
    </row>
    <row r="85" spans="2:10" x14ac:dyDescent="0.25">
      <c r="B85" s="5"/>
      <c r="C85" s="4" t="s">
        <v>1</v>
      </c>
      <c r="D85" s="75">
        <v>56.113199999999999</v>
      </c>
      <c r="E85" s="45"/>
      <c r="F85" s="14"/>
      <c r="G85" s="15"/>
      <c r="H85" s="98">
        <f t="shared" si="2"/>
        <v>56.113199999999999</v>
      </c>
      <c r="I85" s="75">
        <v>62.433399999999999</v>
      </c>
      <c r="J85" s="102">
        <f t="shared" si="3"/>
        <v>-6.3201999999999998</v>
      </c>
    </row>
    <row r="86" spans="2:10" x14ac:dyDescent="0.25">
      <c r="B86" s="5"/>
      <c r="C86" s="4" t="s">
        <v>2</v>
      </c>
      <c r="D86" s="75">
        <v>56.149900000000002</v>
      </c>
      <c r="E86" s="45"/>
      <c r="F86" s="14"/>
      <c r="G86" s="15"/>
      <c r="H86" s="98">
        <f t="shared" si="2"/>
        <v>56.149900000000002</v>
      </c>
      <c r="I86" s="75">
        <v>62.425400000000003</v>
      </c>
      <c r="J86" s="102">
        <f t="shared" si="3"/>
        <v>-6.275500000000001</v>
      </c>
    </row>
    <row r="87" spans="2:10" x14ac:dyDescent="0.25">
      <c r="B87" s="5"/>
      <c r="C87" s="4" t="s">
        <v>3</v>
      </c>
      <c r="D87" s="75">
        <v>57.021500000000003</v>
      </c>
      <c r="E87" s="45"/>
      <c r="F87" s="14"/>
      <c r="G87" s="15"/>
      <c r="H87" s="98">
        <f t="shared" si="2"/>
        <v>57.021500000000003</v>
      </c>
      <c r="I87" s="75">
        <v>63.368699999999997</v>
      </c>
      <c r="J87" s="102">
        <f t="shared" si="3"/>
        <v>-6.3471999999999937</v>
      </c>
    </row>
    <row r="88" spans="2:10" x14ac:dyDescent="0.25">
      <c r="B88" s="5">
        <v>1995</v>
      </c>
      <c r="C88" s="4" t="s">
        <v>0</v>
      </c>
      <c r="D88" s="75">
        <v>57.204999999999998</v>
      </c>
      <c r="E88" s="14"/>
      <c r="F88" s="14"/>
      <c r="G88" s="15"/>
      <c r="H88" s="98">
        <f t="shared" si="2"/>
        <v>57.204999999999998</v>
      </c>
      <c r="I88" s="75">
        <v>63.409399999999998</v>
      </c>
      <c r="J88" s="102">
        <f t="shared" si="3"/>
        <v>-6.2043999999999997</v>
      </c>
    </row>
    <row r="89" spans="2:10" x14ac:dyDescent="0.25">
      <c r="B89" s="5"/>
      <c r="C89" s="4" t="s">
        <v>1</v>
      </c>
      <c r="D89" s="75">
        <v>57.764000000000003</v>
      </c>
      <c r="E89" s="14"/>
      <c r="F89" s="14"/>
      <c r="G89" s="15"/>
      <c r="H89" s="98">
        <f t="shared" si="2"/>
        <v>57.764000000000003</v>
      </c>
      <c r="I89" s="75">
        <v>63.963900000000002</v>
      </c>
      <c r="J89" s="102">
        <f t="shared" si="3"/>
        <v>-6.1998999999999995</v>
      </c>
    </row>
    <row r="90" spans="2:10" x14ac:dyDescent="0.25">
      <c r="B90" s="5"/>
      <c r="C90" s="4" t="s">
        <v>2</v>
      </c>
      <c r="D90" s="75">
        <v>58.267299999999999</v>
      </c>
      <c r="E90" s="14"/>
      <c r="F90" s="14"/>
      <c r="G90" s="15"/>
      <c r="H90" s="98">
        <f t="shared" si="2"/>
        <v>58.267299999999999</v>
      </c>
      <c r="I90" s="75">
        <v>64.504400000000004</v>
      </c>
      <c r="J90" s="102">
        <f t="shared" si="3"/>
        <v>-6.2371000000000052</v>
      </c>
    </row>
    <row r="91" spans="2:10" x14ac:dyDescent="0.25">
      <c r="B91" s="5"/>
      <c r="C91" s="4" t="s">
        <v>3</v>
      </c>
      <c r="D91" s="75">
        <v>58.8322</v>
      </c>
      <c r="E91" s="14"/>
      <c r="F91" s="14"/>
      <c r="G91" s="15"/>
      <c r="H91" s="98">
        <f t="shared" si="2"/>
        <v>58.8322</v>
      </c>
      <c r="I91" s="75">
        <v>65.118099999999998</v>
      </c>
      <c r="J91" s="102">
        <f t="shared" si="3"/>
        <v>-6.285899999999998</v>
      </c>
    </row>
    <row r="92" spans="2:10" x14ac:dyDescent="0.25">
      <c r="B92" s="5">
        <v>1996</v>
      </c>
      <c r="C92" s="4" t="s">
        <v>0</v>
      </c>
      <c r="D92" s="75">
        <v>59.609000000000002</v>
      </c>
      <c r="E92" s="46"/>
      <c r="F92" s="14"/>
      <c r="G92" s="15"/>
      <c r="H92" s="98">
        <f t="shared" si="2"/>
        <v>59.609000000000002</v>
      </c>
      <c r="I92" s="75">
        <v>65.779200000000003</v>
      </c>
      <c r="J92" s="102">
        <f t="shared" si="3"/>
        <v>-6.1702000000000012</v>
      </c>
    </row>
    <row r="93" spans="2:10" x14ac:dyDescent="0.25">
      <c r="B93" s="5"/>
      <c r="C93" s="4" t="s">
        <v>1</v>
      </c>
      <c r="D93" s="75">
        <v>60.756300000000003</v>
      </c>
      <c r="E93" s="46"/>
      <c r="F93" s="14"/>
      <c r="G93" s="15"/>
      <c r="H93" s="98">
        <f t="shared" si="2"/>
        <v>60.756300000000003</v>
      </c>
      <c r="I93" s="75">
        <v>66.953299999999999</v>
      </c>
      <c r="J93" s="102">
        <f t="shared" si="3"/>
        <v>-6.1969999999999956</v>
      </c>
    </row>
    <row r="94" spans="2:10" x14ac:dyDescent="0.25">
      <c r="B94" s="5"/>
      <c r="C94" s="4" t="s">
        <v>2</v>
      </c>
      <c r="D94" s="75">
        <v>61.250100000000003</v>
      </c>
      <c r="E94" s="46"/>
      <c r="F94" s="14"/>
      <c r="G94" s="15"/>
      <c r="H94" s="98">
        <f t="shared" si="2"/>
        <v>61.250100000000003</v>
      </c>
      <c r="I94" s="75">
        <v>67.371700000000004</v>
      </c>
      <c r="J94" s="102">
        <f t="shared" si="3"/>
        <v>-6.1216000000000008</v>
      </c>
    </row>
    <row r="95" spans="2:10" x14ac:dyDescent="0.25">
      <c r="B95" s="5"/>
      <c r="C95" s="4" t="s">
        <v>3</v>
      </c>
      <c r="D95" s="75">
        <v>61.632199999999997</v>
      </c>
      <c r="E95" s="46"/>
      <c r="F95" s="14"/>
      <c r="G95" s="15"/>
      <c r="H95" s="98">
        <f t="shared" si="2"/>
        <v>61.632199999999997</v>
      </c>
      <c r="I95" s="75">
        <v>67.384799999999998</v>
      </c>
      <c r="J95" s="102">
        <f t="shared" si="3"/>
        <v>-5.752600000000001</v>
      </c>
    </row>
    <row r="96" spans="2:10" x14ac:dyDescent="0.25">
      <c r="B96" s="5">
        <v>1997</v>
      </c>
      <c r="C96" s="4" t="s">
        <v>0</v>
      </c>
      <c r="D96" s="75">
        <v>60.5473</v>
      </c>
      <c r="E96" s="46"/>
      <c r="F96" s="14"/>
      <c r="G96" s="15"/>
      <c r="H96" s="98">
        <f t="shared" si="2"/>
        <v>60.5473</v>
      </c>
      <c r="I96" s="75">
        <v>66.789699999999996</v>
      </c>
      <c r="J96" s="102">
        <f t="shared" si="3"/>
        <v>-6.2423999999999964</v>
      </c>
    </row>
    <row r="97" spans="2:10" x14ac:dyDescent="0.25">
      <c r="B97" s="5"/>
      <c r="C97" s="4" t="s">
        <v>1</v>
      </c>
      <c r="D97" s="75">
        <v>60.580399999999997</v>
      </c>
      <c r="E97" s="46"/>
      <c r="F97" s="6"/>
      <c r="G97" s="15"/>
      <c r="H97" s="98">
        <f t="shared" si="2"/>
        <v>60.580399999999997</v>
      </c>
      <c r="I97" s="75">
        <v>66.923500000000004</v>
      </c>
      <c r="J97" s="102">
        <f t="shared" si="3"/>
        <v>-6.3431000000000068</v>
      </c>
    </row>
    <row r="98" spans="2:10" x14ac:dyDescent="0.25">
      <c r="B98" s="5"/>
      <c r="C98" s="4" t="s">
        <v>2</v>
      </c>
      <c r="D98" s="75">
        <v>61.804600000000001</v>
      </c>
      <c r="E98" s="46"/>
      <c r="F98" s="6"/>
      <c r="G98" s="15"/>
      <c r="H98" s="98">
        <f t="shared" si="2"/>
        <v>61.804600000000001</v>
      </c>
      <c r="I98" s="75">
        <v>68.476399999999998</v>
      </c>
      <c r="J98" s="102">
        <f t="shared" si="3"/>
        <v>-6.6717999999999975</v>
      </c>
    </row>
    <row r="99" spans="2:10" x14ac:dyDescent="0.25">
      <c r="B99" s="5"/>
      <c r="C99" s="4" t="s">
        <v>3</v>
      </c>
      <c r="D99" s="75">
        <v>60.704999999999998</v>
      </c>
      <c r="E99" s="46"/>
      <c r="F99" s="6"/>
      <c r="G99" s="15"/>
      <c r="H99" s="98">
        <f t="shared" si="2"/>
        <v>60.704999999999998</v>
      </c>
      <c r="I99" s="75">
        <v>67.218800000000002</v>
      </c>
      <c r="J99" s="102">
        <f t="shared" si="3"/>
        <v>-6.5138000000000034</v>
      </c>
    </row>
    <row r="100" spans="2:10" x14ac:dyDescent="0.25">
      <c r="B100" s="5">
        <v>1998</v>
      </c>
      <c r="C100" s="4" t="s">
        <v>0</v>
      </c>
      <c r="D100" s="75">
        <v>61.282600000000002</v>
      </c>
      <c r="E100" s="46"/>
      <c r="F100" s="6"/>
      <c r="G100" s="15"/>
      <c r="H100" s="98">
        <f t="shared" si="2"/>
        <v>61.282600000000002</v>
      </c>
      <c r="I100" s="75">
        <v>67.657600000000002</v>
      </c>
      <c r="J100" s="102">
        <f t="shared" si="3"/>
        <v>-6.375</v>
      </c>
    </row>
    <row r="101" spans="2:10" x14ac:dyDescent="0.25">
      <c r="B101" s="5"/>
      <c r="C101" s="4" t="s">
        <v>1</v>
      </c>
      <c r="D101" s="75">
        <v>61.542299999999997</v>
      </c>
      <c r="E101" s="46"/>
      <c r="F101" s="6"/>
      <c r="G101" s="15"/>
      <c r="H101" s="98">
        <f t="shared" si="2"/>
        <v>61.542299999999997</v>
      </c>
      <c r="I101" s="75">
        <v>67.700299999999999</v>
      </c>
      <c r="J101" s="102">
        <f t="shared" si="3"/>
        <v>-6.1580000000000013</v>
      </c>
    </row>
    <row r="102" spans="2:10" x14ac:dyDescent="0.25">
      <c r="B102" s="5"/>
      <c r="C102" s="4" t="s">
        <v>2</v>
      </c>
      <c r="D102" s="75">
        <v>62.122199999999999</v>
      </c>
      <c r="E102" s="46"/>
      <c r="F102" s="6"/>
      <c r="G102" s="15"/>
      <c r="H102" s="98">
        <f t="shared" si="2"/>
        <v>62.122199999999999</v>
      </c>
      <c r="I102" s="75">
        <v>67.850099999999998</v>
      </c>
      <c r="J102" s="102">
        <f t="shared" si="3"/>
        <v>-5.7278999999999982</v>
      </c>
    </row>
    <row r="103" spans="2:10" x14ac:dyDescent="0.25">
      <c r="B103" s="5"/>
      <c r="C103" s="4" t="s">
        <v>3</v>
      </c>
      <c r="D103" s="75">
        <v>62.464799999999997</v>
      </c>
      <c r="E103" s="46"/>
      <c r="F103" s="6"/>
      <c r="G103" s="15"/>
      <c r="H103" s="98">
        <f t="shared" si="2"/>
        <v>62.464799999999997</v>
      </c>
      <c r="I103" s="75">
        <v>69.094999999999999</v>
      </c>
      <c r="J103" s="102">
        <f t="shared" si="3"/>
        <v>-6.6302000000000021</v>
      </c>
    </row>
    <row r="104" spans="2:10" x14ac:dyDescent="0.25">
      <c r="B104" s="5">
        <v>1999</v>
      </c>
      <c r="C104" s="4" t="s">
        <v>0</v>
      </c>
      <c r="D104" s="75">
        <v>62.558700000000002</v>
      </c>
      <c r="E104" s="46"/>
      <c r="F104" s="6"/>
      <c r="G104" s="15"/>
      <c r="H104" s="98">
        <f t="shared" si="2"/>
        <v>62.558700000000002</v>
      </c>
      <c r="I104" s="75">
        <v>69.118499999999997</v>
      </c>
      <c r="J104" s="102">
        <f t="shared" si="3"/>
        <v>-6.5597999999999956</v>
      </c>
    </row>
    <row r="105" spans="2:10" x14ac:dyDescent="0.25">
      <c r="B105" s="5"/>
      <c r="C105" s="4" t="s">
        <v>1</v>
      </c>
      <c r="D105" s="75">
        <v>62.740699999999997</v>
      </c>
      <c r="E105" s="46"/>
      <c r="F105" s="6"/>
      <c r="G105" s="15"/>
      <c r="H105" s="98">
        <f t="shared" si="2"/>
        <v>62.740699999999997</v>
      </c>
      <c r="I105" s="75">
        <v>68.626300000000001</v>
      </c>
      <c r="J105" s="102">
        <f t="shared" si="3"/>
        <v>-5.8856000000000037</v>
      </c>
    </row>
    <row r="106" spans="2:10" x14ac:dyDescent="0.25">
      <c r="B106" s="5"/>
      <c r="C106" s="4" t="s">
        <v>2</v>
      </c>
      <c r="D106" s="75">
        <v>62.568600000000004</v>
      </c>
      <c r="E106" s="46"/>
      <c r="F106" s="6"/>
      <c r="G106" s="15"/>
      <c r="H106" s="98">
        <f t="shared" si="2"/>
        <v>62.568600000000004</v>
      </c>
      <c r="I106" s="75">
        <v>68.292000000000002</v>
      </c>
      <c r="J106" s="102">
        <f t="shared" si="3"/>
        <v>-5.723399999999998</v>
      </c>
    </row>
    <row r="107" spans="2:10" x14ac:dyDescent="0.25">
      <c r="B107" s="5"/>
      <c r="C107" s="4" t="s">
        <v>3</v>
      </c>
      <c r="D107" s="75">
        <v>63.078800000000001</v>
      </c>
      <c r="E107" s="46"/>
      <c r="F107" s="6"/>
      <c r="G107" s="15"/>
      <c r="H107" s="98">
        <f t="shared" si="2"/>
        <v>63.078800000000001</v>
      </c>
      <c r="I107" s="75">
        <v>68.443799999999996</v>
      </c>
      <c r="J107" s="102">
        <f t="shared" si="3"/>
        <v>-5.3649999999999949</v>
      </c>
    </row>
    <row r="108" spans="2:10" x14ac:dyDescent="0.25">
      <c r="B108" s="5">
        <v>2000</v>
      </c>
      <c r="C108" s="4" t="s">
        <v>0</v>
      </c>
      <c r="D108" s="75">
        <v>63.430300000000003</v>
      </c>
      <c r="E108" s="46"/>
      <c r="F108" s="6"/>
      <c r="G108" s="15"/>
      <c r="H108" s="98">
        <f t="shared" si="2"/>
        <v>63.430300000000003</v>
      </c>
      <c r="I108" s="75">
        <v>69.448499999999996</v>
      </c>
      <c r="J108" s="102">
        <f t="shared" si="3"/>
        <v>-6.0181999999999931</v>
      </c>
    </row>
    <row r="109" spans="2:10" x14ac:dyDescent="0.25">
      <c r="B109" s="5"/>
      <c r="C109" s="4" t="s">
        <v>1</v>
      </c>
      <c r="D109" s="75">
        <v>63.4285</v>
      </c>
      <c r="E109" s="46"/>
      <c r="F109" s="6"/>
      <c r="G109" s="15"/>
      <c r="H109" s="98">
        <f t="shared" si="2"/>
        <v>63.4285</v>
      </c>
      <c r="I109" s="75">
        <v>69.971100000000007</v>
      </c>
      <c r="J109" s="102">
        <f t="shared" si="3"/>
        <v>-6.5426000000000073</v>
      </c>
    </row>
    <row r="110" spans="2:10" x14ac:dyDescent="0.25">
      <c r="B110" s="5"/>
      <c r="C110" s="4" t="s">
        <v>2</v>
      </c>
      <c r="D110" s="75">
        <v>63.705100000000002</v>
      </c>
      <c r="E110" s="46"/>
      <c r="F110" s="6"/>
      <c r="G110" s="15"/>
      <c r="H110" s="98">
        <f t="shared" si="2"/>
        <v>63.705100000000002</v>
      </c>
      <c r="I110" s="75">
        <v>70.350899999999996</v>
      </c>
      <c r="J110" s="102">
        <f t="shared" si="3"/>
        <v>-6.6457999999999942</v>
      </c>
    </row>
    <row r="111" spans="2:10" x14ac:dyDescent="0.25">
      <c r="B111" s="5"/>
      <c r="C111" s="4" t="s">
        <v>3</v>
      </c>
      <c r="D111" s="75">
        <v>63.681199999999997</v>
      </c>
      <c r="E111" s="46"/>
      <c r="F111" s="6"/>
      <c r="G111" s="15"/>
      <c r="H111" s="98">
        <f t="shared" si="2"/>
        <v>63.681199999999997</v>
      </c>
      <c r="I111" s="75">
        <v>70.499700000000004</v>
      </c>
      <c r="J111" s="102">
        <f t="shared" si="3"/>
        <v>-6.8185000000000073</v>
      </c>
    </row>
    <row r="112" spans="2:10" x14ac:dyDescent="0.25">
      <c r="B112" s="5">
        <v>2001</v>
      </c>
      <c r="C112" s="4" t="s">
        <v>0</v>
      </c>
      <c r="D112" s="75">
        <v>64.165599999999998</v>
      </c>
      <c r="E112" s="46"/>
      <c r="F112" s="6"/>
      <c r="G112" s="15"/>
      <c r="H112" s="98">
        <f t="shared" si="2"/>
        <v>64.165599999999998</v>
      </c>
      <c r="I112" s="75">
        <v>70.184600000000003</v>
      </c>
      <c r="J112" s="102">
        <f t="shared" si="3"/>
        <v>-6.0190000000000055</v>
      </c>
    </row>
    <row r="113" spans="2:10" x14ac:dyDescent="0.25">
      <c r="B113" s="5"/>
      <c r="C113" s="4" t="s">
        <v>1</v>
      </c>
      <c r="D113" s="75">
        <v>64.844300000000004</v>
      </c>
      <c r="E113" s="46"/>
      <c r="F113" s="6"/>
      <c r="G113" s="15"/>
      <c r="H113" s="98">
        <f t="shared" si="2"/>
        <v>64.844300000000004</v>
      </c>
      <c r="I113" s="75">
        <v>70.890900000000002</v>
      </c>
      <c r="J113" s="102">
        <f t="shared" si="3"/>
        <v>-6.046599999999998</v>
      </c>
    </row>
    <row r="114" spans="2:10" x14ac:dyDescent="0.25">
      <c r="B114" s="5"/>
      <c r="C114" s="4" t="s">
        <v>2</v>
      </c>
      <c r="D114" s="75">
        <v>64.970200000000006</v>
      </c>
      <c r="E114" s="46"/>
      <c r="F114" s="6"/>
      <c r="G114" s="15"/>
      <c r="H114" s="98">
        <f t="shared" si="2"/>
        <v>64.970200000000006</v>
      </c>
      <c r="I114" s="75">
        <v>70.591300000000004</v>
      </c>
      <c r="J114" s="102">
        <f t="shared" si="3"/>
        <v>-5.6210999999999984</v>
      </c>
    </row>
    <row r="115" spans="2:10" x14ac:dyDescent="0.25">
      <c r="B115" s="5"/>
      <c r="C115" s="4" t="s">
        <v>3</v>
      </c>
      <c r="D115" s="75">
        <v>64.8797</v>
      </c>
      <c r="E115" s="46"/>
      <c r="F115" s="6"/>
      <c r="G115" s="15"/>
      <c r="H115" s="98">
        <f t="shared" si="2"/>
        <v>64.8797</v>
      </c>
      <c r="I115" s="75">
        <v>70.894499999999994</v>
      </c>
      <c r="J115" s="102">
        <f t="shared" si="3"/>
        <v>-6.0147999999999939</v>
      </c>
    </row>
    <row r="116" spans="2:10" x14ac:dyDescent="0.25">
      <c r="B116" s="5">
        <v>2002</v>
      </c>
      <c r="C116" s="4" t="s">
        <v>0</v>
      </c>
      <c r="D116" s="75">
        <v>65.5261</v>
      </c>
      <c r="E116" s="46"/>
      <c r="F116" s="6"/>
      <c r="G116" s="15"/>
      <c r="H116" s="98">
        <f t="shared" si="2"/>
        <v>65.5261</v>
      </c>
      <c r="I116" s="75">
        <v>71.443399999999997</v>
      </c>
      <c r="J116" s="102">
        <f t="shared" si="3"/>
        <v>-5.9172999999999973</v>
      </c>
    </row>
    <row r="117" spans="2:10" x14ac:dyDescent="0.25">
      <c r="B117" s="5"/>
      <c r="C117" s="4" t="s">
        <v>1</v>
      </c>
      <c r="D117" s="75">
        <v>66.012900000000002</v>
      </c>
      <c r="E117" s="46"/>
      <c r="F117" s="6"/>
      <c r="G117" s="15"/>
      <c r="H117" s="98">
        <f t="shared" si="2"/>
        <v>66.012900000000002</v>
      </c>
      <c r="I117" s="75">
        <v>71.860299999999995</v>
      </c>
      <c r="J117" s="102">
        <f t="shared" si="3"/>
        <v>-5.8473999999999933</v>
      </c>
    </row>
    <row r="118" spans="2:10" x14ac:dyDescent="0.25">
      <c r="B118" s="5"/>
      <c r="C118" s="4" t="s">
        <v>2</v>
      </c>
      <c r="D118" s="75">
        <v>66.277900000000002</v>
      </c>
      <c r="E118" s="46"/>
      <c r="F118" s="6"/>
      <c r="G118" s="15"/>
      <c r="H118" s="98">
        <f t="shared" si="2"/>
        <v>66.277900000000002</v>
      </c>
      <c r="I118" s="75">
        <v>72.398799999999994</v>
      </c>
      <c r="J118" s="102">
        <f t="shared" si="3"/>
        <v>-6.1208999999999918</v>
      </c>
    </row>
    <row r="119" spans="2:10" x14ac:dyDescent="0.25">
      <c r="B119" s="5"/>
      <c r="C119" s="4" t="s">
        <v>3</v>
      </c>
      <c r="D119" s="75">
        <v>66.787400000000005</v>
      </c>
      <c r="E119" s="46"/>
      <c r="F119" s="6"/>
      <c r="G119" s="15"/>
      <c r="H119" s="98">
        <f t="shared" si="2"/>
        <v>66.787400000000005</v>
      </c>
      <c r="I119" s="75">
        <v>73.015100000000004</v>
      </c>
      <c r="J119" s="102">
        <f t="shared" si="3"/>
        <v>-6.2276999999999987</v>
      </c>
    </row>
    <row r="120" spans="2:10" x14ac:dyDescent="0.25">
      <c r="B120" s="5">
        <v>2003</v>
      </c>
      <c r="C120" s="4" t="s">
        <v>0</v>
      </c>
      <c r="D120" s="75">
        <v>67.094499999999996</v>
      </c>
      <c r="E120" s="46"/>
      <c r="F120" s="6"/>
      <c r="G120" s="15"/>
      <c r="H120" s="98">
        <f t="shared" si="2"/>
        <v>67.094499999999996</v>
      </c>
      <c r="I120" s="75">
        <v>73.5852</v>
      </c>
      <c r="J120" s="102">
        <f t="shared" si="3"/>
        <v>-6.4907000000000039</v>
      </c>
    </row>
    <row r="121" spans="2:10" x14ac:dyDescent="0.25">
      <c r="B121" s="5"/>
      <c r="C121" s="4" t="s">
        <v>1</v>
      </c>
      <c r="D121" s="75">
        <v>67.826800000000006</v>
      </c>
      <c r="E121" s="46"/>
      <c r="F121" s="6"/>
      <c r="G121" s="15"/>
      <c r="H121" s="98">
        <f t="shared" si="2"/>
        <v>67.826800000000006</v>
      </c>
      <c r="I121" s="75">
        <v>73.532200000000003</v>
      </c>
      <c r="J121" s="102">
        <f t="shared" si="3"/>
        <v>-5.7053999999999974</v>
      </c>
    </row>
    <row r="122" spans="2:10" x14ac:dyDescent="0.25">
      <c r="B122" s="5"/>
      <c r="C122" s="4" t="s">
        <v>2</v>
      </c>
      <c r="D122" s="75">
        <v>68.126099999999994</v>
      </c>
      <c r="E122" s="46"/>
      <c r="F122" s="6"/>
      <c r="G122" s="15"/>
      <c r="H122" s="98">
        <f t="shared" si="2"/>
        <v>68.126099999999994</v>
      </c>
      <c r="I122" s="75">
        <v>73.897400000000005</v>
      </c>
      <c r="J122" s="102">
        <f t="shared" si="3"/>
        <v>-5.7713000000000108</v>
      </c>
    </row>
    <row r="123" spans="2:10" x14ac:dyDescent="0.25">
      <c r="B123" s="5"/>
      <c r="C123" s="4" t="s">
        <v>3</v>
      </c>
      <c r="D123" s="75">
        <v>68.219800000000006</v>
      </c>
      <c r="E123" s="46"/>
      <c r="F123" s="6"/>
      <c r="G123" s="15"/>
      <c r="H123" s="98">
        <f t="shared" si="2"/>
        <v>68.219800000000006</v>
      </c>
      <c r="I123" s="75">
        <v>74.6477</v>
      </c>
      <c r="J123" s="102">
        <f t="shared" si="3"/>
        <v>-6.427899999999994</v>
      </c>
    </row>
    <row r="124" spans="2:10" x14ac:dyDescent="0.25">
      <c r="B124" s="5">
        <v>2004</v>
      </c>
      <c r="C124" s="4" t="s">
        <v>0</v>
      </c>
      <c r="D124" s="75">
        <v>68.488200000000006</v>
      </c>
      <c r="E124" s="46"/>
      <c r="F124" s="6"/>
      <c r="G124" s="15"/>
      <c r="H124" s="98">
        <f t="shared" si="2"/>
        <v>68.488200000000006</v>
      </c>
      <c r="I124" s="75">
        <v>74.8202</v>
      </c>
      <c r="J124" s="102">
        <f t="shared" si="3"/>
        <v>-6.3319999999999936</v>
      </c>
    </row>
    <row r="125" spans="2:10" x14ac:dyDescent="0.25">
      <c r="B125" s="5"/>
      <c r="C125" s="4" t="s">
        <v>1</v>
      </c>
      <c r="D125" s="75">
        <v>69.543199999999999</v>
      </c>
      <c r="E125" s="46"/>
      <c r="F125" s="6"/>
      <c r="G125" s="15"/>
      <c r="H125" s="98">
        <f t="shared" si="2"/>
        <v>69.543199999999999</v>
      </c>
      <c r="I125" s="75">
        <v>75.775899999999993</v>
      </c>
      <c r="J125" s="102">
        <f t="shared" si="3"/>
        <v>-6.2326999999999941</v>
      </c>
    </row>
    <row r="126" spans="2:10" x14ac:dyDescent="0.25">
      <c r="B126" s="5"/>
      <c r="C126" s="4" t="s">
        <v>2</v>
      </c>
      <c r="D126" s="75">
        <v>69.648099999999999</v>
      </c>
      <c r="E126" s="46"/>
      <c r="F126" s="6"/>
      <c r="G126" s="15"/>
      <c r="H126" s="98">
        <f t="shared" si="2"/>
        <v>69.648099999999999</v>
      </c>
      <c r="I126" s="75">
        <v>75.946200000000005</v>
      </c>
      <c r="J126" s="102">
        <f t="shared" si="3"/>
        <v>-6.2981000000000051</v>
      </c>
    </row>
    <row r="127" spans="2:10" x14ac:dyDescent="0.25">
      <c r="B127" s="5"/>
      <c r="C127" s="4" t="s">
        <v>3</v>
      </c>
      <c r="D127" s="75">
        <v>70.789299999999997</v>
      </c>
      <c r="E127" s="46"/>
      <c r="F127" s="6"/>
      <c r="G127" s="15"/>
      <c r="H127" s="98">
        <f t="shared" si="2"/>
        <v>70.789299999999997</v>
      </c>
      <c r="I127" s="75">
        <v>76.426100000000005</v>
      </c>
      <c r="J127" s="102">
        <f t="shared" si="3"/>
        <v>-5.636800000000008</v>
      </c>
    </row>
    <row r="128" spans="2:10" x14ac:dyDescent="0.25">
      <c r="B128" s="5">
        <v>2005</v>
      </c>
      <c r="C128" s="4" t="s">
        <v>0</v>
      </c>
      <c r="D128" s="75">
        <v>70.9328</v>
      </c>
      <c r="E128" s="46"/>
      <c r="F128" s="6"/>
      <c r="G128" s="15"/>
      <c r="H128" s="98">
        <f t="shared" si="2"/>
        <v>70.9328</v>
      </c>
      <c r="I128" s="75">
        <v>76.747299999999996</v>
      </c>
      <c r="J128" s="102">
        <f t="shared" si="3"/>
        <v>-5.8144999999999953</v>
      </c>
    </row>
    <row r="129" spans="2:10" x14ac:dyDescent="0.25">
      <c r="B129" s="5"/>
      <c r="C129" s="4" t="s">
        <v>1</v>
      </c>
      <c r="D129" s="75">
        <v>71.756799999999998</v>
      </c>
      <c r="E129" s="46"/>
      <c r="F129" s="6"/>
      <c r="G129" s="15"/>
      <c r="H129" s="98">
        <f t="shared" si="2"/>
        <v>71.756799999999998</v>
      </c>
      <c r="I129" s="75">
        <v>77.859499999999997</v>
      </c>
      <c r="J129" s="102">
        <f t="shared" si="3"/>
        <v>-6.1026999999999987</v>
      </c>
    </row>
    <row r="130" spans="2:10" x14ac:dyDescent="0.25">
      <c r="B130" s="5"/>
      <c r="C130" s="4" t="s">
        <v>2</v>
      </c>
      <c r="D130" s="75">
        <v>71.995099999999994</v>
      </c>
      <c r="E130" s="46"/>
      <c r="F130" s="6"/>
      <c r="G130" s="15"/>
      <c r="H130" s="98">
        <f t="shared" si="2"/>
        <v>71.995099999999994</v>
      </c>
      <c r="I130" s="75">
        <v>77.699100000000001</v>
      </c>
      <c r="J130" s="102">
        <f t="shared" si="3"/>
        <v>-5.7040000000000077</v>
      </c>
    </row>
    <row r="131" spans="2:10" x14ac:dyDescent="0.25">
      <c r="B131" s="5"/>
      <c r="C131" s="4" t="s">
        <v>3</v>
      </c>
      <c r="D131" s="75">
        <v>72.162999999999997</v>
      </c>
      <c r="E131" s="46"/>
      <c r="F131" s="6"/>
      <c r="G131" s="15"/>
      <c r="H131" s="98">
        <f t="shared" si="2"/>
        <v>72.162999999999997</v>
      </c>
      <c r="I131" s="75">
        <v>78.372399999999999</v>
      </c>
      <c r="J131" s="102">
        <f t="shared" si="3"/>
        <v>-6.2094000000000023</v>
      </c>
    </row>
    <row r="132" spans="2:10" x14ac:dyDescent="0.25">
      <c r="B132" s="5">
        <v>2006</v>
      </c>
      <c r="C132" s="4" t="s">
        <v>0</v>
      </c>
      <c r="D132" s="75">
        <v>72.744799999999998</v>
      </c>
      <c r="E132" s="46"/>
      <c r="F132" s="6"/>
      <c r="G132" s="15"/>
      <c r="H132" s="98">
        <f t="shared" si="2"/>
        <v>72.744799999999998</v>
      </c>
      <c r="I132" s="75">
        <v>78.957599999999999</v>
      </c>
      <c r="J132" s="102">
        <f t="shared" si="3"/>
        <v>-6.2128000000000014</v>
      </c>
    </row>
    <row r="133" spans="2:10" x14ac:dyDescent="0.25">
      <c r="B133" s="5"/>
      <c r="C133" s="4" t="s">
        <v>1</v>
      </c>
      <c r="D133" s="75">
        <v>73.785799999999995</v>
      </c>
      <c r="E133" s="46"/>
      <c r="F133" s="6"/>
      <c r="G133" s="15"/>
      <c r="H133" s="98">
        <f t="shared" si="2"/>
        <v>73.785799999999995</v>
      </c>
      <c r="I133" s="75">
        <v>79.575800000000001</v>
      </c>
      <c r="J133" s="102">
        <f t="shared" si="3"/>
        <v>-5.7900000000000063</v>
      </c>
    </row>
    <row r="134" spans="2:10" x14ac:dyDescent="0.25">
      <c r="B134" s="5"/>
      <c r="C134" s="4" t="s">
        <v>2</v>
      </c>
      <c r="D134" s="75">
        <v>74.557599999999994</v>
      </c>
      <c r="E134" s="46"/>
      <c r="F134" s="6"/>
      <c r="G134" s="15"/>
      <c r="H134" s="98">
        <f t="shared" si="2"/>
        <v>74.557599999999994</v>
      </c>
      <c r="I134" s="75">
        <v>80.403199999999998</v>
      </c>
      <c r="J134" s="102">
        <f t="shared" si="3"/>
        <v>-5.8456000000000046</v>
      </c>
    </row>
    <row r="135" spans="2:10" x14ac:dyDescent="0.25">
      <c r="B135" s="5"/>
      <c r="C135" s="4" t="s">
        <v>3</v>
      </c>
      <c r="D135" s="75">
        <v>74.389099999999999</v>
      </c>
      <c r="E135" s="46"/>
      <c r="F135" s="6"/>
      <c r="G135" s="15"/>
      <c r="H135" s="98">
        <f t="shared" si="2"/>
        <v>74.389099999999999</v>
      </c>
      <c r="I135" s="75">
        <v>80.875900000000001</v>
      </c>
      <c r="J135" s="102">
        <f t="shared" si="3"/>
        <v>-6.4868000000000023</v>
      </c>
    </row>
    <row r="136" spans="2:10" x14ac:dyDescent="0.25">
      <c r="B136" s="5">
        <v>2007</v>
      </c>
      <c r="C136" s="4" t="s">
        <v>0</v>
      </c>
      <c r="D136" s="75">
        <v>74.5685</v>
      </c>
      <c r="E136" s="46"/>
      <c r="F136" s="6"/>
      <c r="G136" s="15"/>
      <c r="H136" s="98">
        <f t="shared" si="2"/>
        <v>74.5685</v>
      </c>
      <c r="I136" s="75">
        <v>81.332800000000006</v>
      </c>
      <c r="J136" s="102">
        <f t="shared" si="3"/>
        <v>-6.7643000000000058</v>
      </c>
    </row>
    <row r="137" spans="2:10" x14ac:dyDescent="0.25">
      <c r="B137" s="5"/>
      <c r="C137" s="4" t="s">
        <v>1</v>
      </c>
      <c r="D137" s="75">
        <v>75.900199999999998</v>
      </c>
      <c r="E137" s="46"/>
      <c r="F137" s="6"/>
      <c r="G137" s="15"/>
      <c r="H137" s="98">
        <f t="shared" ref="H137:H197" si="4">D137</f>
        <v>75.900199999999998</v>
      </c>
      <c r="I137" s="75">
        <v>81.559700000000007</v>
      </c>
      <c r="J137" s="102">
        <f t="shared" ref="J137:J183" si="5">H137-I137</f>
        <v>-5.6595000000000084</v>
      </c>
    </row>
    <row r="138" spans="2:10" x14ac:dyDescent="0.25">
      <c r="B138" s="5"/>
      <c r="C138" s="4" t="s">
        <v>2</v>
      </c>
      <c r="D138" s="75">
        <v>75.989099999999993</v>
      </c>
      <c r="E138" s="46"/>
      <c r="F138" s="6"/>
      <c r="G138" s="15"/>
      <c r="H138" s="98">
        <f t="shared" si="4"/>
        <v>75.989099999999993</v>
      </c>
      <c r="I138" s="75">
        <v>82.338999999999999</v>
      </c>
      <c r="J138" s="102">
        <f t="shared" si="5"/>
        <v>-6.3499000000000052</v>
      </c>
    </row>
    <row r="139" spans="2:10" x14ac:dyDescent="0.25">
      <c r="B139" s="5"/>
      <c r="C139" s="4" t="s">
        <v>3</v>
      </c>
      <c r="D139" s="75">
        <v>75.897300000000001</v>
      </c>
      <c r="E139" s="46"/>
      <c r="F139" s="6"/>
      <c r="G139" s="15"/>
      <c r="H139" s="98">
        <f t="shared" si="4"/>
        <v>75.897300000000001</v>
      </c>
      <c r="I139" s="75">
        <v>82.700299999999999</v>
      </c>
      <c r="J139" s="102">
        <f t="shared" si="5"/>
        <v>-6.8029999999999973</v>
      </c>
    </row>
    <row r="140" spans="2:10" x14ac:dyDescent="0.25">
      <c r="B140" s="5">
        <v>2008</v>
      </c>
      <c r="C140" s="4" t="s">
        <v>0</v>
      </c>
      <c r="D140" s="75">
        <v>76.539400000000001</v>
      </c>
      <c r="E140" s="46"/>
      <c r="F140" s="6"/>
      <c r="G140" s="15"/>
      <c r="H140" s="98">
        <f t="shared" si="4"/>
        <v>76.539400000000001</v>
      </c>
      <c r="I140" s="75">
        <v>83.571200000000005</v>
      </c>
      <c r="J140" s="102">
        <f t="shared" si="5"/>
        <v>-7.031800000000004</v>
      </c>
    </row>
    <row r="141" spans="2:10" x14ac:dyDescent="0.25">
      <c r="B141" s="5"/>
      <c r="C141" s="4" t="s">
        <v>1</v>
      </c>
      <c r="D141" s="75">
        <v>77.630300000000005</v>
      </c>
      <c r="E141" s="46"/>
      <c r="F141" s="6"/>
      <c r="G141" s="15"/>
      <c r="H141" s="98">
        <f t="shared" si="4"/>
        <v>77.630300000000005</v>
      </c>
      <c r="I141" s="75">
        <v>83.780799999999999</v>
      </c>
      <c r="J141" s="102">
        <f t="shared" si="5"/>
        <v>-6.1504999999999939</v>
      </c>
    </row>
    <row r="142" spans="2:10" x14ac:dyDescent="0.25">
      <c r="B142" s="5"/>
      <c r="C142" s="4" t="s">
        <v>2</v>
      </c>
      <c r="D142" s="75">
        <v>78.792199999999994</v>
      </c>
      <c r="E142" s="46"/>
      <c r="F142" s="6"/>
      <c r="G142" s="15"/>
      <c r="H142" s="98">
        <f t="shared" si="4"/>
        <v>78.792199999999994</v>
      </c>
      <c r="I142" s="75">
        <v>84.658299999999997</v>
      </c>
      <c r="J142" s="102">
        <f t="shared" si="5"/>
        <v>-5.866100000000003</v>
      </c>
    </row>
    <row r="143" spans="2:10" x14ac:dyDescent="0.25">
      <c r="B143" s="5"/>
      <c r="C143" s="4" t="s">
        <v>3</v>
      </c>
      <c r="D143" s="75">
        <v>79.534499999999994</v>
      </c>
      <c r="E143" s="46"/>
      <c r="F143" s="6"/>
      <c r="G143" s="15"/>
      <c r="H143" s="98">
        <f t="shared" si="4"/>
        <v>79.534499999999994</v>
      </c>
      <c r="I143" s="75">
        <v>85.316900000000004</v>
      </c>
      <c r="J143" s="102">
        <f t="shared" si="5"/>
        <v>-5.7824000000000098</v>
      </c>
    </row>
    <row r="144" spans="2:10" x14ac:dyDescent="0.25">
      <c r="B144" s="5">
        <v>2009</v>
      </c>
      <c r="C144" s="4" t="s">
        <v>0</v>
      </c>
      <c r="D144" s="75">
        <v>79.363299999999995</v>
      </c>
      <c r="E144" s="46"/>
      <c r="F144" s="6"/>
      <c r="G144" s="15"/>
      <c r="H144" s="98">
        <f t="shared" si="4"/>
        <v>79.363299999999995</v>
      </c>
      <c r="I144" s="75">
        <v>85.377600000000001</v>
      </c>
      <c r="J144" s="102">
        <f t="shared" si="5"/>
        <v>-6.0143000000000058</v>
      </c>
    </row>
    <row r="145" spans="2:10" x14ac:dyDescent="0.25">
      <c r="B145" s="5"/>
      <c r="C145" s="4" t="s">
        <v>1</v>
      </c>
      <c r="D145" s="75">
        <v>79.554500000000004</v>
      </c>
      <c r="E145" s="46"/>
      <c r="F145" s="6"/>
      <c r="G145" s="15"/>
      <c r="H145" s="98">
        <f t="shared" si="4"/>
        <v>79.554500000000004</v>
      </c>
      <c r="I145" s="75">
        <v>85.448800000000006</v>
      </c>
      <c r="J145" s="102">
        <f t="shared" si="5"/>
        <v>-5.8943000000000012</v>
      </c>
    </row>
    <row r="146" spans="2:10" x14ac:dyDescent="0.25">
      <c r="B146" s="5"/>
      <c r="C146" s="4" t="s">
        <v>2</v>
      </c>
      <c r="D146" s="75">
        <v>80.058099999999996</v>
      </c>
      <c r="E146" s="46"/>
      <c r="F146" s="6"/>
      <c r="G146" s="15"/>
      <c r="H146" s="98">
        <f t="shared" si="4"/>
        <v>80.058099999999996</v>
      </c>
      <c r="I146" s="75">
        <v>85.999399999999994</v>
      </c>
      <c r="J146" s="102">
        <f t="shared" si="5"/>
        <v>-5.9412999999999982</v>
      </c>
    </row>
    <row r="147" spans="2:10" x14ac:dyDescent="0.25">
      <c r="B147" s="5"/>
      <c r="C147" s="4" t="s">
        <v>3</v>
      </c>
      <c r="D147" s="75">
        <v>79.415599999999998</v>
      </c>
      <c r="E147" s="46"/>
      <c r="F147" s="6"/>
      <c r="G147" s="15"/>
      <c r="H147" s="98">
        <f t="shared" si="4"/>
        <v>79.415599999999998</v>
      </c>
      <c r="I147" s="75">
        <v>85.914900000000003</v>
      </c>
      <c r="J147" s="102">
        <f t="shared" si="5"/>
        <v>-6.4993000000000052</v>
      </c>
    </row>
    <row r="148" spans="2:10" x14ac:dyDescent="0.25">
      <c r="B148" s="5">
        <v>2010</v>
      </c>
      <c r="C148" s="4" t="s">
        <v>0</v>
      </c>
      <c r="D148" s="75">
        <v>80.510400000000004</v>
      </c>
      <c r="E148" s="46"/>
      <c r="F148" s="6"/>
      <c r="G148" s="15"/>
      <c r="H148" s="98">
        <f t="shared" si="4"/>
        <v>80.510400000000004</v>
      </c>
      <c r="I148" s="75">
        <v>86.573599999999999</v>
      </c>
      <c r="J148" s="102">
        <f t="shared" si="5"/>
        <v>-6.0631999999999948</v>
      </c>
    </row>
    <row r="149" spans="2:10" x14ac:dyDescent="0.25">
      <c r="B149" s="5"/>
      <c r="C149" s="4" t="s">
        <v>1</v>
      </c>
      <c r="D149" s="75">
        <v>80.653300000000002</v>
      </c>
      <c r="E149" s="46"/>
      <c r="F149" s="6"/>
      <c r="G149" s="15"/>
      <c r="H149" s="98">
        <f t="shared" si="4"/>
        <v>80.653300000000002</v>
      </c>
      <c r="I149" s="75">
        <v>87.176400000000001</v>
      </c>
      <c r="J149" s="102">
        <f t="shared" si="5"/>
        <v>-6.5230999999999995</v>
      </c>
    </row>
    <row r="150" spans="2:10" x14ac:dyDescent="0.25">
      <c r="B150" s="5"/>
      <c r="C150" s="4" t="s">
        <v>2</v>
      </c>
      <c r="D150" s="75">
        <v>80.7102</v>
      </c>
      <c r="E150" s="46"/>
      <c r="F150" s="6"/>
      <c r="G150" s="15"/>
      <c r="H150" s="98">
        <f t="shared" si="4"/>
        <v>80.7102</v>
      </c>
      <c r="I150" s="75">
        <v>86.816800000000001</v>
      </c>
      <c r="J150" s="102">
        <f t="shared" si="5"/>
        <v>-6.1066000000000003</v>
      </c>
    </row>
    <row r="151" spans="2:10" x14ac:dyDescent="0.25">
      <c r="B151" s="5"/>
      <c r="C151" s="4" t="s">
        <v>3</v>
      </c>
      <c r="D151" s="75">
        <v>81.075999999999993</v>
      </c>
      <c r="E151" s="46"/>
      <c r="F151" s="6"/>
      <c r="G151" s="15"/>
      <c r="H151" s="98">
        <f t="shared" si="4"/>
        <v>81.075999999999993</v>
      </c>
      <c r="I151" s="75">
        <v>87.4191</v>
      </c>
      <c r="J151" s="102">
        <f t="shared" si="5"/>
        <v>-6.3431000000000068</v>
      </c>
    </row>
    <row r="152" spans="2:10" x14ac:dyDescent="0.25">
      <c r="B152" s="5">
        <v>2011</v>
      </c>
      <c r="C152" s="4" t="s">
        <v>0</v>
      </c>
      <c r="D152" s="75">
        <v>82.429500000000004</v>
      </c>
      <c r="E152" s="46"/>
      <c r="F152" s="6"/>
      <c r="G152" s="15"/>
      <c r="H152" s="98">
        <f t="shared" si="4"/>
        <v>82.429500000000004</v>
      </c>
      <c r="I152" s="75">
        <v>88.924400000000006</v>
      </c>
      <c r="J152" s="102">
        <f t="shared" si="5"/>
        <v>-6.4949000000000012</v>
      </c>
    </row>
    <row r="153" spans="2:10" x14ac:dyDescent="0.25">
      <c r="B153" s="5"/>
      <c r="C153" s="4" t="s">
        <v>1</v>
      </c>
      <c r="D153" s="75">
        <v>81.876300000000001</v>
      </c>
      <c r="E153" s="46"/>
      <c r="F153" s="12"/>
      <c r="G153" s="15"/>
      <c r="H153" s="98">
        <f t="shared" si="4"/>
        <v>81.876300000000001</v>
      </c>
      <c r="I153" s="75">
        <v>88.283799999999999</v>
      </c>
      <c r="J153" s="102">
        <f t="shared" si="5"/>
        <v>-6.4074999999999989</v>
      </c>
    </row>
    <row r="154" spans="2:10" x14ac:dyDescent="0.25">
      <c r="B154" s="5"/>
      <c r="C154" s="4" t="s">
        <v>2</v>
      </c>
      <c r="D154" s="75">
        <v>82.562200000000004</v>
      </c>
      <c r="E154" s="46"/>
      <c r="F154" s="12"/>
      <c r="G154" s="15"/>
      <c r="H154" s="98">
        <f t="shared" si="4"/>
        <v>82.562200000000004</v>
      </c>
      <c r="I154" s="75">
        <v>88.364500000000007</v>
      </c>
      <c r="J154" s="102">
        <f t="shared" si="5"/>
        <v>-5.8023000000000025</v>
      </c>
    </row>
    <row r="155" spans="2:10" x14ac:dyDescent="0.25">
      <c r="B155" s="5"/>
      <c r="C155" s="4" t="s">
        <v>3</v>
      </c>
      <c r="D155" s="75">
        <v>82.946399999999997</v>
      </c>
      <c r="E155" s="46"/>
      <c r="F155" s="12"/>
      <c r="G155" s="15"/>
      <c r="H155" s="98">
        <f t="shared" si="4"/>
        <v>82.946399999999997</v>
      </c>
      <c r="I155" s="75">
        <v>89.097300000000004</v>
      </c>
      <c r="J155" s="102">
        <f t="shared" si="5"/>
        <v>-6.1509000000000071</v>
      </c>
    </row>
    <row r="156" spans="2:10" x14ac:dyDescent="0.25">
      <c r="B156" s="5">
        <v>2012</v>
      </c>
      <c r="C156" s="4" t="s">
        <v>0</v>
      </c>
      <c r="D156" s="75">
        <v>83.241900000000001</v>
      </c>
      <c r="E156" s="46"/>
      <c r="F156" s="12"/>
      <c r="G156" s="15"/>
      <c r="H156" s="98">
        <f t="shared" si="4"/>
        <v>83.241900000000001</v>
      </c>
      <c r="I156" s="75">
        <v>89.197100000000006</v>
      </c>
      <c r="J156" s="102">
        <f t="shared" si="5"/>
        <v>-5.9552000000000049</v>
      </c>
    </row>
    <row r="157" spans="2:10" x14ac:dyDescent="0.25">
      <c r="B157" s="5"/>
      <c r="C157" s="4" t="s">
        <v>1</v>
      </c>
      <c r="D157" s="75">
        <v>83.528499999999994</v>
      </c>
      <c r="E157" s="46"/>
      <c r="F157" s="12"/>
      <c r="G157" s="15"/>
      <c r="H157" s="98">
        <f t="shared" si="4"/>
        <v>83.528499999999994</v>
      </c>
      <c r="I157" s="75">
        <v>89.372500000000002</v>
      </c>
      <c r="J157" s="102">
        <f t="shared" si="5"/>
        <v>-5.8440000000000083</v>
      </c>
    </row>
    <row r="158" spans="2:10" x14ac:dyDescent="0.25">
      <c r="B158" s="5"/>
      <c r="C158" s="4" t="s">
        <v>2</v>
      </c>
      <c r="D158" s="75">
        <v>83.786799999999999</v>
      </c>
      <c r="E158" s="46"/>
      <c r="F158" s="12"/>
      <c r="G158" s="15"/>
      <c r="H158" s="98">
        <f t="shared" si="4"/>
        <v>83.786799999999999</v>
      </c>
      <c r="I158" s="75">
        <v>90.570499999999996</v>
      </c>
      <c r="J158" s="102">
        <f t="shared" si="5"/>
        <v>-6.7836999999999961</v>
      </c>
    </row>
    <row r="159" spans="2:10" x14ac:dyDescent="0.25">
      <c r="B159" s="5"/>
      <c r="C159" s="4" t="s">
        <v>3</v>
      </c>
      <c r="D159" s="75">
        <v>84.120599999999996</v>
      </c>
      <c r="E159" s="46"/>
      <c r="F159" s="12"/>
      <c r="G159" s="15"/>
      <c r="H159" s="98">
        <f t="shared" si="4"/>
        <v>84.120599999999996</v>
      </c>
      <c r="I159" s="75">
        <v>91.058000000000007</v>
      </c>
      <c r="J159" s="102">
        <f t="shared" si="5"/>
        <v>-6.9374000000000109</v>
      </c>
    </row>
    <row r="160" spans="2:10" x14ac:dyDescent="0.25">
      <c r="B160" s="5">
        <v>2013</v>
      </c>
      <c r="C160" s="4" t="s">
        <v>0</v>
      </c>
      <c r="D160" s="75">
        <v>84.919700000000006</v>
      </c>
      <c r="E160" s="46"/>
      <c r="F160" s="12"/>
      <c r="G160" s="15"/>
      <c r="H160" s="98">
        <f t="shared" si="4"/>
        <v>84.919700000000006</v>
      </c>
      <c r="I160" s="75">
        <v>91.087199999999996</v>
      </c>
      <c r="J160" s="102">
        <f t="shared" si="5"/>
        <v>-6.1674999999999898</v>
      </c>
    </row>
    <row r="161" spans="2:10" x14ac:dyDescent="0.25">
      <c r="B161" s="5"/>
      <c r="C161" s="4" t="s">
        <v>1</v>
      </c>
      <c r="D161" s="75">
        <v>85.216200000000001</v>
      </c>
      <c r="E161" s="46"/>
      <c r="F161" s="47"/>
      <c r="G161" s="15"/>
      <c r="H161" s="98">
        <f t="shared" si="4"/>
        <v>85.216200000000001</v>
      </c>
      <c r="I161" s="75">
        <v>91.284599999999998</v>
      </c>
      <c r="J161" s="102">
        <f t="shared" si="5"/>
        <v>-6.0683999999999969</v>
      </c>
    </row>
    <row r="162" spans="2:10" x14ac:dyDescent="0.25">
      <c r="B162" s="5"/>
      <c r="C162" s="4" t="s">
        <v>2</v>
      </c>
      <c r="D162" s="75">
        <v>85.9221</v>
      </c>
      <c r="F162" s="47"/>
      <c r="G162" s="15"/>
      <c r="H162" s="98">
        <f t="shared" si="4"/>
        <v>85.9221</v>
      </c>
      <c r="I162" s="75">
        <v>92.140500000000003</v>
      </c>
      <c r="J162" s="102">
        <f t="shared" si="5"/>
        <v>-6.2184000000000026</v>
      </c>
    </row>
    <row r="163" spans="2:10" x14ac:dyDescent="0.25">
      <c r="B163" s="5"/>
      <c r="C163" s="4" t="s">
        <v>3</v>
      </c>
      <c r="D163" s="75">
        <v>85.880499999999998</v>
      </c>
      <c r="F163" s="47"/>
      <c r="G163" s="15"/>
      <c r="H163" s="98">
        <f t="shared" si="4"/>
        <v>85.880499999999998</v>
      </c>
      <c r="I163" s="75">
        <v>92.404700000000005</v>
      </c>
      <c r="J163" s="102">
        <f t="shared" si="5"/>
        <v>-6.5242000000000075</v>
      </c>
    </row>
    <row r="164" spans="2:10" x14ac:dyDescent="0.25">
      <c r="B164" s="5">
        <v>2014</v>
      </c>
      <c r="C164" s="4" t="s">
        <v>0</v>
      </c>
      <c r="D164" s="75">
        <v>86.329400000000007</v>
      </c>
      <c r="E164" s="14"/>
      <c r="F164" s="47"/>
      <c r="G164" s="15"/>
      <c r="H164" s="98">
        <f t="shared" si="4"/>
        <v>86.329400000000007</v>
      </c>
      <c r="I164" s="75">
        <v>92.901200000000003</v>
      </c>
      <c r="J164" s="102">
        <f t="shared" si="5"/>
        <v>-6.5717999999999961</v>
      </c>
    </row>
    <row r="165" spans="2:10" x14ac:dyDescent="0.25">
      <c r="B165" s="7"/>
      <c r="C165" s="4" t="s">
        <v>1</v>
      </c>
      <c r="D165" s="75">
        <v>86.033000000000001</v>
      </c>
      <c r="E165" s="14"/>
      <c r="F165" s="47"/>
      <c r="G165" s="15"/>
      <c r="H165" s="98">
        <f t="shared" si="4"/>
        <v>86.033000000000001</v>
      </c>
      <c r="I165" s="75">
        <v>93.517300000000006</v>
      </c>
      <c r="J165" s="102">
        <f t="shared" si="5"/>
        <v>-7.4843000000000046</v>
      </c>
    </row>
    <row r="166" spans="2:10" x14ac:dyDescent="0.25">
      <c r="B166" s="8"/>
      <c r="C166" s="9" t="s">
        <v>2</v>
      </c>
      <c r="D166" s="75">
        <v>86.998500000000007</v>
      </c>
      <c r="E166" s="14"/>
      <c r="F166" s="47"/>
      <c r="G166" s="15"/>
      <c r="H166" s="98">
        <f t="shared" si="4"/>
        <v>86.998500000000007</v>
      </c>
      <c r="I166" s="75">
        <v>93.679699999999997</v>
      </c>
      <c r="J166" s="102">
        <f t="shared" si="5"/>
        <v>-6.6811999999999898</v>
      </c>
    </row>
    <row r="167" spans="2:10" x14ac:dyDescent="0.25">
      <c r="B167" s="8"/>
      <c r="C167" s="8" t="s">
        <v>3</v>
      </c>
      <c r="D167" s="75">
        <v>86.949100000000001</v>
      </c>
      <c r="E167" s="14"/>
      <c r="F167" s="47"/>
      <c r="G167" s="15"/>
      <c r="H167" s="98">
        <f t="shared" si="4"/>
        <v>86.949100000000001</v>
      </c>
      <c r="I167" s="75">
        <v>93.111500000000007</v>
      </c>
      <c r="J167" s="102">
        <f t="shared" si="5"/>
        <v>-6.1624000000000052</v>
      </c>
    </row>
    <row r="168" spans="2:10" x14ac:dyDescent="0.25">
      <c r="B168" s="8">
        <v>2015</v>
      </c>
      <c r="C168" s="8" t="s">
        <v>0</v>
      </c>
      <c r="D168" s="75">
        <v>87.147800000000004</v>
      </c>
      <c r="E168" s="14"/>
      <c r="F168" s="47"/>
      <c r="G168" s="15"/>
      <c r="H168" s="98">
        <f t="shared" si="4"/>
        <v>87.147800000000004</v>
      </c>
      <c r="I168" s="75">
        <v>93.160600000000002</v>
      </c>
      <c r="J168" s="102">
        <f t="shared" si="5"/>
        <v>-6.0127999999999986</v>
      </c>
    </row>
    <row r="169" spans="2:10" x14ac:dyDescent="0.25">
      <c r="B169" s="8"/>
      <c r="C169" s="8" t="s">
        <v>1</v>
      </c>
      <c r="D169" s="75">
        <v>86.776799999999994</v>
      </c>
      <c r="E169" s="14"/>
      <c r="F169" s="47"/>
      <c r="G169" s="15"/>
      <c r="H169" s="98">
        <f t="shared" si="4"/>
        <v>86.776799999999994</v>
      </c>
      <c r="I169" s="75">
        <v>94.206199999999995</v>
      </c>
      <c r="J169" s="102">
        <f t="shared" si="5"/>
        <v>-7.4294000000000011</v>
      </c>
    </row>
    <row r="170" spans="2:10" x14ac:dyDescent="0.25">
      <c r="B170" s="8"/>
      <c r="C170" s="8" t="s">
        <v>2</v>
      </c>
      <c r="D170" s="75">
        <v>87.171800000000005</v>
      </c>
      <c r="E170" s="14"/>
      <c r="F170" s="47"/>
      <c r="G170" s="15"/>
      <c r="H170" s="98">
        <f t="shared" si="4"/>
        <v>87.171800000000005</v>
      </c>
      <c r="I170" s="75">
        <v>93.861800000000002</v>
      </c>
      <c r="J170" s="102">
        <f t="shared" si="5"/>
        <v>-6.6899999999999977</v>
      </c>
    </row>
    <row r="171" spans="2:10" x14ac:dyDescent="0.25">
      <c r="B171" s="8"/>
      <c r="C171" s="8" t="s">
        <v>3</v>
      </c>
      <c r="D171" s="75">
        <v>87.686000000000007</v>
      </c>
      <c r="E171" s="14"/>
      <c r="F171" s="47"/>
      <c r="G171" s="15"/>
      <c r="H171" s="98">
        <f t="shared" si="4"/>
        <v>87.686000000000007</v>
      </c>
      <c r="I171" s="75">
        <v>93.606899999999996</v>
      </c>
      <c r="J171" s="102">
        <f t="shared" si="5"/>
        <v>-5.9208999999999889</v>
      </c>
    </row>
    <row r="172" spans="2:10" x14ac:dyDescent="0.25">
      <c r="B172" s="8">
        <v>2016</v>
      </c>
      <c r="C172" s="8" t="s">
        <v>0</v>
      </c>
      <c r="D172" s="75">
        <v>88.258099999999999</v>
      </c>
      <c r="E172" s="14"/>
      <c r="F172" s="47"/>
      <c r="G172" s="15"/>
      <c r="H172" s="98">
        <f t="shared" si="4"/>
        <v>88.258099999999999</v>
      </c>
      <c r="I172" s="75">
        <v>94.779200000000003</v>
      </c>
      <c r="J172" s="102">
        <f t="shared" si="5"/>
        <v>-6.5211000000000041</v>
      </c>
    </row>
    <row r="173" spans="2:10" x14ac:dyDescent="0.25">
      <c r="B173" s="8"/>
      <c r="C173" s="8" t="s">
        <v>1</v>
      </c>
      <c r="D173" s="75">
        <v>88.318799999999996</v>
      </c>
      <c r="E173" s="14"/>
      <c r="F173" s="47"/>
      <c r="G173" s="15"/>
      <c r="H173" s="98">
        <f t="shared" si="4"/>
        <v>88.318799999999996</v>
      </c>
      <c r="I173" s="75">
        <v>95.443899999999999</v>
      </c>
      <c r="J173" s="102">
        <f t="shared" si="5"/>
        <v>-7.1251000000000033</v>
      </c>
    </row>
    <row r="174" spans="2:10" x14ac:dyDescent="0.25">
      <c r="B174" s="8"/>
      <c r="C174" s="8" t="s">
        <v>2</v>
      </c>
      <c r="D174" s="75">
        <v>89.1036</v>
      </c>
      <c r="E174" s="14"/>
      <c r="F174" s="47"/>
      <c r="G174" s="15"/>
      <c r="H174" s="98">
        <f t="shared" si="4"/>
        <v>89.1036</v>
      </c>
      <c r="I174" s="75">
        <v>95.817800000000005</v>
      </c>
      <c r="J174" s="102">
        <f t="shared" si="5"/>
        <v>-6.7142000000000053</v>
      </c>
    </row>
    <row r="175" spans="2:10" x14ac:dyDescent="0.25">
      <c r="B175" s="8"/>
      <c r="C175" s="8" t="s">
        <v>3</v>
      </c>
      <c r="D175" s="75">
        <v>89.646500000000003</v>
      </c>
      <c r="E175" s="14"/>
      <c r="F175" s="47"/>
      <c r="G175" s="15"/>
      <c r="H175" s="98">
        <f t="shared" si="4"/>
        <v>89.646500000000003</v>
      </c>
      <c r="I175" s="75">
        <v>96.508099999999999</v>
      </c>
      <c r="J175" s="102">
        <f t="shared" si="5"/>
        <v>-6.8615999999999957</v>
      </c>
    </row>
    <row r="176" spans="2:10" x14ac:dyDescent="0.25">
      <c r="B176" s="8">
        <v>2017</v>
      </c>
      <c r="C176" s="8" t="s">
        <v>0</v>
      </c>
      <c r="D176" s="75">
        <v>90.007199999999997</v>
      </c>
      <c r="E176" s="14"/>
      <c r="F176" s="47"/>
      <c r="G176" s="10"/>
      <c r="H176" s="98">
        <f t="shared" si="4"/>
        <v>90.007199999999997</v>
      </c>
      <c r="I176" s="75">
        <v>97.260599999999997</v>
      </c>
      <c r="J176" s="102">
        <f t="shared" si="5"/>
        <v>-7.2533999999999992</v>
      </c>
    </row>
    <row r="177" spans="2:10" x14ac:dyDescent="0.25">
      <c r="B177" s="8"/>
      <c r="C177" s="8" t="s">
        <v>1</v>
      </c>
      <c r="D177" s="75">
        <v>90.153599999999997</v>
      </c>
      <c r="E177" s="14"/>
      <c r="F177" s="47"/>
      <c r="G177" s="10"/>
      <c r="H177" s="98">
        <f t="shared" si="4"/>
        <v>90.153599999999997</v>
      </c>
      <c r="I177" s="75">
        <v>97.359300000000005</v>
      </c>
      <c r="J177" s="102">
        <f t="shared" si="5"/>
        <v>-7.2057000000000073</v>
      </c>
    </row>
    <row r="178" spans="2:10" x14ac:dyDescent="0.25">
      <c r="B178" s="8"/>
      <c r="C178" s="8" t="s">
        <v>2</v>
      </c>
      <c r="D178" s="75">
        <v>90.414000000000001</v>
      </c>
      <c r="E178" s="14"/>
      <c r="F178" s="47"/>
      <c r="G178" s="10"/>
      <c r="H178" s="98">
        <f t="shared" si="4"/>
        <v>90.414000000000001</v>
      </c>
      <c r="I178" s="75">
        <v>97.883600000000001</v>
      </c>
      <c r="J178" s="102">
        <f t="shared" si="5"/>
        <v>-7.4695999999999998</v>
      </c>
    </row>
    <row r="179" spans="2:10" x14ac:dyDescent="0.25">
      <c r="B179" s="8"/>
      <c r="C179" s="8" t="s">
        <v>3</v>
      </c>
      <c r="D179" s="75">
        <v>91.120500000000007</v>
      </c>
      <c r="E179" s="14"/>
      <c r="F179" s="47"/>
      <c r="G179" s="10"/>
      <c r="H179" s="98">
        <f t="shared" si="4"/>
        <v>91.120500000000007</v>
      </c>
      <c r="I179" s="75">
        <v>98.4816</v>
      </c>
      <c r="J179" s="102">
        <f t="shared" si="5"/>
        <v>-7.3610999999999933</v>
      </c>
    </row>
    <row r="180" spans="2:10" x14ac:dyDescent="0.25">
      <c r="B180" s="8">
        <v>2018</v>
      </c>
      <c r="C180" s="8" t="s">
        <v>0</v>
      </c>
      <c r="D180" s="75">
        <v>91.342699999999994</v>
      </c>
      <c r="E180" s="14"/>
      <c r="F180" s="47"/>
      <c r="G180" s="10"/>
      <c r="H180" s="98">
        <f t="shared" si="4"/>
        <v>91.342699999999994</v>
      </c>
      <c r="I180" s="75">
        <v>99.070899999999995</v>
      </c>
      <c r="J180" s="102">
        <f t="shared" si="5"/>
        <v>-7.7282000000000011</v>
      </c>
    </row>
    <row r="181" spans="2:10" x14ac:dyDescent="0.25">
      <c r="B181" s="8"/>
      <c r="C181" s="8" t="s">
        <v>1</v>
      </c>
      <c r="D181" s="75">
        <v>91.764399999999995</v>
      </c>
      <c r="E181" s="14"/>
      <c r="F181" s="47"/>
      <c r="G181" s="10"/>
      <c r="H181" s="98">
        <f t="shared" si="4"/>
        <v>91.764399999999995</v>
      </c>
      <c r="I181" s="75">
        <v>99.329800000000006</v>
      </c>
      <c r="J181" s="102">
        <f t="shared" si="5"/>
        <v>-7.565400000000011</v>
      </c>
    </row>
    <row r="182" spans="2:10" x14ac:dyDescent="0.25">
      <c r="B182" s="8"/>
      <c r="C182" s="8" t="s">
        <v>2</v>
      </c>
      <c r="D182" s="75">
        <v>92.069199999999995</v>
      </c>
      <c r="E182" s="14"/>
      <c r="F182" s="47"/>
      <c r="G182" s="10"/>
      <c r="H182" s="98">
        <f t="shared" si="4"/>
        <v>92.069199999999995</v>
      </c>
      <c r="I182" s="75">
        <v>99.781599999999997</v>
      </c>
      <c r="J182" s="102">
        <f t="shared" si="5"/>
        <v>-7.7124000000000024</v>
      </c>
    </row>
    <row r="183" spans="2:10" x14ac:dyDescent="0.25">
      <c r="B183" s="8"/>
      <c r="C183" s="8" t="s">
        <v>3</v>
      </c>
      <c r="D183" s="75">
        <v>92.805099999999996</v>
      </c>
      <c r="E183" s="14"/>
      <c r="F183" s="47"/>
      <c r="G183" s="10"/>
      <c r="H183" s="98">
        <f t="shared" si="4"/>
        <v>92.805099999999996</v>
      </c>
      <c r="I183" s="75">
        <v>100.224</v>
      </c>
      <c r="J183" s="102">
        <f t="shared" si="5"/>
        <v>-7.4189000000000078</v>
      </c>
    </row>
    <row r="184" spans="2:10" x14ac:dyDescent="0.25">
      <c r="B184">
        <v>2019</v>
      </c>
      <c r="C184" s="8" t="s">
        <v>0</v>
      </c>
      <c r="D184" s="75">
        <v>92.877600000000001</v>
      </c>
      <c r="E184" s="14"/>
      <c r="F184" s="47"/>
      <c r="G184" s="11"/>
      <c r="H184" s="98">
        <f t="shared" si="4"/>
        <v>92.877600000000001</v>
      </c>
    </row>
    <row r="185" spans="2:10" x14ac:dyDescent="0.25">
      <c r="C185" s="8" t="s">
        <v>1</v>
      </c>
      <c r="D185" s="75">
        <v>93.642200000000003</v>
      </c>
      <c r="E185" s="14"/>
      <c r="F185" s="47"/>
      <c r="G185" s="11"/>
      <c r="H185" s="98">
        <f t="shared" si="4"/>
        <v>93.642200000000003</v>
      </c>
    </row>
    <row r="186" spans="2:10" x14ac:dyDescent="0.25">
      <c r="C186" s="8" t="s">
        <v>2</v>
      </c>
      <c r="D186" s="75">
        <v>94.227199999999996</v>
      </c>
      <c r="E186" s="12"/>
      <c r="F186" s="47"/>
      <c r="G186" s="11"/>
      <c r="H186" s="98">
        <f t="shared" si="4"/>
        <v>94.227199999999996</v>
      </c>
    </row>
    <row r="187" spans="2:10" x14ac:dyDescent="0.25">
      <c r="C187" s="8" t="s">
        <v>3</v>
      </c>
      <c r="D187" s="75">
        <v>95.0124</v>
      </c>
      <c r="E187" s="12"/>
      <c r="F187" s="47"/>
      <c r="G187" s="11"/>
      <c r="H187" s="98">
        <f t="shared" si="4"/>
        <v>95.0124</v>
      </c>
    </row>
    <row r="188" spans="2:10" x14ac:dyDescent="0.25">
      <c r="B188">
        <v>2020</v>
      </c>
      <c r="C188" s="8" t="s">
        <v>0</v>
      </c>
      <c r="D188" s="75">
        <v>96.244100000000003</v>
      </c>
      <c r="E188" s="16"/>
      <c r="F188" s="47"/>
      <c r="G188" s="11"/>
      <c r="H188" s="98">
        <f t="shared" si="4"/>
        <v>96.244100000000003</v>
      </c>
    </row>
    <row r="189" spans="2:10" x14ac:dyDescent="0.25">
      <c r="C189" s="8" t="s">
        <v>1</v>
      </c>
      <c r="D189" s="75">
        <v>103.5271</v>
      </c>
      <c r="E189" s="16"/>
      <c r="F189" s="47"/>
      <c r="G189" s="11"/>
      <c r="H189" s="98">
        <f t="shared" si="4"/>
        <v>103.5271</v>
      </c>
    </row>
    <row r="190" spans="2:10" x14ac:dyDescent="0.25">
      <c r="C190" s="8" t="s">
        <v>2</v>
      </c>
      <c r="D190" s="75">
        <v>99.662899999999993</v>
      </c>
      <c r="E190" s="16"/>
      <c r="F190" s="47"/>
      <c r="G190" s="11"/>
      <c r="H190" s="98">
        <f t="shared" si="4"/>
        <v>99.662899999999993</v>
      </c>
    </row>
    <row r="191" spans="2:10" x14ac:dyDescent="0.25">
      <c r="C191" s="8" t="s">
        <v>3</v>
      </c>
      <c r="D191" s="75">
        <v>99.480500000000006</v>
      </c>
      <c r="E191" s="16"/>
      <c r="F191" s="47"/>
      <c r="G191" s="11"/>
      <c r="H191" s="98">
        <f t="shared" si="4"/>
        <v>99.480500000000006</v>
      </c>
    </row>
    <row r="192" spans="2:10" x14ac:dyDescent="0.25">
      <c r="B192">
        <v>2021</v>
      </c>
      <c r="C192" s="8" t="s">
        <v>0</v>
      </c>
      <c r="D192" s="75">
        <v>100.2115</v>
      </c>
      <c r="E192" s="16"/>
      <c r="F192" s="47"/>
      <c r="G192" s="11"/>
      <c r="H192" s="98">
        <f t="shared" si="4"/>
        <v>100.2115</v>
      </c>
    </row>
    <row r="193" spans="2:8" x14ac:dyDescent="0.25">
      <c r="C193" s="8" t="s">
        <v>1</v>
      </c>
      <c r="D193" s="75">
        <v>98.326899999999995</v>
      </c>
      <c r="E193" s="16"/>
      <c r="F193" s="47"/>
      <c r="G193" s="11"/>
      <c r="H193" s="98">
        <f t="shared" si="4"/>
        <v>98.326899999999995</v>
      </c>
    </row>
    <row r="194" spans="2:8" x14ac:dyDescent="0.25">
      <c r="C194" s="8" t="s">
        <v>2</v>
      </c>
      <c r="D194" s="75">
        <v>99.248599999999996</v>
      </c>
      <c r="E194" s="17"/>
      <c r="F194" s="47"/>
      <c r="G194" s="11"/>
      <c r="H194" s="98">
        <f t="shared" si="4"/>
        <v>99.248599999999996</v>
      </c>
    </row>
    <row r="195" spans="2:8" x14ac:dyDescent="0.25">
      <c r="C195" s="8" t="s">
        <v>3</v>
      </c>
      <c r="D195" s="75">
        <v>100.3617</v>
      </c>
      <c r="E195" s="16"/>
      <c r="F195" s="47"/>
      <c r="G195" s="11"/>
      <c r="H195" s="98">
        <f t="shared" si="4"/>
        <v>100.3617</v>
      </c>
    </row>
    <row r="196" spans="2:8" x14ac:dyDescent="0.25">
      <c r="B196">
        <v>2022</v>
      </c>
      <c r="C196" s="8" t="s">
        <v>0</v>
      </c>
      <c r="D196" s="75">
        <v>102.0628</v>
      </c>
      <c r="E196" s="16"/>
      <c r="F196" s="47"/>
      <c r="G196" s="11"/>
      <c r="H196" s="98">
        <f t="shared" si="4"/>
        <v>102.0628</v>
      </c>
    </row>
    <row r="197" spans="2:8" x14ac:dyDescent="0.25">
      <c r="C197" s="8" t="s">
        <v>1</v>
      </c>
      <c r="D197" s="75">
        <v>103.7615</v>
      </c>
      <c r="E197" s="16"/>
      <c r="F197" s="47"/>
      <c r="G197" s="11"/>
      <c r="H197" s="98">
        <f t="shared" si="4"/>
        <v>103.7615</v>
      </c>
    </row>
  </sheetData>
  <hyperlinks>
    <hyperlink ref="D6" r:id="rId1" display="https://www.ons.gov.uk/economy/grossdomesticproductgdp/timeseries/l8gg/pn2?referrer=search&amp;searchTerm=l8gg" xr:uid="{453AF1A8-9D24-4424-9CCC-7064C8F7C1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DATASHEET</vt:lpstr>
      <vt:lpstr>House building</vt:lpstr>
      <vt:lpstr>Nominal house prices</vt:lpstr>
      <vt:lpstr>Nominal construction costs</vt:lpstr>
      <vt:lpstr>Transactions</vt:lpstr>
      <vt:lpstr>Private housing stock</vt:lpstr>
      <vt:lpstr>Interest rate</vt:lpstr>
      <vt:lpstr>House price (income) deflator</vt:lpstr>
      <vt:lpstr>Construction cost deflator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Walker</dc:creator>
  <cp:lastModifiedBy>Chris Walker</cp:lastModifiedBy>
  <dcterms:created xsi:type="dcterms:W3CDTF">2023-03-30T12:02:22Z</dcterms:created>
  <dcterms:modified xsi:type="dcterms:W3CDTF">2023-03-31T13:10:16Z</dcterms:modified>
</cp:coreProperties>
</file>