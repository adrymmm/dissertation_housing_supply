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weconomics-my.sharepoint.com/personal/paul_cweconomics_co_uk/Documents/"/>
    </mc:Choice>
  </mc:AlternateContent>
  <xr:revisionPtr revIDLastSave="60" documentId="8_{7307389B-41EE-4E45-8F8F-7B9C34E4C718}" xr6:coauthVersionLast="47" xr6:coauthVersionMax="47" xr10:uidLastSave="{F67B9117-953E-4913-A27E-C38C49C59BD3}"/>
  <bookViews>
    <workbookView xWindow="-110" yWindow="-110" windowWidth="19420" windowHeight="11500" xr2:uid="{A3C56FFD-019E-4B09-83E1-37DC5947AD1D}"/>
  </bookViews>
  <sheets>
    <sheet name="Englan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" i="2" l="1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6" i="2"/>
  <c r="E6" i="2"/>
  <c r="E7" i="2"/>
  <c r="E8" i="2"/>
  <c r="E9" i="2"/>
  <c r="E10" i="2"/>
  <c r="E11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12" i="2"/>
</calcChain>
</file>

<file path=xl/sharedStrings.xml><?xml version="1.0" encoding="utf-8"?>
<sst xmlns="http://schemas.openxmlformats.org/spreadsheetml/2006/main" count="48" uniqueCount="40">
  <si>
    <t>Live tables on housing supply: net additional dwellings - GOV.UK</t>
  </si>
  <si>
    <t>Net additions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</si>
  <si>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</si>
  <si>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</si>
  <si>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</si>
  <si>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</si>
  <si>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</si>
  <si>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</si>
  <si>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</si>
  <si>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</si>
  <si>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</si>
  <si>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</si>
  <si>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</si>
  <si>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</si>
  <si>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</si>
  <si>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</si>
  <si>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</si>
  <si>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</si>
  <si>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</si>
  <si>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</si>
  <si>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</si>
  <si>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</si>
  <si>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</si>
  <si>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</si>
  <si>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</si>
  <si>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</si>
  <si>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</si>
  <si>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LT118</t>
  </si>
  <si>
    <t>[x]</t>
  </si>
  <si>
    <t>https://www.gov.uk/government/statistical-data-sets/live-tables-on-affordable-housing-supply</t>
  </si>
  <si>
    <t>LT1011c</t>
  </si>
  <si>
    <t>Residual</t>
  </si>
  <si>
    <t>New build_AH_completions</t>
  </si>
  <si>
    <t>New build_private_completions</t>
  </si>
  <si>
    <t>New build_AH_completions_s106 nil grant</t>
  </si>
  <si>
    <t>New build_AH_completions_other*</t>
  </si>
  <si>
    <t>*Most of this is grant-funded through Affordable Homes Programme</t>
  </si>
  <si>
    <t>New Build component</t>
  </si>
  <si>
    <t>LT1011c (from the second link) is a pivot table - select New Build only</t>
  </si>
  <si>
    <t>In the rows of the pivot - just keep LT1000 rather than tenure to get total for s106 nil grant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</si>
</sst>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3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3" fontId="0" fillId="2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v.uk/government/statistical-data-sets/live-tables-on-affordable-housing-supply" TargetMode="External"/><Relationship Id="rId1" Type="http://schemas.openxmlformats.org/officeDocument/2006/relationships/hyperlink" Target="https://www.gov.uk/government/statistical-data-sets/live-tables-on-net-supply-of-hous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0ECD6-6E13-421F-B6E3-BE628C1AF6A4}">
  <dimension ref="A1:J30"/>
  <sheetViews>
    <sheetView tabSelected="1" workbookViewId="0">
      <selection activeCell="J8" sqref="J8"/>
    </sheetView>
  </sheetViews>
  <sheetFormatPr defaultRowHeight="14.5" x14ac:dyDescent="0.35"/>
  <cols>
    <col min="10" max="10" width="24" customWidth="1"/>
  </cols>
  <sheetData>
    <row r="1" spans="1:10" x14ac:dyDescent="0.35">
      <c r="B1" s="1" t="s">
        <v>0</v>
      </c>
      <c r="C1" s="1"/>
      <c r="D1" s="1"/>
    </row>
    <row r="2" spans="1:10" x14ac:dyDescent="0.35">
      <c r="B2" s="1" t="s">
        <v>29</v>
      </c>
      <c r="C2" s="1"/>
      <c r="D2" s="1"/>
    </row>
    <row r="3" spans="1:10" x14ac:dyDescent="0.35">
      <c r="B3" s="1"/>
      <c r="C3" s="1"/>
      <c r="D3" s="1"/>
    </row>
    <row r="4" spans="1:10" s="3" customFormat="1" ht="72.5" x14ac:dyDescent="0.35">
      <c r="B4" s="3" t="s">
        <v>1</v>
      </c>
      <c r="C4" s="3" t="s">
        <v>37</v>
      </c>
      <c r="D4" s="3" t="s">
        <v>32</v>
      </c>
      <c r="E4" s="3" t="s">
        <v>33</v>
      </c>
      <c r="G4" s="3" t="s">
        <v>34</v>
      </c>
      <c r="H4" s="3" t="s">
        <v>35</v>
      </c>
      <c r="J4" s="3" t="s">
        <v>36</v>
      </c>
    </row>
    <row r="5" spans="1:10" x14ac:dyDescent="0.35">
      <c r="B5" t="s">
        <v>27</v>
      </c>
      <c r="C5" t="s">
        <v>27</v>
      </c>
      <c r="D5" t="s">
        <v>30</v>
      </c>
      <c r="E5" t="s">
        <v>31</v>
      </c>
      <c r="G5" t="s">
        <v>30</v>
      </c>
      <c r="H5" t="s">
        <v>30</v>
      </c>
    </row>
    <row r="6" spans="1:10" x14ac:dyDescent="0.35">
      <c r="A6" s="4" t="s">
        <v>2</v>
      </c>
      <c r="B6" s="5">
        <v>132000</v>
      </c>
      <c r="C6" s="5" t="s">
        <v>28</v>
      </c>
      <c r="D6" s="5">
        <v>20939</v>
      </c>
      <c r="E6" s="5" t="e">
        <f t="shared" ref="E6:E11" si="0">C6-D6</f>
        <v>#VALUE!</v>
      </c>
      <c r="F6" s="4"/>
      <c r="G6" s="5">
        <v>1201</v>
      </c>
      <c r="H6" s="5">
        <f>D6-G6</f>
        <v>19738</v>
      </c>
      <c r="J6" t="s">
        <v>38</v>
      </c>
    </row>
    <row r="7" spans="1:10" x14ac:dyDescent="0.35">
      <c r="A7" s="4" t="s">
        <v>3</v>
      </c>
      <c r="B7" s="5">
        <v>146704</v>
      </c>
      <c r="C7" s="5" t="s">
        <v>28</v>
      </c>
      <c r="D7" s="5">
        <v>21739</v>
      </c>
      <c r="E7" s="5" t="e">
        <f t="shared" si="0"/>
        <v>#VALUE!</v>
      </c>
      <c r="F7" s="4"/>
      <c r="G7" s="5">
        <v>2129</v>
      </c>
      <c r="H7" s="5">
        <f t="shared" ref="H7:H30" si="1">D7-G7</f>
        <v>19610</v>
      </c>
      <c r="J7" t="s">
        <v>39</v>
      </c>
    </row>
    <row r="8" spans="1:10" x14ac:dyDescent="0.35">
      <c r="A8" s="4" t="s">
        <v>4</v>
      </c>
      <c r="B8" s="5">
        <v>159875</v>
      </c>
      <c r="C8" s="5" t="s">
        <v>28</v>
      </c>
      <c r="D8" s="5">
        <v>21096</v>
      </c>
      <c r="E8" s="5" t="e">
        <f t="shared" si="0"/>
        <v>#VALUE!</v>
      </c>
      <c r="F8" s="4"/>
      <c r="G8" s="5">
        <v>1976</v>
      </c>
      <c r="H8" s="5">
        <f t="shared" si="1"/>
        <v>19120</v>
      </c>
    </row>
    <row r="9" spans="1:10" x14ac:dyDescent="0.35">
      <c r="A9" s="4" t="s">
        <v>5</v>
      </c>
      <c r="B9" s="5">
        <v>170969</v>
      </c>
      <c r="C9" s="5" t="s">
        <v>28</v>
      </c>
      <c r="D9" s="5">
        <v>23888</v>
      </c>
      <c r="E9" s="5" t="e">
        <f t="shared" si="0"/>
        <v>#VALUE!</v>
      </c>
      <c r="F9" s="4"/>
      <c r="G9" s="5">
        <v>3126</v>
      </c>
      <c r="H9" s="5">
        <f t="shared" si="1"/>
        <v>20762</v>
      </c>
    </row>
    <row r="10" spans="1:10" x14ac:dyDescent="0.35">
      <c r="A10" s="4" t="s">
        <v>6</v>
      </c>
      <c r="B10" s="5">
        <v>185553</v>
      </c>
      <c r="C10" s="5" t="s">
        <v>28</v>
      </c>
      <c r="D10" s="5">
        <v>26929</v>
      </c>
      <c r="E10" s="5" t="e">
        <f t="shared" si="0"/>
        <v>#VALUE!</v>
      </c>
      <c r="F10" s="4"/>
      <c r="G10" s="5">
        <v>3422</v>
      </c>
      <c r="H10" s="5">
        <f t="shared" si="1"/>
        <v>23507</v>
      </c>
    </row>
    <row r="11" spans="1:10" x14ac:dyDescent="0.35">
      <c r="A11" s="4" t="s">
        <v>7</v>
      </c>
      <c r="B11" s="5">
        <v>202653</v>
      </c>
      <c r="C11" s="5" t="s">
        <v>28</v>
      </c>
      <c r="D11" s="5">
        <v>34424</v>
      </c>
      <c r="E11" s="5" t="e">
        <f t="shared" si="0"/>
        <v>#VALUE!</v>
      </c>
      <c r="F11" s="4"/>
      <c r="G11" s="5">
        <v>6363</v>
      </c>
      <c r="H11" s="5">
        <f t="shared" si="1"/>
        <v>28061</v>
      </c>
    </row>
    <row r="12" spans="1:10" x14ac:dyDescent="0.35">
      <c r="A12" t="s">
        <v>8</v>
      </c>
      <c r="B12" s="2">
        <v>214936</v>
      </c>
      <c r="C12" s="2">
        <v>193080</v>
      </c>
      <c r="D12" s="2">
        <v>37205</v>
      </c>
      <c r="E12" s="2">
        <f>C12-D12</f>
        <v>155875</v>
      </c>
      <c r="G12" s="2">
        <v>7195</v>
      </c>
      <c r="H12" s="2">
        <f t="shared" si="1"/>
        <v>30010</v>
      </c>
    </row>
    <row r="13" spans="1:10" x14ac:dyDescent="0.35">
      <c r="A13" t="s">
        <v>9</v>
      </c>
      <c r="B13" s="2">
        <v>223534</v>
      </c>
      <c r="C13" s="2">
        <v>200300</v>
      </c>
      <c r="D13" s="2">
        <v>44442</v>
      </c>
      <c r="E13" s="2">
        <f t="shared" ref="E13:E30" si="2">C13-D13</f>
        <v>155858</v>
      </c>
      <c r="G13" s="2">
        <v>8360</v>
      </c>
      <c r="H13" s="2">
        <f t="shared" si="1"/>
        <v>36082</v>
      </c>
    </row>
    <row r="14" spans="1:10" x14ac:dyDescent="0.35">
      <c r="A14" t="s">
        <v>10</v>
      </c>
      <c r="B14" s="2">
        <v>182767</v>
      </c>
      <c r="C14" s="2">
        <v>157630</v>
      </c>
      <c r="D14" s="2">
        <v>44288</v>
      </c>
      <c r="E14" s="2">
        <f t="shared" si="2"/>
        <v>113342</v>
      </c>
      <c r="G14" s="2">
        <v>6878</v>
      </c>
      <c r="H14" s="2">
        <f t="shared" si="1"/>
        <v>37410</v>
      </c>
    </row>
    <row r="15" spans="1:10" x14ac:dyDescent="0.35">
      <c r="A15" t="s">
        <v>11</v>
      </c>
      <c r="B15" s="2">
        <v>144870</v>
      </c>
      <c r="C15" s="2">
        <v>124198</v>
      </c>
      <c r="D15" s="2">
        <v>48067</v>
      </c>
      <c r="E15" s="2">
        <f t="shared" si="2"/>
        <v>76131</v>
      </c>
      <c r="G15" s="2">
        <v>3729</v>
      </c>
      <c r="H15" s="2">
        <f t="shared" si="1"/>
        <v>44338</v>
      </c>
    </row>
    <row r="16" spans="1:10" x14ac:dyDescent="0.35">
      <c r="A16" t="s">
        <v>12</v>
      </c>
      <c r="B16" s="2">
        <v>137394</v>
      </c>
      <c r="C16" s="2">
        <v>117695</v>
      </c>
      <c r="D16" s="2">
        <v>53182</v>
      </c>
      <c r="E16" s="2">
        <f t="shared" si="2"/>
        <v>64513</v>
      </c>
      <c r="G16" s="2">
        <v>3491</v>
      </c>
      <c r="H16" s="2">
        <f t="shared" si="1"/>
        <v>49691</v>
      </c>
    </row>
    <row r="17" spans="1:8" x14ac:dyDescent="0.35">
      <c r="A17" t="s">
        <v>13</v>
      </c>
      <c r="B17" s="2">
        <v>140785</v>
      </c>
      <c r="C17" s="2">
        <v>128159</v>
      </c>
      <c r="D17" s="2">
        <v>53028</v>
      </c>
      <c r="E17" s="2">
        <f t="shared" si="2"/>
        <v>75131</v>
      </c>
      <c r="G17" s="2">
        <v>4581</v>
      </c>
      <c r="H17" s="2">
        <f t="shared" si="1"/>
        <v>48447</v>
      </c>
    </row>
    <row r="18" spans="1:8" x14ac:dyDescent="0.35">
      <c r="A18" t="s">
        <v>14</v>
      </c>
      <c r="B18" s="2">
        <v>130611</v>
      </c>
      <c r="C18" s="2">
        <v>118536</v>
      </c>
      <c r="D18" s="2">
        <v>39506</v>
      </c>
      <c r="E18" s="2">
        <f t="shared" si="2"/>
        <v>79030</v>
      </c>
      <c r="G18" s="2">
        <v>7583</v>
      </c>
      <c r="H18" s="2">
        <f t="shared" si="1"/>
        <v>31923</v>
      </c>
    </row>
    <row r="19" spans="1:8" x14ac:dyDescent="0.35">
      <c r="A19" t="s">
        <v>15</v>
      </c>
      <c r="B19" s="2">
        <v>142494</v>
      </c>
      <c r="C19" s="2">
        <v>130344</v>
      </c>
      <c r="D19" s="2">
        <v>36770</v>
      </c>
      <c r="E19" s="2">
        <f t="shared" si="2"/>
        <v>93574</v>
      </c>
      <c r="G19" s="2">
        <v>11572</v>
      </c>
      <c r="H19" s="2">
        <f t="shared" si="1"/>
        <v>25198</v>
      </c>
    </row>
    <row r="20" spans="1:8" x14ac:dyDescent="0.35">
      <c r="A20" t="s">
        <v>16</v>
      </c>
      <c r="B20" s="2">
        <v>176582</v>
      </c>
      <c r="C20" s="2">
        <v>155078</v>
      </c>
      <c r="D20" s="2">
        <v>57977</v>
      </c>
      <c r="E20" s="2">
        <f t="shared" si="2"/>
        <v>97101</v>
      </c>
      <c r="G20" s="2">
        <v>14999</v>
      </c>
      <c r="H20" s="2">
        <f t="shared" si="1"/>
        <v>42978</v>
      </c>
    </row>
    <row r="21" spans="1:8" x14ac:dyDescent="0.35">
      <c r="A21" t="s">
        <v>17</v>
      </c>
      <c r="B21" s="2">
        <v>195534</v>
      </c>
      <c r="C21" s="2">
        <v>163939</v>
      </c>
      <c r="D21" s="2">
        <v>29149</v>
      </c>
      <c r="E21" s="2">
        <f t="shared" si="2"/>
        <v>134790</v>
      </c>
      <c r="G21" s="2">
        <v>12481</v>
      </c>
      <c r="H21" s="2">
        <f t="shared" si="1"/>
        <v>16668</v>
      </c>
    </row>
    <row r="22" spans="1:8" x14ac:dyDescent="0.35">
      <c r="A22" t="s">
        <v>18</v>
      </c>
      <c r="B22" s="2">
        <v>223234</v>
      </c>
      <c r="C22" s="2">
        <v>183571</v>
      </c>
      <c r="D22" s="2">
        <v>38564</v>
      </c>
      <c r="E22" s="2">
        <f t="shared" si="2"/>
        <v>145007</v>
      </c>
      <c r="G22" s="2">
        <v>18228</v>
      </c>
      <c r="H22" s="2">
        <f t="shared" si="1"/>
        <v>20336</v>
      </c>
    </row>
    <row r="23" spans="1:8" x14ac:dyDescent="0.35">
      <c r="A23" t="s">
        <v>19</v>
      </c>
      <c r="B23" s="2">
        <v>228170</v>
      </c>
      <c r="C23" s="2">
        <v>195387</v>
      </c>
      <c r="D23" s="2">
        <v>42890</v>
      </c>
      <c r="E23" s="2">
        <f t="shared" si="2"/>
        <v>152497</v>
      </c>
      <c r="G23" s="2">
        <v>22349</v>
      </c>
      <c r="H23" s="2">
        <f t="shared" si="1"/>
        <v>20541</v>
      </c>
    </row>
    <row r="24" spans="1:8" x14ac:dyDescent="0.35">
      <c r="A24" t="s">
        <v>20</v>
      </c>
      <c r="B24" s="2">
        <v>247766</v>
      </c>
      <c r="C24" s="2">
        <v>214413</v>
      </c>
      <c r="D24" s="2">
        <v>52684</v>
      </c>
      <c r="E24" s="2">
        <f t="shared" si="2"/>
        <v>161729</v>
      </c>
      <c r="G24" s="2">
        <v>27308</v>
      </c>
      <c r="H24" s="2">
        <f t="shared" si="1"/>
        <v>25376</v>
      </c>
    </row>
    <row r="25" spans="1:8" x14ac:dyDescent="0.35">
      <c r="A25" t="s">
        <v>21</v>
      </c>
      <c r="B25" s="2">
        <v>248591</v>
      </c>
      <c r="C25" s="2">
        <v>219120</v>
      </c>
      <c r="D25" s="2">
        <v>53442</v>
      </c>
      <c r="E25" s="2">
        <f t="shared" si="2"/>
        <v>165678</v>
      </c>
      <c r="G25">
        <v>29613</v>
      </c>
      <c r="H25" s="2">
        <f t="shared" si="1"/>
        <v>23829</v>
      </c>
    </row>
    <row r="26" spans="1:8" x14ac:dyDescent="0.35">
      <c r="A26" t="s">
        <v>22</v>
      </c>
      <c r="B26" s="2">
        <v>217754</v>
      </c>
      <c r="C26" s="2">
        <v>191819</v>
      </c>
      <c r="D26" s="2">
        <v>45392</v>
      </c>
      <c r="E26" s="2">
        <f t="shared" si="2"/>
        <v>146427</v>
      </c>
      <c r="G26">
        <v>24088</v>
      </c>
      <c r="H26" s="2">
        <f t="shared" si="1"/>
        <v>21304</v>
      </c>
    </row>
    <row r="27" spans="1:8" x14ac:dyDescent="0.35">
      <c r="A27" t="s">
        <v>23</v>
      </c>
      <c r="B27" s="2">
        <v>234462</v>
      </c>
      <c r="C27" s="2">
        <v>211665</v>
      </c>
      <c r="D27" s="2">
        <v>53777</v>
      </c>
      <c r="E27" s="2">
        <f t="shared" si="2"/>
        <v>157888</v>
      </c>
      <c r="G27">
        <v>25306</v>
      </c>
      <c r="H27" s="2">
        <f t="shared" si="1"/>
        <v>28471</v>
      </c>
    </row>
    <row r="28" spans="1:8" x14ac:dyDescent="0.35">
      <c r="A28" t="s">
        <v>24</v>
      </c>
      <c r="B28" s="2">
        <v>234292</v>
      </c>
      <c r="C28" s="2">
        <v>212364</v>
      </c>
      <c r="D28" s="2">
        <v>58256</v>
      </c>
      <c r="E28" s="2">
        <f t="shared" si="2"/>
        <v>154108</v>
      </c>
      <c r="G28">
        <v>28594</v>
      </c>
      <c r="H28" s="2">
        <f t="shared" si="1"/>
        <v>29662</v>
      </c>
    </row>
    <row r="29" spans="1:8" x14ac:dyDescent="0.35">
      <c r="A29" t="s">
        <v>25</v>
      </c>
      <c r="B29" s="2">
        <v>221409</v>
      </c>
      <c r="C29" s="2">
        <v>198681</v>
      </c>
      <c r="D29" s="2">
        <v>59007</v>
      </c>
      <c r="E29" s="2">
        <f t="shared" si="2"/>
        <v>139674</v>
      </c>
      <c r="G29">
        <v>27913</v>
      </c>
      <c r="H29" s="2">
        <f t="shared" si="1"/>
        <v>31094</v>
      </c>
    </row>
    <row r="30" spans="1:8" x14ac:dyDescent="0.35">
      <c r="A30" t="s">
        <v>26</v>
      </c>
      <c r="B30" s="2">
        <v>208600</v>
      </c>
      <c r="C30" s="2">
        <v>190602</v>
      </c>
      <c r="D30" s="2">
        <v>59111</v>
      </c>
      <c r="E30" s="2">
        <f t="shared" si="2"/>
        <v>131491</v>
      </c>
      <c r="G30">
        <v>22756</v>
      </c>
      <c r="H30" s="2">
        <f t="shared" si="1"/>
        <v>36355</v>
      </c>
    </row>
  </sheetData>
  <hyperlinks>
    <hyperlink ref="B1" r:id="rId1" display="https://www.gov.uk/government/statistical-data-sets/live-tables-on-net-supply-of-housing" xr:uid="{58ABA4D7-B6BE-4F27-A6A7-93E62E220C18}"/>
    <hyperlink ref="B2" r:id="rId2" xr:uid="{BB0EA1BE-D49D-48A2-BB18-4DBBE267C7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Chamberlain</dc:creator>
  <cp:lastModifiedBy>Paul Chamberlain</cp:lastModifiedBy>
  <dcterms:created xsi:type="dcterms:W3CDTF">2026-07-24T15:08:28Z</dcterms:created>
  <dcterms:modified xsi:type="dcterms:W3CDTF">2026-07-24T16:09:05Z</dcterms:modified>
</cp:coreProperties>
</file>